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26" documentId="13_ncr:1_{69C9ACAF-BEB9-4B92-ADCC-1A8FE8A6F35E}" xr6:coauthVersionLast="47" xr6:coauthVersionMax="47" xr10:uidLastSave="{7A52D24F-C17B-4997-9EF7-4A148CFB4AAF}"/>
  <bookViews>
    <workbookView xWindow="-120" yWindow="-120" windowWidth="29040" windowHeight="15720" firstSheet="1" activeTab="1" xr2:uid="{00000000-000D-0000-FFFF-FFFF00000000}"/>
  </bookViews>
  <sheets>
    <sheet name="Dashboard" sheetId="16"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Sheet2" sheetId="10" r:id="rId10"/>
    <sheet name="Todo " sheetId="11" r:id="rId11"/>
  </sheets>
  <definedNames>
    <definedName name="_xlnm._FilterDatabase" localSheetId="5" hidden="1">Core_Watchlist!$A$1:$G$158</definedName>
    <definedName name="_xlnm._FilterDatabase" localSheetId="6" hidden="1">Satellite_Watchlist!$A$1:$J$272</definedName>
    <definedName name="SAT_WATCH">Satellite_Watchlist!$B$1:$D$998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67" i="7" l="1" a="1"/>
  <c r="E367" i="7" s="1"/>
  <c r="F367" i="7" a="1"/>
  <c r="F367" i="7" s="1"/>
  <c r="E368" i="7" a="1"/>
  <c r="E368" i="7" s="1"/>
  <c r="F368" i="7" a="1"/>
  <c r="F368" i="7" s="1"/>
  <c r="E369" i="7" a="1"/>
  <c r="E369" i="7" s="1"/>
  <c r="F369" i="7" a="1"/>
  <c r="F369" i="7" s="1"/>
  <c r="E370" i="7" a="1"/>
  <c r="E370" i="7" s="1"/>
  <c r="F370" i="7" a="1"/>
  <c r="F370" i="7" s="1"/>
  <c r="E371" i="7" a="1"/>
  <c r="E371" i="7" s="1"/>
  <c r="F371" i="7" a="1"/>
  <c r="F371" i="7" s="1"/>
  <c r="E372" i="7" a="1"/>
  <c r="E372" i="7" s="1"/>
  <c r="F372" i="7" a="1"/>
  <c r="F372" i="7" s="1"/>
  <c r="E373" i="7" a="1"/>
  <c r="E373" i="7" s="1"/>
  <c r="F373" i="7" a="1"/>
  <c r="F373" i="7" s="1"/>
  <c r="E374" i="7" a="1"/>
  <c r="E374" i="7" s="1"/>
  <c r="F374" i="7" a="1"/>
  <c r="F374" i="7" s="1"/>
  <c r="E375" i="7" a="1"/>
  <c r="E375" i="7" s="1"/>
  <c r="F375" i="7" a="1"/>
  <c r="F375" i="7" s="1"/>
  <c r="E376" i="7" a="1"/>
  <c r="E376" i="7" s="1"/>
  <c r="F376" i="7" a="1"/>
  <c r="F376" i="7" s="1"/>
  <c r="E377" i="7" a="1"/>
  <c r="E377" i="7" s="1"/>
  <c r="F377" i="7" a="1"/>
  <c r="F377" i="7" s="1"/>
  <c r="E378" i="7" a="1"/>
  <c r="E378" i="7" s="1"/>
  <c r="F378" i="7" a="1"/>
  <c r="F378" i="7" s="1"/>
  <c r="E379" i="7" a="1"/>
  <c r="E379" i="7" s="1"/>
  <c r="F379" i="7" a="1"/>
  <c r="F379" i="7" s="1"/>
  <c r="E380" i="7" a="1"/>
  <c r="E380" i="7" s="1"/>
  <c r="F380" i="7" a="1"/>
  <c r="F380" i="7" s="1"/>
  <c r="E381" i="7" a="1"/>
  <c r="E381" i="7" s="1"/>
  <c r="F381" i="7" a="1"/>
  <c r="F381" i="7" s="1"/>
  <c r="E382" i="7" a="1"/>
  <c r="E382" i="7" s="1"/>
  <c r="F382" i="7" a="1"/>
  <c r="F382" i="7"/>
  <c r="E383" i="7" a="1"/>
  <c r="E383" i="7" s="1"/>
  <c r="F383" i="7" a="1"/>
  <c r="F383" i="7" s="1"/>
  <c r="E384" i="7" a="1"/>
  <c r="E384" i="7" s="1"/>
  <c r="F384" i="7" a="1"/>
  <c r="F384" i="7" s="1"/>
  <c r="E385" i="7" a="1"/>
  <c r="E385" i="7" s="1"/>
  <c r="F385" i="7" a="1"/>
  <c r="F385" i="7" s="1"/>
  <c r="E386" i="7" a="1"/>
  <c r="E386" i="7" s="1"/>
  <c r="F386" i="7" a="1"/>
  <c r="F386" i="7"/>
  <c r="E387" i="7" a="1"/>
  <c r="E387" i="7" s="1"/>
  <c r="F387" i="7" a="1"/>
  <c r="F387" i="7" s="1"/>
  <c r="E388" i="7" a="1"/>
  <c r="E388" i="7" s="1"/>
  <c r="F388" i="7" a="1"/>
  <c r="F388" i="7"/>
  <c r="E389" i="7" a="1"/>
  <c r="E389" i="7" s="1"/>
  <c r="F389" i="7" a="1"/>
  <c r="F389" i="7" s="1"/>
  <c r="E390" i="7" a="1"/>
  <c r="E390" i="7" s="1"/>
  <c r="F390" i="7" a="1"/>
  <c r="F390" i="7" s="1"/>
  <c r="E391" i="7" a="1"/>
  <c r="E391" i="7" s="1"/>
  <c r="F391" i="7" a="1"/>
  <c r="F391" i="7" s="1"/>
  <c r="E392" i="7" a="1"/>
  <c r="E392" i="7" s="1"/>
  <c r="F392" i="7" a="1"/>
  <c r="F392" i="7" s="1"/>
  <c r="E393" i="7" a="1"/>
  <c r="E393" i="7" s="1"/>
  <c r="F393" i="7" a="1"/>
  <c r="F393" i="7" s="1"/>
  <c r="E394" i="7" a="1"/>
  <c r="E394" i="7" s="1"/>
  <c r="F394" i="7" a="1"/>
  <c r="F394" i="7" s="1"/>
  <c r="E395" i="7" a="1"/>
  <c r="E395" i="7" s="1"/>
  <c r="F395" i="7" a="1"/>
  <c r="F395" i="7" s="1"/>
  <c r="E396" i="7" a="1"/>
  <c r="E396" i="7" s="1"/>
  <c r="F396" i="7" a="1"/>
  <c r="F396" i="7" s="1"/>
  <c r="E397" i="7" a="1"/>
  <c r="E397" i="7" s="1"/>
  <c r="F397" i="7" a="1"/>
  <c r="F397" i="7" s="1"/>
  <c r="E398" i="7" a="1"/>
  <c r="E398" i="7" s="1"/>
  <c r="F398" i="7" a="1"/>
  <c r="F398" i="7"/>
  <c r="E399" i="7" a="1"/>
  <c r="E399" i="7" s="1"/>
  <c r="F399" i="7" a="1"/>
  <c r="F399" i="7" s="1"/>
  <c r="E400" i="7" a="1"/>
  <c r="E400" i="7" s="1"/>
  <c r="F400" i="7" a="1"/>
  <c r="F400" i="7" s="1"/>
  <c r="E401" i="7" a="1"/>
  <c r="E401" i="7" s="1"/>
  <c r="F401" i="7" a="1"/>
  <c r="F401" i="7" s="1"/>
  <c r="E402" i="7" a="1"/>
  <c r="E402" i="7" s="1"/>
  <c r="F402" i="7" a="1"/>
  <c r="F402" i="7" s="1"/>
  <c r="E403" i="7" a="1"/>
  <c r="E403" i="7" s="1"/>
  <c r="F403" i="7" a="1"/>
  <c r="F403" i="7" s="1"/>
  <c r="E404" i="7" a="1"/>
  <c r="E404" i="7" s="1"/>
  <c r="F404" i="7" a="1"/>
  <c r="F404" i="7"/>
  <c r="E405" i="7" a="1"/>
  <c r="E405" i="7" s="1"/>
  <c r="F405" i="7" a="1"/>
  <c r="F405" i="7" s="1"/>
  <c r="E406" i="7" a="1"/>
  <c r="E406" i="7" s="1"/>
  <c r="F406" i="7" a="1"/>
  <c r="F406" i="7" s="1"/>
  <c r="E407" i="7" a="1"/>
  <c r="E407" i="7" s="1"/>
  <c r="F407" i="7" a="1"/>
  <c r="F407" i="7" s="1"/>
  <c r="E408" i="7" a="1"/>
  <c r="E408" i="7" s="1"/>
  <c r="F408" i="7" a="1"/>
  <c r="F408" i="7" s="1"/>
  <c r="E409" i="7" a="1"/>
  <c r="E409" i="7" s="1"/>
  <c r="F409" i="7" a="1"/>
  <c r="F409" i="7" s="1"/>
  <c r="E410" i="7" a="1"/>
  <c r="E410" i="7" s="1"/>
  <c r="F410" i="7" a="1"/>
  <c r="F410" i="7" s="1"/>
  <c r="E411" i="7" a="1"/>
  <c r="E411" i="7" s="1"/>
  <c r="F411" i="7" a="1"/>
  <c r="F411" i="7" s="1"/>
  <c r="E412" i="7" a="1"/>
  <c r="E412" i="7" s="1"/>
  <c r="F412" i="7" a="1"/>
  <c r="F412" i="7" s="1"/>
  <c r="E413" i="7" a="1"/>
  <c r="E413" i="7" s="1"/>
  <c r="F413" i="7" a="1"/>
  <c r="F413" i="7" s="1"/>
  <c r="E414" i="7" a="1"/>
  <c r="E414" i="7" s="1"/>
  <c r="F414" i="7" a="1"/>
  <c r="F414" i="7" s="1"/>
  <c r="E415" i="7" a="1"/>
  <c r="E415" i="7" s="1"/>
  <c r="F415" i="7" a="1"/>
  <c r="F415" i="7" s="1"/>
  <c r="E416" i="7" a="1"/>
  <c r="E416" i="7" s="1"/>
  <c r="F416" i="7" a="1"/>
  <c r="F416" i="7" s="1"/>
  <c r="E417" i="7" a="1"/>
  <c r="E417" i="7" s="1"/>
  <c r="F417" i="7" a="1"/>
  <c r="F417" i="7" s="1"/>
  <c r="E418" i="7" a="1"/>
  <c r="E418" i="7" s="1"/>
  <c r="F418" i="7" a="1"/>
  <c r="F418" i="7" s="1"/>
  <c r="E419" i="7" a="1"/>
  <c r="E419" i="7" s="1"/>
  <c r="F419" i="7" a="1"/>
  <c r="F419" i="7" s="1"/>
  <c r="E420" i="7" a="1"/>
  <c r="E420" i="7" s="1"/>
  <c r="F420" i="7" a="1"/>
  <c r="F420" i="7"/>
  <c r="E421" i="7" a="1"/>
  <c r="E421" i="7" s="1"/>
  <c r="F421" i="7" a="1"/>
  <c r="F421" i="7" s="1"/>
  <c r="E422" i="7" a="1"/>
  <c r="E422" i="7" s="1"/>
  <c r="F422" i="7" a="1"/>
  <c r="F422" i="7" s="1"/>
  <c r="E423" i="7" a="1"/>
  <c r="E423" i="7" s="1"/>
  <c r="F423" i="7" a="1"/>
  <c r="F423" i="7" s="1"/>
  <c r="E424" i="7" a="1"/>
  <c r="E424" i="7" s="1"/>
  <c r="F424" i="7" a="1"/>
  <c r="F424" i="7" s="1"/>
  <c r="E425" i="7" a="1"/>
  <c r="E425" i="7" s="1"/>
  <c r="F425" i="7" a="1"/>
  <c r="F425" i="7" s="1"/>
  <c r="E426" i="7" a="1"/>
  <c r="E426" i="7" s="1"/>
  <c r="F426" i="7" a="1"/>
  <c r="F426" i="7" s="1"/>
  <c r="E427" i="7" a="1"/>
  <c r="E427" i="7" s="1"/>
  <c r="F427" i="7" a="1"/>
  <c r="F427" i="7" s="1"/>
  <c r="E428" i="7" a="1"/>
  <c r="E428" i="7" s="1"/>
  <c r="F428" i="7" a="1"/>
  <c r="F428" i="7" s="1"/>
  <c r="E429" i="7" a="1"/>
  <c r="E429" i="7" s="1"/>
  <c r="F429" i="7" a="1"/>
  <c r="F429" i="7" s="1"/>
  <c r="E430" i="7" a="1"/>
  <c r="E430" i="7" s="1"/>
  <c r="F430" i="7" a="1"/>
  <c r="F430" i="7" s="1"/>
  <c r="E431" i="7" a="1"/>
  <c r="E431" i="7" s="1"/>
  <c r="F431" i="7" a="1"/>
  <c r="F431" i="7" s="1"/>
  <c r="E432" i="7" a="1"/>
  <c r="E432" i="7" s="1"/>
  <c r="F432" i="7" a="1"/>
  <c r="F432" i="7" s="1"/>
  <c r="E433" i="7" a="1"/>
  <c r="E433" i="7" s="1"/>
  <c r="F433" i="7" a="1"/>
  <c r="F433" i="7" s="1"/>
  <c r="E434" i="7" a="1"/>
  <c r="E434" i="7" s="1"/>
  <c r="F434" i="7" a="1"/>
  <c r="F434" i="7" s="1"/>
  <c r="E435" i="7" a="1"/>
  <c r="E435" i="7" s="1"/>
  <c r="F435" i="7" a="1"/>
  <c r="F435" i="7" s="1"/>
  <c r="E436" i="7" a="1"/>
  <c r="E436" i="7" s="1"/>
  <c r="F436" i="7" a="1"/>
  <c r="F436" i="7" s="1"/>
  <c r="E437" i="7" a="1"/>
  <c r="E437" i="7" s="1"/>
  <c r="F437" i="7" a="1"/>
  <c r="F437" i="7" s="1"/>
  <c r="E438" i="7" a="1"/>
  <c r="E438" i="7" s="1"/>
  <c r="F438" i="7" a="1"/>
  <c r="F438" i="7" s="1"/>
  <c r="E439" i="7" a="1"/>
  <c r="E439" i="7" s="1"/>
  <c r="F439" i="7" a="1"/>
  <c r="F439" i="7" s="1"/>
  <c r="E440" i="7" a="1"/>
  <c r="E440" i="7" s="1"/>
  <c r="F440" i="7" a="1"/>
  <c r="F440" i="7" s="1"/>
  <c r="E441" i="7" a="1"/>
  <c r="E441" i="7" s="1"/>
  <c r="F441" i="7" a="1"/>
  <c r="F441" i="7" s="1"/>
  <c r="E442" i="7" a="1"/>
  <c r="E442" i="7" s="1"/>
  <c r="F442" i="7" a="1"/>
  <c r="F442" i="7" s="1"/>
  <c r="E443" i="7" a="1"/>
  <c r="E443" i="7" s="1"/>
  <c r="F443" i="7" a="1"/>
  <c r="F443" i="7" s="1"/>
  <c r="E444" i="7" a="1"/>
  <c r="E444" i="7" s="1"/>
  <c r="F444" i="7" a="1"/>
  <c r="F444" i="7"/>
  <c r="E445" i="7" a="1"/>
  <c r="E445" i="7" s="1"/>
  <c r="F445" i="7" a="1"/>
  <c r="F445" i="7" s="1"/>
  <c r="E446" i="7" a="1"/>
  <c r="E446" i="7" s="1"/>
  <c r="F446" i="7" a="1"/>
  <c r="F446" i="7" s="1"/>
  <c r="E447" i="7" a="1"/>
  <c r="E447" i="7" s="1"/>
  <c r="F447" i="7" a="1"/>
  <c r="F447" i="7" s="1"/>
  <c r="E448" i="7" a="1"/>
  <c r="E448" i="7" s="1"/>
  <c r="F448" i="7" a="1"/>
  <c r="F448" i="7" s="1"/>
  <c r="E449" i="7" a="1"/>
  <c r="E449" i="7" s="1"/>
  <c r="F449" i="7" a="1"/>
  <c r="F449" i="7" s="1"/>
  <c r="E450" i="7" a="1"/>
  <c r="E450" i="7" s="1"/>
  <c r="F450" i="7" a="1"/>
  <c r="F450" i="7" s="1"/>
  <c r="E451" i="7" a="1"/>
  <c r="E451" i="7" s="1"/>
  <c r="F451" i="7" a="1"/>
  <c r="F451" i="7" s="1"/>
  <c r="E452" i="7" a="1"/>
  <c r="E452" i="7" s="1"/>
  <c r="F452" i="7" a="1"/>
  <c r="F452" i="7" s="1"/>
  <c r="E453" i="7" a="1"/>
  <c r="E453" i="7" s="1"/>
  <c r="F453" i="7" a="1"/>
  <c r="F453" i="7" s="1"/>
  <c r="E454" i="7" a="1"/>
  <c r="E454" i="7" s="1"/>
  <c r="F454" i="7" a="1"/>
  <c r="F454" i="7" s="1"/>
  <c r="E455" i="7" a="1"/>
  <c r="E455" i="7" s="1"/>
  <c r="F455" i="7" a="1"/>
  <c r="F455" i="7" s="1"/>
  <c r="E456" i="7" a="1"/>
  <c r="E456" i="7" s="1"/>
  <c r="F456" i="7" a="1"/>
  <c r="F456" i="7" s="1"/>
  <c r="E457" i="7" a="1"/>
  <c r="E457" i="7" s="1"/>
  <c r="F457" i="7" a="1"/>
  <c r="F457" i="7" s="1"/>
  <c r="E458" i="7" a="1"/>
  <c r="E458" i="7" s="1"/>
  <c r="F458" i="7" a="1"/>
  <c r="F458" i="7" s="1"/>
  <c r="E459" i="7" a="1"/>
  <c r="E459" i="7" s="1"/>
  <c r="F459" i="7" a="1"/>
  <c r="F459" i="7" s="1"/>
  <c r="E460" i="7" a="1"/>
  <c r="E460" i="7" s="1"/>
  <c r="F460" i="7" a="1"/>
  <c r="F460" i="7"/>
  <c r="E461" i="7" a="1"/>
  <c r="E461" i="7" s="1"/>
  <c r="F461" i="7" a="1"/>
  <c r="F461" i="7" s="1"/>
  <c r="N99" i="8"/>
  <c r="N97" i="8"/>
  <c r="O97" i="8" s="1"/>
  <c r="Q97" i="8" s="1"/>
  <c r="R97" i="8" s="1"/>
  <c r="S97" i="8" s="1"/>
  <c r="N96" i="8"/>
  <c r="O96" i="8" s="1"/>
  <c r="Q96" i="8" s="1"/>
  <c r="R96" i="8" s="1"/>
  <c r="S96" i="8" s="1"/>
  <c r="N94" i="8"/>
  <c r="O94" i="8" s="1"/>
  <c r="Q94" i="8" s="1"/>
  <c r="R94" i="8" s="1"/>
  <c r="S94" i="8" s="1"/>
  <c r="N88" i="8"/>
  <c r="O88" i="8" s="1"/>
  <c r="Q88" i="8" s="1"/>
  <c r="R88" i="8" s="1"/>
  <c r="S88" i="8" s="1"/>
  <c r="N86" i="8"/>
  <c r="O86" i="8" s="1"/>
  <c r="Q86" i="8" s="1"/>
  <c r="R86" i="8" s="1"/>
  <c r="S86" i="8" s="1"/>
  <c r="N84" i="8"/>
  <c r="O84" i="8" s="1"/>
  <c r="Q84" i="8" s="1"/>
  <c r="R84" i="8" s="1"/>
  <c r="S84" i="8" s="1"/>
  <c r="N83" i="8"/>
  <c r="O83" i="8" s="1"/>
  <c r="Q83" i="8" s="1"/>
  <c r="R83" i="8" s="1"/>
  <c r="S83" i="8" s="1"/>
  <c r="N78" i="8"/>
  <c r="N76" i="8"/>
  <c r="N73" i="8"/>
  <c r="O73" i="8" s="1"/>
  <c r="Q73" i="8" s="1"/>
  <c r="R73" i="8" s="1"/>
  <c r="S73" i="8" s="1"/>
  <c r="N71" i="8"/>
  <c r="O71" i="8" s="1"/>
  <c r="Q71" i="8" s="1"/>
  <c r="R71" i="8" s="1"/>
  <c r="S71" i="8" s="1"/>
  <c r="N69" i="8"/>
  <c r="O69" i="8" s="1"/>
  <c r="Q69" i="8" s="1"/>
  <c r="R69" i="8" s="1"/>
  <c r="S69" i="8" s="1"/>
  <c r="N68" i="8"/>
  <c r="O68" i="8" s="1"/>
  <c r="Q68" i="8" s="1"/>
  <c r="R68" i="8" s="1"/>
  <c r="S68" i="8" s="1"/>
  <c r="N67" i="8"/>
  <c r="O67" i="8" s="1"/>
  <c r="Q67" i="8" s="1"/>
  <c r="R67" i="8" s="1"/>
  <c r="S67" i="8" s="1"/>
  <c r="N64" i="8"/>
  <c r="O64" i="8" s="1"/>
  <c r="Q64" i="8" s="1"/>
  <c r="R64" i="8" s="1"/>
  <c r="S64" i="8" s="1"/>
  <c r="N63" i="8"/>
  <c r="N57" i="8"/>
  <c r="O57" i="8" s="1"/>
  <c r="Q57" i="8" s="1"/>
  <c r="R57" i="8" s="1"/>
  <c r="S57" i="8" s="1"/>
  <c r="N55" i="8"/>
  <c r="O55" i="8" s="1"/>
  <c r="Q55" i="8" s="1"/>
  <c r="R55" i="8" s="1"/>
  <c r="S55" i="8" s="1"/>
  <c r="N54" i="8"/>
  <c r="O54" i="8" s="1"/>
  <c r="Q54" i="8" s="1"/>
  <c r="R54" i="8" s="1"/>
  <c r="S54" i="8" s="1"/>
  <c r="N49" i="8"/>
  <c r="O49" i="8" s="1"/>
  <c r="Q49" i="8" s="1"/>
  <c r="R49" i="8" s="1"/>
  <c r="S49" i="8" s="1"/>
  <c r="N47" i="8"/>
  <c r="O47" i="8" s="1"/>
  <c r="Q47" i="8" s="1"/>
  <c r="R47" i="8" s="1"/>
  <c r="S47" i="8" s="1"/>
  <c r="N46" i="8"/>
  <c r="O46" i="8" s="1"/>
  <c r="Q46" i="8" s="1"/>
  <c r="R46" i="8" s="1"/>
  <c r="S46" i="8" s="1"/>
  <c r="N45" i="8"/>
  <c r="O45" i="8" s="1"/>
  <c r="Q45" i="8" s="1"/>
  <c r="R45" i="8" s="1"/>
  <c r="S45" i="8" s="1"/>
  <c r="N43" i="8"/>
  <c r="N38" i="8"/>
  <c r="O38" i="8" s="1"/>
  <c r="Q38" i="8" s="1"/>
  <c r="R38" i="8" s="1"/>
  <c r="S38" i="8" s="1"/>
  <c r="N37" i="8"/>
  <c r="O37" i="8" s="1"/>
  <c r="Q37" i="8" s="1"/>
  <c r="R37" i="8" s="1"/>
  <c r="S37" i="8" s="1"/>
  <c r="N32" i="8"/>
  <c r="O32" i="8" s="1"/>
  <c r="Q32" i="8" s="1"/>
  <c r="R32" i="8" s="1"/>
  <c r="S32" i="8" s="1"/>
  <c r="N31" i="8"/>
  <c r="O31" i="8" s="1"/>
  <c r="Q31" i="8" s="1"/>
  <c r="R31" i="8" s="1"/>
  <c r="S31" i="8" s="1"/>
  <c r="N28" i="8"/>
  <c r="O28" i="8" s="1"/>
  <c r="Q28" i="8" s="1"/>
  <c r="R28" i="8" s="1"/>
  <c r="S28" i="8" s="1"/>
  <c r="N27" i="8"/>
  <c r="O27" i="8" s="1"/>
  <c r="Q27" i="8" s="1"/>
  <c r="R27" i="8" s="1"/>
  <c r="S27" i="8" s="1"/>
  <c r="N22" i="8"/>
  <c r="O22" i="8" s="1"/>
  <c r="Q22" i="8" s="1"/>
  <c r="R22" i="8" s="1"/>
  <c r="S22" i="8" s="1"/>
  <c r="N21" i="8"/>
  <c r="N19" i="8"/>
  <c r="O19" i="8" s="1"/>
  <c r="Q19" i="8" s="1"/>
  <c r="R19" i="8" s="1"/>
  <c r="S19" i="8" s="1"/>
  <c r="N18" i="8"/>
  <c r="O18" i="8" s="1"/>
  <c r="Q18" i="8" s="1"/>
  <c r="R18" i="8" s="1"/>
  <c r="S18" i="8" s="1"/>
  <c r="N17" i="8"/>
  <c r="O17" i="8" s="1"/>
  <c r="Q17" i="8" s="1"/>
  <c r="R17" i="8" s="1"/>
  <c r="S17" i="8" s="1"/>
  <c r="N16" i="8"/>
  <c r="O16" i="8" s="1"/>
  <c r="Q16" i="8" s="1"/>
  <c r="R16" i="8" s="1"/>
  <c r="S16" i="8" s="1"/>
  <c r="N15" i="8"/>
  <c r="O15" i="8" s="1"/>
  <c r="Q15" i="8" s="1"/>
  <c r="R15" i="8" s="1"/>
  <c r="S15" i="8" s="1"/>
  <c r="N13" i="8"/>
  <c r="O13" i="8" s="1"/>
  <c r="Q13" i="8" s="1"/>
  <c r="R13" i="8" s="1"/>
  <c r="S13" i="8" s="1"/>
  <c r="N11" i="8"/>
  <c r="O11" i="8" s="1"/>
  <c r="Q11" i="8" s="1"/>
  <c r="R11" i="8" s="1"/>
  <c r="S11" i="8" s="1"/>
  <c r="F39" i="16"/>
  <c r="C39" i="16"/>
  <c r="B39" i="16"/>
  <c r="F38" i="16"/>
  <c r="C38" i="16"/>
  <c r="B38" i="16"/>
  <c r="F37" i="16"/>
  <c r="C37" i="16"/>
  <c r="B37" i="16"/>
  <c r="F36" i="16"/>
  <c r="C36" i="16"/>
  <c r="B36" i="16"/>
  <c r="F35" i="16"/>
  <c r="C35" i="16"/>
  <c r="B35" i="16"/>
  <c r="E29" i="16"/>
  <c r="B29" i="16"/>
  <c r="E28" i="16"/>
  <c r="B28" i="16"/>
  <c r="E22" i="16"/>
  <c r="B22" i="16"/>
  <c r="E21" i="16"/>
  <c r="B21" i="16"/>
  <c r="E20" i="16"/>
  <c r="B20" i="16"/>
  <c r="F19" i="16"/>
  <c r="G19" i="16" s="1"/>
  <c r="E19" i="16"/>
  <c r="B19" i="16"/>
  <c r="D19" i="16" s="1"/>
  <c r="B14" i="16"/>
  <c r="B13" i="16"/>
  <c r="B8" i="16"/>
  <c r="L6" i="16"/>
  <c r="M6" i="16" s="1"/>
  <c r="E6" i="16"/>
  <c r="E9" i="16" s="1"/>
  <c r="L5" i="16"/>
  <c r="M5" i="16" s="1"/>
  <c r="E5" i="16"/>
  <c r="E7" i="16" s="1"/>
  <c r="B5" i="16"/>
  <c r="B12" i="16" s="1"/>
  <c r="D39" i="16"/>
  <c r="D38" i="16"/>
  <c r="D37" i="16"/>
  <c r="D36" i="16"/>
  <c r="F40" i="16"/>
  <c r="C40" i="16"/>
  <c r="B40" i="16"/>
  <c r="E30" i="16"/>
  <c r="B30" i="16"/>
  <c r="E23" i="16"/>
  <c r="O99" i="8"/>
  <c r="Q99" i="8" s="1"/>
  <c r="R99" i="8" s="1"/>
  <c r="S99" i="8" s="1"/>
  <c r="O78" i="8"/>
  <c r="Q78" i="8" s="1"/>
  <c r="R78" i="8" s="1"/>
  <c r="S78" i="8" s="1"/>
  <c r="O76" i="8"/>
  <c r="Q76" i="8" s="1"/>
  <c r="R76" i="8" s="1"/>
  <c r="S76" i="8" s="1"/>
  <c r="O63" i="8"/>
  <c r="Q63" i="8" s="1"/>
  <c r="R63" i="8" s="1"/>
  <c r="S63" i="8" s="1"/>
  <c r="O43" i="8"/>
  <c r="Q43" i="8" s="1"/>
  <c r="R43" i="8" s="1"/>
  <c r="S43" i="8" s="1"/>
  <c r="O21" i="8"/>
  <c r="Q21" i="8" s="1"/>
  <c r="R21" i="8" s="1"/>
  <c r="S21" i="8" s="1"/>
  <c r="I66" i="9" a="1"/>
  <c r="I66" i="9" s="1"/>
  <c r="N22" i="5" s="1"/>
  <c r="F66" i="9" a="1"/>
  <c r="F66" i="9" s="1"/>
  <c r="I65" i="9" a="1"/>
  <c r="I65" i="9" s="1"/>
  <c r="N49" i="5" s="1"/>
  <c r="F65" i="9" a="1"/>
  <c r="F65" i="9" s="1"/>
  <c r="I64" i="9" a="1"/>
  <c r="I64" i="9" s="1"/>
  <c r="N58" i="5" s="1"/>
  <c r="F64" i="9" a="1"/>
  <c r="F64" i="9" s="1"/>
  <c r="M58" i="5" s="1"/>
  <c r="I63" i="9" a="1"/>
  <c r="I63" i="9" s="1"/>
  <c r="N59" i="5" s="1"/>
  <c r="F63" i="9" a="1"/>
  <c r="F63" i="9" s="1"/>
  <c r="E63" i="9"/>
  <c r="I62" i="9" a="1"/>
  <c r="I62" i="9" s="1"/>
  <c r="N57" i="5" s="1"/>
  <c r="F62" i="9" a="1"/>
  <c r="F62" i="9" s="1"/>
  <c r="E62" i="9"/>
  <c r="I61" i="9" a="1"/>
  <c r="I61" i="9" s="1"/>
  <c r="N56" i="5" s="1"/>
  <c r="F61" i="9" a="1"/>
  <c r="F61" i="9" s="1"/>
  <c r="E61" i="9"/>
  <c r="I60" i="9" a="1"/>
  <c r="I60" i="9" s="1"/>
  <c r="F60" i="9" a="1"/>
  <c r="F60" i="9" s="1"/>
  <c r="N85" i="8" s="1"/>
  <c r="O85" i="8" s="1"/>
  <c r="Q85" i="8" s="1"/>
  <c r="R85" i="8" s="1"/>
  <c r="S85" i="8" s="1"/>
  <c r="E60" i="9"/>
  <c r="I59" i="9" a="1"/>
  <c r="I59" i="9" s="1"/>
  <c r="N55" i="5" s="1"/>
  <c r="F59" i="9" a="1"/>
  <c r="F59" i="9" s="1"/>
  <c r="E59" i="9"/>
  <c r="I58" i="9" a="1"/>
  <c r="I58" i="9" s="1"/>
  <c r="N54" i="5" s="1"/>
  <c r="F58" i="9" a="1"/>
  <c r="F58" i="9" s="1"/>
  <c r="E58" i="9"/>
  <c r="I57" i="9" a="1"/>
  <c r="I57" i="9" s="1"/>
  <c r="N53" i="5" s="1"/>
  <c r="F57" i="9" a="1"/>
  <c r="F57" i="9" s="1"/>
  <c r="E57" i="9"/>
  <c r="I56" i="9" a="1"/>
  <c r="I56" i="9" s="1"/>
  <c r="N52" i="5" s="1"/>
  <c r="F56" i="9" a="1"/>
  <c r="F56" i="9" s="1"/>
  <c r="E56" i="9"/>
  <c r="I55" i="9" a="1"/>
  <c r="I55" i="9" s="1"/>
  <c r="N51" i="5" s="1"/>
  <c r="F55" i="9" a="1"/>
  <c r="F55" i="9" s="1"/>
  <c r="E55" i="9"/>
  <c r="I54" i="9" a="1"/>
  <c r="I54" i="9" s="1"/>
  <c r="N50" i="5" s="1"/>
  <c r="F54" i="9" a="1"/>
  <c r="F54" i="9" s="1"/>
  <c r="E54" i="9"/>
  <c r="I53" i="9" a="1"/>
  <c r="I53" i="9" s="1"/>
  <c r="N48" i="5" s="1"/>
  <c r="F53" i="9" a="1"/>
  <c r="F53" i="9" s="1"/>
  <c r="E53" i="9"/>
  <c r="I52" i="9" a="1"/>
  <c r="I52" i="9" s="1"/>
  <c r="F52" i="9" a="1"/>
  <c r="F52" i="9" s="1"/>
  <c r="N39" i="8" s="1"/>
  <c r="O39" i="8" s="1"/>
  <c r="Q39" i="8" s="1"/>
  <c r="R39" i="8" s="1"/>
  <c r="S39" i="8" s="1"/>
  <c r="E52" i="9"/>
  <c r="I51" i="9" a="1"/>
  <c r="I51" i="9" s="1"/>
  <c r="N47" i="5" s="1"/>
  <c r="F51" i="9" a="1"/>
  <c r="F51" i="9" s="1"/>
  <c r="E51" i="9"/>
  <c r="I50" i="9" a="1"/>
  <c r="I50" i="9" s="1"/>
  <c r="N46" i="5" s="1"/>
  <c r="F50" i="9" a="1"/>
  <c r="F50" i="9" s="1"/>
  <c r="E50" i="9"/>
  <c r="I49" i="9" a="1"/>
  <c r="I49" i="9" s="1"/>
  <c r="N45" i="5" s="1"/>
  <c r="F49" i="9" a="1"/>
  <c r="F49" i="9" s="1"/>
  <c r="E49" i="9"/>
  <c r="I48" i="9" a="1"/>
  <c r="I48" i="9" s="1"/>
  <c r="N44" i="5" s="1"/>
  <c r="F48" i="9" a="1"/>
  <c r="F48" i="9" s="1"/>
  <c r="E48" i="9"/>
  <c r="I47" i="9" a="1"/>
  <c r="I47" i="9" s="1"/>
  <c r="N43" i="5" s="1"/>
  <c r="F47" i="9" a="1"/>
  <c r="F47" i="9" s="1"/>
  <c r="E47" i="9"/>
  <c r="I46" i="9" a="1"/>
  <c r="I46" i="9" s="1"/>
  <c r="N42" i="5" s="1"/>
  <c r="F46" i="9" a="1"/>
  <c r="F46" i="9" s="1"/>
  <c r="E46" i="9"/>
  <c r="I45" i="9" a="1"/>
  <c r="I45" i="9" s="1"/>
  <c r="N41" i="5" s="1"/>
  <c r="F45" i="9" a="1"/>
  <c r="F45" i="9" s="1"/>
  <c r="E45" i="9"/>
  <c r="I44" i="9" a="1"/>
  <c r="I44" i="9" s="1"/>
  <c r="N40" i="5" s="1"/>
  <c r="F44" i="9" a="1"/>
  <c r="F44" i="9" s="1"/>
  <c r="E44" i="9"/>
  <c r="I43" i="9" a="1"/>
  <c r="I43" i="9" s="1"/>
  <c r="N39" i="5" s="1"/>
  <c r="F43" i="9" a="1"/>
  <c r="F43" i="9" s="1"/>
  <c r="E43" i="9"/>
  <c r="I42" i="9" a="1"/>
  <c r="I42" i="9" s="1"/>
  <c r="N38" i="5" s="1"/>
  <c r="F42" i="9" a="1"/>
  <c r="F42" i="9" s="1"/>
  <c r="E42" i="9"/>
  <c r="I41" i="9" a="1"/>
  <c r="I41" i="9" s="1"/>
  <c r="N37" i="5" s="1"/>
  <c r="F41" i="9" a="1"/>
  <c r="F41" i="9" s="1"/>
  <c r="E41" i="9"/>
  <c r="I40" i="9" a="1"/>
  <c r="I40" i="9" s="1"/>
  <c r="N36" i="5" s="1"/>
  <c r="F40" i="9" a="1"/>
  <c r="F40" i="9" s="1"/>
  <c r="E40" i="9"/>
  <c r="I39" i="9" a="1"/>
  <c r="I39" i="9" s="1"/>
  <c r="N35" i="5" s="1"/>
  <c r="F39" i="9" a="1"/>
  <c r="F39" i="9" s="1"/>
  <c r="E39" i="9"/>
  <c r="I38" i="9" a="1"/>
  <c r="I38" i="9" s="1"/>
  <c r="N34" i="5" s="1"/>
  <c r="F38" i="9" a="1"/>
  <c r="F38" i="9" s="1"/>
  <c r="E38" i="9"/>
  <c r="I37" i="9" a="1"/>
  <c r="I37" i="9" s="1"/>
  <c r="N33" i="5" s="1"/>
  <c r="F37" i="9" a="1"/>
  <c r="F37" i="9" s="1"/>
  <c r="E37" i="9"/>
  <c r="I36" i="9" a="1"/>
  <c r="I36" i="9" s="1"/>
  <c r="N32" i="5" s="1"/>
  <c r="F36" i="9" a="1"/>
  <c r="F36" i="9" s="1"/>
  <c r="E36" i="9"/>
  <c r="I35" i="9" a="1"/>
  <c r="I35" i="9" s="1"/>
  <c r="F35" i="9" a="1"/>
  <c r="F35" i="9"/>
  <c r="E35" i="9"/>
  <c r="I34" i="9" a="1"/>
  <c r="I34" i="9" s="1"/>
  <c r="N31" i="5" s="1"/>
  <c r="F34" i="9" a="1"/>
  <c r="F34" i="9" s="1"/>
  <c r="E34" i="9"/>
  <c r="I33" i="9" a="1"/>
  <c r="I33" i="9" s="1"/>
  <c r="N30" i="5" s="1"/>
  <c r="F33" i="9" a="1"/>
  <c r="F33" i="9" s="1"/>
  <c r="E33" i="9"/>
  <c r="I32" i="9" a="1"/>
  <c r="I32" i="9" s="1"/>
  <c r="N29" i="5" s="1"/>
  <c r="F32" i="9" a="1"/>
  <c r="F32" i="9" s="1"/>
  <c r="E32" i="9"/>
  <c r="I31" i="9" a="1"/>
  <c r="I31" i="9" s="1"/>
  <c r="N28" i="5" s="1"/>
  <c r="F31" i="9" a="1"/>
  <c r="F31" i="9" s="1"/>
  <c r="E31" i="9"/>
  <c r="I30" i="9" a="1"/>
  <c r="I30" i="9" s="1"/>
  <c r="N27" i="5" s="1"/>
  <c r="F30" i="9" a="1"/>
  <c r="F30" i="9" s="1"/>
  <c r="E30" i="9"/>
  <c r="I29" i="9" a="1"/>
  <c r="I29" i="9" s="1"/>
  <c r="N26" i="5" s="1"/>
  <c r="F29" i="9" a="1"/>
  <c r="F29" i="9" s="1"/>
  <c r="E29" i="9"/>
  <c r="I28" i="9" a="1"/>
  <c r="I28" i="9" s="1"/>
  <c r="N25" i="5" s="1"/>
  <c r="F28" i="9" a="1"/>
  <c r="F28" i="9" s="1"/>
  <c r="E28" i="9"/>
  <c r="I27" i="9" a="1"/>
  <c r="I27" i="9" s="1"/>
  <c r="N24" i="5" s="1"/>
  <c r="F27" i="9" a="1"/>
  <c r="F27" i="9" s="1"/>
  <c r="E27" i="9"/>
  <c r="I26" i="9" a="1"/>
  <c r="I26" i="9" s="1"/>
  <c r="N23" i="5" s="1"/>
  <c r="F26" i="9" a="1"/>
  <c r="F26" i="9" s="1"/>
  <c r="E26" i="9"/>
  <c r="I25" i="9" a="1"/>
  <c r="I25" i="9" s="1"/>
  <c r="N21" i="5" s="1"/>
  <c r="F25" i="9" a="1"/>
  <c r="F25" i="9" s="1"/>
  <c r="E25" i="9"/>
  <c r="I24" i="9" a="1"/>
  <c r="I24" i="9" s="1"/>
  <c r="F24" i="9" a="1"/>
  <c r="F24" i="9" s="1"/>
  <c r="G24" i="9" s="1"/>
  <c r="H24" i="9" s="1"/>
  <c r="E24" i="9"/>
  <c r="I23" i="9" a="1"/>
  <c r="I23" i="9" s="1"/>
  <c r="N20" i="5" s="1"/>
  <c r="F23" i="9" a="1"/>
  <c r="F23" i="9" s="1"/>
  <c r="E23" i="9"/>
  <c r="I22" i="9" a="1"/>
  <c r="I22" i="9" s="1"/>
  <c r="N19" i="5" s="1"/>
  <c r="F22" i="9" a="1"/>
  <c r="F22" i="9" s="1"/>
  <c r="E22" i="9"/>
  <c r="I21" i="9" a="1"/>
  <c r="I21" i="9" s="1"/>
  <c r="N18" i="5" s="1"/>
  <c r="F21" i="9" a="1"/>
  <c r="F21" i="9" s="1"/>
  <c r="E21" i="9"/>
  <c r="I20" i="9" a="1"/>
  <c r="I20" i="9" s="1"/>
  <c r="N17" i="5" s="1"/>
  <c r="F20" i="9" a="1"/>
  <c r="F20" i="9" s="1"/>
  <c r="E20" i="9"/>
  <c r="I19" i="9" a="1"/>
  <c r="I19" i="9" s="1"/>
  <c r="N16" i="5" s="1"/>
  <c r="F19" i="9" a="1"/>
  <c r="F19" i="9" s="1"/>
  <c r="E19" i="9"/>
  <c r="I18" i="9" a="1"/>
  <c r="I18" i="9" s="1"/>
  <c r="F18" i="9" a="1"/>
  <c r="F18" i="9" s="1"/>
  <c r="E18" i="9"/>
  <c r="I17" i="9" a="1"/>
  <c r="I17" i="9" s="1"/>
  <c r="N15" i="5" s="1"/>
  <c r="F17" i="9" a="1"/>
  <c r="F17" i="9" s="1"/>
  <c r="E17" i="9"/>
  <c r="I16" i="9" a="1"/>
  <c r="I16" i="9" s="1"/>
  <c r="F16" i="9" a="1"/>
  <c r="F16" i="9" s="1"/>
  <c r="E16" i="9"/>
  <c r="I15" i="9" a="1"/>
  <c r="I15" i="9" s="1"/>
  <c r="N13" i="5" s="1"/>
  <c r="F15" i="9" a="1"/>
  <c r="F15" i="9" s="1"/>
  <c r="E15" i="9"/>
  <c r="I14" i="9" a="1"/>
  <c r="I14" i="9" s="1"/>
  <c r="N12" i="5" s="1"/>
  <c r="F14" i="9" a="1"/>
  <c r="F14" i="9" s="1"/>
  <c r="E14" i="9"/>
  <c r="I13" i="9" a="1"/>
  <c r="I13" i="9" s="1"/>
  <c r="N11" i="5" s="1"/>
  <c r="F13" i="9" a="1"/>
  <c r="F13" i="9" s="1"/>
  <c r="E13" i="9"/>
  <c r="I12" i="9" a="1"/>
  <c r="I12" i="9" s="1"/>
  <c r="N10" i="5" s="1"/>
  <c r="F12" i="9" a="1"/>
  <c r="F12" i="9" s="1"/>
  <c r="E12" i="9"/>
  <c r="I11" i="9" a="1"/>
  <c r="I11" i="9" s="1"/>
  <c r="N9" i="5" s="1"/>
  <c r="F11" i="9" a="1"/>
  <c r="F11" i="9" s="1"/>
  <c r="E11" i="9"/>
  <c r="I10" i="9" a="1"/>
  <c r="I10" i="9" s="1"/>
  <c r="N8" i="5" s="1"/>
  <c r="F10" i="9" a="1"/>
  <c r="F10" i="9" s="1"/>
  <c r="E10" i="9"/>
  <c r="I9" i="9" a="1"/>
  <c r="I9" i="9" s="1"/>
  <c r="N7" i="5" s="1"/>
  <c r="F9" i="9" a="1"/>
  <c r="F9" i="9" s="1"/>
  <c r="E9" i="9"/>
  <c r="I8" i="9" a="1"/>
  <c r="I8" i="9" s="1"/>
  <c r="F8" i="9" a="1"/>
  <c r="F8" i="9" s="1"/>
  <c r="E8" i="9"/>
  <c r="I7" i="9" a="1"/>
  <c r="I7" i="9" s="1"/>
  <c r="N5" i="5" s="1"/>
  <c r="F7" i="9" a="1"/>
  <c r="F7" i="9" s="1"/>
  <c r="E7" i="9"/>
  <c r="I6" i="9" a="1"/>
  <c r="I6" i="9" s="1"/>
  <c r="N4" i="5" s="1"/>
  <c r="F6" i="9" a="1"/>
  <c r="F6" i="9"/>
  <c r="E6" i="9"/>
  <c r="I5" i="9" a="1"/>
  <c r="I5" i="9" s="1"/>
  <c r="N3" i="5" s="1"/>
  <c r="F5" i="9" a="1"/>
  <c r="F5" i="9" s="1"/>
  <c r="E5" i="9"/>
  <c r="I4" i="9" a="1"/>
  <c r="I4" i="9" s="1"/>
  <c r="N2" i="5" s="1"/>
  <c r="F4" i="9" a="1"/>
  <c r="F4" i="9" s="1"/>
  <c r="E4" i="9"/>
  <c r="I3" i="9" a="1"/>
  <c r="I3" i="9" s="1"/>
  <c r="F3" i="9" a="1"/>
  <c r="F3" i="9" s="1"/>
  <c r="D3" i="9" a="1"/>
  <c r="D3" i="9" s="1"/>
  <c r="E3" i="9" s="1"/>
  <c r="E1" i="9"/>
  <c r="F366" i="7" a="1"/>
  <c r="F366" i="7" s="1"/>
  <c r="E366" i="7" a="1"/>
  <c r="E366" i="7" s="1"/>
  <c r="F365" i="7" a="1"/>
  <c r="F365" i="7" s="1"/>
  <c r="E365" i="7" a="1"/>
  <c r="E365" i="7" s="1"/>
  <c r="F364" i="7" a="1"/>
  <c r="F364" i="7" s="1"/>
  <c r="E364" i="7" a="1"/>
  <c r="E364" i="7" s="1"/>
  <c r="F363" i="7" a="1"/>
  <c r="F363" i="7" s="1"/>
  <c r="E363" i="7" a="1"/>
  <c r="E363" i="7" s="1"/>
  <c r="F362" i="7" a="1"/>
  <c r="F362" i="7" s="1"/>
  <c r="E362" i="7" a="1"/>
  <c r="E362" i="7" s="1"/>
  <c r="F361" i="7" a="1"/>
  <c r="F361" i="7" s="1"/>
  <c r="E361" i="7" a="1"/>
  <c r="E361" i="7" s="1"/>
  <c r="F360" i="7" a="1"/>
  <c r="F360" i="7" s="1"/>
  <c r="E360" i="7" a="1"/>
  <c r="E360" i="7" s="1"/>
  <c r="F359" i="7" a="1"/>
  <c r="F359" i="7" s="1"/>
  <c r="E359" i="7" a="1"/>
  <c r="E359" i="7" s="1"/>
  <c r="F358" i="7" a="1"/>
  <c r="F358" i="7" s="1"/>
  <c r="E358" i="7" a="1"/>
  <c r="E358" i="7" s="1"/>
  <c r="F357" i="7" a="1"/>
  <c r="F357" i="7" s="1"/>
  <c r="E357" i="7" a="1"/>
  <c r="E357" i="7" s="1"/>
  <c r="F356" i="7" a="1"/>
  <c r="F356" i="7" s="1"/>
  <c r="E356" i="7" a="1"/>
  <c r="E356" i="7" s="1"/>
  <c r="F355" i="7" a="1"/>
  <c r="F355" i="7" s="1"/>
  <c r="E355" i="7" a="1"/>
  <c r="E355" i="7" s="1"/>
  <c r="F354" i="7" a="1"/>
  <c r="F354" i="7" s="1"/>
  <c r="E354" i="7" a="1"/>
  <c r="E354" i="7" s="1"/>
  <c r="F353" i="7" a="1"/>
  <c r="F353" i="7" s="1"/>
  <c r="E353" i="7" a="1"/>
  <c r="E353" i="7" s="1"/>
  <c r="F352" i="7" a="1"/>
  <c r="F352" i="7" s="1"/>
  <c r="E352" i="7" a="1"/>
  <c r="E352" i="7" s="1"/>
  <c r="F351" i="7" a="1"/>
  <c r="F351" i="7" s="1"/>
  <c r="E351" i="7" a="1"/>
  <c r="E351" i="7" s="1"/>
  <c r="F350" i="7" a="1"/>
  <c r="F350" i="7" s="1"/>
  <c r="E350" i="7" a="1"/>
  <c r="E350" i="7" s="1"/>
  <c r="F349" i="7" a="1"/>
  <c r="F349" i="7" s="1"/>
  <c r="E349" i="7" a="1"/>
  <c r="E349" i="7" s="1"/>
  <c r="F348" i="7" a="1"/>
  <c r="F348" i="7" s="1"/>
  <c r="E348" i="7" a="1"/>
  <c r="E348" i="7" s="1"/>
  <c r="F347" i="7" a="1"/>
  <c r="F347" i="7" s="1"/>
  <c r="E347" i="7" a="1"/>
  <c r="E347" i="7" s="1"/>
  <c r="F346" i="7" a="1"/>
  <c r="F346" i="7" s="1"/>
  <c r="E346" i="7" a="1"/>
  <c r="E346" i="7" s="1"/>
  <c r="F345" i="7" a="1"/>
  <c r="F345" i="7" s="1"/>
  <c r="E345" i="7" a="1"/>
  <c r="E345" i="7" s="1"/>
  <c r="F344" i="7" a="1"/>
  <c r="F344" i="7" s="1"/>
  <c r="E344" i="7" a="1"/>
  <c r="E344" i="7" s="1"/>
  <c r="F343" i="7" a="1"/>
  <c r="F343" i="7" s="1"/>
  <c r="E343" i="7" a="1"/>
  <c r="E343" i="7" s="1"/>
  <c r="F342" i="7" a="1"/>
  <c r="F342" i="7" s="1"/>
  <c r="E342" i="7" a="1"/>
  <c r="E342" i="7" s="1"/>
  <c r="F341" i="7" a="1"/>
  <c r="F341" i="7" s="1"/>
  <c r="E341" i="7" a="1"/>
  <c r="E341" i="7" s="1"/>
  <c r="F340" i="7" a="1"/>
  <c r="F340" i="7" s="1"/>
  <c r="E340" i="7" a="1"/>
  <c r="E340" i="7" s="1"/>
  <c r="F339" i="7" a="1"/>
  <c r="F339" i="7" s="1"/>
  <c r="E339" i="7" a="1"/>
  <c r="E339" i="7" s="1"/>
  <c r="F338" i="7" a="1"/>
  <c r="F338" i="7" s="1"/>
  <c r="E338" i="7" a="1"/>
  <c r="E338" i="7" s="1"/>
  <c r="F337" i="7" a="1"/>
  <c r="F337" i="7" s="1"/>
  <c r="E337" i="7" a="1"/>
  <c r="E337" i="7" s="1"/>
  <c r="F336" i="7" a="1"/>
  <c r="F336" i="7" s="1"/>
  <c r="E336" i="7" a="1"/>
  <c r="E336" i="7" s="1"/>
  <c r="F335" i="7" a="1"/>
  <c r="F335" i="7" s="1"/>
  <c r="E335" i="7" a="1"/>
  <c r="E335" i="7" s="1"/>
  <c r="F334" i="7" a="1"/>
  <c r="F334" i="7" s="1"/>
  <c r="E334" i="7" a="1"/>
  <c r="E334" i="7" s="1"/>
  <c r="F333" i="7" a="1"/>
  <c r="F333" i="7" s="1"/>
  <c r="E333" i="7" a="1"/>
  <c r="E333" i="7" s="1"/>
  <c r="F332" i="7" a="1"/>
  <c r="F332" i="7" s="1"/>
  <c r="E332" i="7" a="1"/>
  <c r="E332" i="7" s="1"/>
  <c r="F331" i="7" a="1"/>
  <c r="F331" i="7" s="1"/>
  <c r="E331" i="7" a="1"/>
  <c r="E331" i="7" s="1"/>
  <c r="F330" i="7" a="1"/>
  <c r="F330" i="7" s="1"/>
  <c r="E330" i="7" a="1"/>
  <c r="E330" i="7" s="1"/>
  <c r="F329" i="7" a="1"/>
  <c r="F329" i="7" s="1"/>
  <c r="E329" i="7" a="1"/>
  <c r="E329" i="7" s="1"/>
  <c r="F328" i="7" a="1"/>
  <c r="F328" i="7" s="1"/>
  <c r="E328" i="7" a="1"/>
  <c r="E328" i="7" s="1"/>
  <c r="F327" i="7" a="1"/>
  <c r="F327" i="7" s="1"/>
  <c r="E327" i="7" a="1"/>
  <c r="E327" i="7" s="1"/>
  <c r="F326" i="7" a="1"/>
  <c r="F326" i="7" s="1"/>
  <c r="E326" i="7" a="1"/>
  <c r="E326" i="7" s="1"/>
  <c r="F325" i="7" a="1"/>
  <c r="F325" i="7" s="1"/>
  <c r="E325" i="7" a="1"/>
  <c r="E325" i="7" s="1"/>
  <c r="F324" i="7" a="1"/>
  <c r="F324" i="7" s="1"/>
  <c r="E324" i="7" a="1"/>
  <c r="E324" i="7" s="1"/>
  <c r="F323" i="7" a="1"/>
  <c r="F323" i="7" s="1"/>
  <c r="E323" i="7" a="1"/>
  <c r="E323" i="7" s="1"/>
  <c r="F322" i="7" a="1"/>
  <c r="F322" i="7" s="1"/>
  <c r="E322" i="7" a="1"/>
  <c r="E322" i="7" s="1"/>
  <c r="F321" i="7" a="1"/>
  <c r="F321" i="7" s="1"/>
  <c r="E321" i="7" a="1"/>
  <c r="E321" i="7" s="1"/>
  <c r="F320" i="7" a="1"/>
  <c r="F320" i="7" s="1"/>
  <c r="E320" i="7" a="1"/>
  <c r="E320" i="7" s="1"/>
  <c r="F319" i="7" a="1"/>
  <c r="F319" i="7" s="1"/>
  <c r="E319" i="7" a="1"/>
  <c r="E319" i="7" s="1"/>
  <c r="F318" i="7" a="1"/>
  <c r="F318" i="7" s="1"/>
  <c r="E318" i="7" a="1"/>
  <c r="E318" i="7" s="1"/>
  <c r="F317" i="7" a="1"/>
  <c r="F317" i="7" s="1"/>
  <c r="E317" i="7" a="1"/>
  <c r="E317" i="7" s="1"/>
  <c r="F316" i="7" a="1"/>
  <c r="F316" i="7" s="1"/>
  <c r="E316" i="7" a="1"/>
  <c r="E316" i="7" s="1"/>
  <c r="F315" i="7" a="1"/>
  <c r="F315" i="7" s="1"/>
  <c r="E315" i="7" a="1"/>
  <c r="E315" i="7" s="1"/>
  <c r="F314" i="7" a="1"/>
  <c r="F314" i="7" s="1"/>
  <c r="E314" i="7" a="1"/>
  <c r="E314" i="7" s="1"/>
  <c r="F313" i="7" a="1"/>
  <c r="F313" i="7" s="1"/>
  <c r="E313" i="7" a="1"/>
  <c r="E313" i="7" s="1"/>
  <c r="F312" i="7" a="1"/>
  <c r="F312" i="7" s="1"/>
  <c r="E312" i="7" a="1"/>
  <c r="E312" i="7" s="1"/>
  <c r="F311" i="7" a="1"/>
  <c r="F311" i="7" s="1"/>
  <c r="E311" i="7" a="1"/>
  <c r="E311" i="7" s="1"/>
  <c r="F310" i="7" a="1"/>
  <c r="F310" i="7" s="1"/>
  <c r="E310" i="7" a="1"/>
  <c r="E310" i="7" s="1"/>
  <c r="F309" i="7" a="1"/>
  <c r="F309" i="7" s="1"/>
  <c r="E309" i="7" a="1"/>
  <c r="E309" i="7" s="1"/>
  <c r="F308" i="7" a="1"/>
  <c r="F308" i="7" s="1"/>
  <c r="E308" i="7" a="1"/>
  <c r="E308" i="7" s="1"/>
  <c r="F307" i="7" a="1"/>
  <c r="F307" i="7" s="1"/>
  <c r="E307" i="7" a="1"/>
  <c r="E307" i="7" s="1"/>
  <c r="F306" i="7" a="1"/>
  <c r="F306" i="7" s="1"/>
  <c r="E306" i="7" a="1"/>
  <c r="E306" i="7" s="1"/>
  <c r="F305" i="7" a="1"/>
  <c r="F305" i="7" s="1"/>
  <c r="E305" i="7" a="1"/>
  <c r="E305" i="7" s="1"/>
  <c r="F304" i="7" a="1"/>
  <c r="F304" i="7" s="1"/>
  <c r="E304" i="7" a="1"/>
  <c r="E304" i="7" s="1"/>
  <c r="F303" i="7" a="1"/>
  <c r="F303" i="7" s="1"/>
  <c r="E303" i="7" a="1"/>
  <c r="E303" i="7" s="1"/>
  <c r="F302" i="7" a="1"/>
  <c r="F302" i="7"/>
  <c r="E302" i="7" a="1"/>
  <c r="E302" i="7" s="1"/>
  <c r="F301" i="7" a="1"/>
  <c r="F301" i="7" s="1"/>
  <c r="E301" i="7" a="1"/>
  <c r="E301" i="7" s="1"/>
  <c r="F300" i="7" a="1"/>
  <c r="F300" i="7" s="1"/>
  <c r="E300" i="7" a="1"/>
  <c r="E300" i="7" s="1"/>
  <c r="F299" i="7" a="1"/>
  <c r="F299" i="7" s="1"/>
  <c r="E299" i="7" a="1"/>
  <c r="E299" i="7"/>
  <c r="F298" i="7" a="1"/>
  <c r="F298" i="7" s="1"/>
  <c r="E298" i="7" a="1"/>
  <c r="E298" i="7" s="1"/>
  <c r="F297" i="7" a="1"/>
  <c r="F297" i="7" s="1"/>
  <c r="E297" i="7" a="1"/>
  <c r="E297" i="7" s="1"/>
  <c r="F296" i="7" a="1"/>
  <c r="F296" i="7" s="1"/>
  <c r="E296" i="7" a="1"/>
  <c r="E296" i="7" s="1"/>
  <c r="F295" i="7" a="1"/>
  <c r="F295" i="7" s="1"/>
  <c r="E295" i="7" a="1"/>
  <c r="E295" i="7" s="1"/>
  <c r="F294" i="7" a="1"/>
  <c r="F294" i="7" s="1"/>
  <c r="E294" i="7" a="1"/>
  <c r="E294" i="7" s="1"/>
  <c r="F293" i="7" a="1"/>
  <c r="F293" i="7" s="1"/>
  <c r="E293" i="7" a="1"/>
  <c r="E293" i="7" s="1"/>
  <c r="F292" i="7" a="1"/>
  <c r="F292" i="7" s="1"/>
  <c r="E292" i="7" a="1"/>
  <c r="E292" i="7" s="1"/>
  <c r="F291" i="7" a="1"/>
  <c r="F291" i="7" s="1"/>
  <c r="E291" i="7" a="1"/>
  <c r="E291" i="7" s="1"/>
  <c r="F290" i="7" a="1"/>
  <c r="F290" i="7" s="1"/>
  <c r="E290" i="7" a="1"/>
  <c r="E290" i="7" s="1"/>
  <c r="F289" i="7" a="1"/>
  <c r="F289" i="7" s="1"/>
  <c r="E289" i="7" a="1"/>
  <c r="E289" i="7" s="1"/>
  <c r="F288" i="7" a="1"/>
  <c r="F288" i="7" s="1"/>
  <c r="E288" i="7" a="1"/>
  <c r="E288" i="7" s="1"/>
  <c r="F287" i="7" a="1"/>
  <c r="F287" i="7" s="1"/>
  <c r="E287" i="7" a="1"/>
  <c r="E287" i="7" s="1"/>
  <c r="F286" i="7" a="1"/>
  <c r="F286" i="7" s="1"/>
  <c r="E286" i="7" a="1"/>
  <c r="E286" i="7" s="1"/>
  <c r="F285" i="7" a="1"/>
  <c r="F285" i="7" s="1"/>
  <c r="E285" i="7" a="1"/>
  <c r="E285" i="7" s="1"/>
  <c r="F284" i="7" a="1"/>
  <c r="F284" i="7" s="1"/>
  <c r="E284" i="7" a="1"/>
  <c r="E284" i="7" s="1"/>
  <c r="F283" i="7" a="1"/>
  <c r="F283" i="7" s="1"/>
  <c r="E283" i="7" a="1"/>
  <c r="E283" i="7" s="1"/>
  <c r="F282" i="7" a="1"/>
  <c r="F282" i="7" s="1"/>
  <c r="E282" i="7" a="1"/>
  <c r="E282" i="7" s="1"/>
  <c r="F281" i="7" a="1"/>
  <c r="F281" i="7" s="1"/>
  <c r="E281" i="7" a="1"/>
  <c r="E281" i="7" s="1"/>
  <c r="F280" i="7" a="1"/>
  <c r="F280" i="7" s="1"/>
  <c r="E280" i="7" a="1"/>
  <c r="E280" i="7" s="1"/>
  <c r="F279" i="7" a="1"/>
  <c r="F279" i="7" s="1"/>
  <c r="E279" i="7" a="1"/>
  <c r="E279" i="7" s="1"/>
  <c r="F278" i="7" a="1"/>
  <c r="F278" i="7" s="1"/>
  <c r="E278" i="7" a="1"/>
  <c r="E278" i="7" s="1"/>
  <c r="F277" i="7" a="1"/>
  <c r="F277" i="7" s="1"/>
  <c r="E277" i="7" a="1"/>
  <c r="E277" i="7" s="1"/>
  <c r="F276" i="7" a="1"/>
  <c r="F276" i="7" s="1"/>
  <c r="E276" i="7" a="1"/>
  <c r="E276" i="7" s="1"/>
  <c r="F275" i="7" a="1"/>
  <c r="F275" i="7" s="1"/>
  <c r="E275" i="7" a="1"/>
  <c r="E275" i="7" s="1"/>
  <c r="F274" i="7" a="1"/>
  <c r="F274" i="7" s="1"/>
  <c r="E274" i="7" a="1"/>
  <c r="E274" i="7" s="1"/>
  <c r="F273" i="7" a="1"/>
  <c r="F273" i="7" s="1"/>
  <c r="E273" i="7" a="1"/>
  <c r="E273" i="7" s="1"/>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J32" i="6"/>
  <c r="I32" i="6" a="1"/>
  <c r="I32" i="6" s="1"/>
  <c r="Q32" i="6" s="1"/>
  <c r="D32" i="6" a="1"/>
  <c r="D32" i="6" s="1"/>
  <c r="I31" i="6" a="1"/>
  <c r="I31" i="6" s="1"/>
  <c r="Q31" i="6" s="1"/>
  <c r="D31" i="6" a="1"/>
  <c r="D31" i="6" s="1"/>
  <c r="I30" i="6" a="1"/>
  <c r="I30" i="6" s="1"/>
  <c r="Q30" i="6" s="1"/>
  <c r="D30" i="6" a="1"/>
  <c r="D30" i="6" s="1"/>
  <c r="I29" i="6" a="1"/>
  <c r="I29" i="6" s="1"/>
  <c r="Q29" i="6" s="1"/>
  <c r="D29" i="6" a="1"/>
  <c r="D29" i="6" s="1"/>
  <c r="I28" i="6" a="1"/>
  <c r="I28" i="6" s="1"/>
  <c r="Q28" i="6" s="1"/>
  <c r="D28" i="6" a="1"/>
  <c r="D28" i="6" s="1"/>
  <c r="I27" i="6" a="1"/>
  <c r="I27" i="6" s="1"/>
  <c r="Q27" i="6" s="1"/>
  <c r="D27" i="6" a="1"/>
  <c r="D27" i="6" s="1"/>
  <c r="J26" i="6"/>
  <c r="I26" i="6" a="1"/>
  <c r="I26" i="6" s="1"/>
  <c r="Q26" i="6" s="1"/>
  <c r="D26" i="6" a="1"/>
  <c r="D26" i="6" s="1"/>
  <c r="I25" i="6" a="1"/>
  <c r="I25" i="6" s="1"/>
  <c r="Q25" i="6" s="1"/>
  <c r="D25" i="6" a="1"/>
  <c r="D25" i="6" s="1"/>
  <c r="I24" i="6" a="1"/>
  <c r="I24" i="6" s="1"/>
  <c r="Q24" i="6" s="1"/>
  <c r="D24" i="6" a="1"/>
  <c r="D24" i="6" s="1"/>
  <c r="I23" i="6" a="1"/>
  <c r="I23" i="6" s="1"/>
  <c r="Q23" i="6" s="1"/>
  <c r="D23" i="6" a="1"/>
  <c r="D23" i="6" s="1"/>
  <c r="J22" i="6"/>
  <c r="I22" i="6" a="1"/>
  <c r="I22" i="6" s="1"/>
  <c r="Q22" i="6" s="1"/>
  <c r="D22" i="6" a="1"/>
  <c r="D22" i="6" s="1"/>
  <c r="J21" i="6"/>
  <c r="I21" i="6" a="1"/>
  <c r="I21" i="6" s="1"/>
  <c r="Q21" i="6" s="1"/>
  <c r="D21" i="6" a="1"/>
  <c r="D21" i="6" s="1"/>
  <c r="J20" i="6"/>
  <c r="I20" i="6" a="1"/>
  <c r="I20" i="6" s="1"/>
  <c r="Q20" i="6" s="1"/>
  <c r="D20" i="6" a="1"/>
  <c r="D20" i="6" s="1"/>
  <c r="I19" i="6" a="1"/>
  <c r="I19" i="6" s="1"/>
  <c r="Q19" i="6" s="1"/>
  <c r="D19" i="6" a="1"/>
  <c r="D19" i="6" s="1"/>
  <c r="I18" i="6" a="1"/>
  <c r="I18" i="6" s="1"/>
  <c r="Q18" i="6" s="1"/>
  <c r="D18" i="6" a="1"/>
  <c r="D18" i="6" s="1"/>
  <c r="I17" i="6" a="1"/>
  <c r="I17" i="6" s="1"/>
  <c r="Q17" i="6" s="1"/>
  <c r="D17" i="6" a="1"/>
  <c r="D17" i="6" s="1"/>
  <c r="J16" i="6"/>
  <c r="I16" i="6" a="1"/>
  <c r="I16" i="6" s="1"/>
  <c r="Q16" i="6" s="1"/>
  <c r="D16" i="6" a="1"/>
  <c r="D16" i="6" s="1"/>
  <c r="I15" i="6" a="1"/>
  <c r="I15" i="6" s="1"/>
  <c r="Q15" i="6" s="1"/>
  <c r="D15" i="6" a="1"/>
  <c r="D15" i="6" s="1"/>
  <c r="I14" i="6" a="1"/>
  <c r="I14" i="6" s="1"/>
  <c r="Q14" i="6" s="1"/>
  <c r="D14" i="6" a="1"/>
  <c r="D14" i="6" s="1"/>
  <c r="J13" i="6"/>
  <c r="I13" i="6" a="1"/>
  <c r="I13" i="6" s="1"/>
  <c r="Q13" i="6" s="1"/>
  <c r="D13" i="6" a="1"/>
  <c r="D13" i="6" s="1"/>
  <c r="J12" i="6"/>
  <c r="I12" i="6" a="1"/>
  <c r="I12" i="6" s="1"/>
  <c r="Q12" i="6" s="1"/>
  <c r="D12" i="6" a="1"/>
  <c r="D12" i="6" s="1"/>
  <c r="I11" i="6" a="1"/>
  <c r="I11" i="6" s="1"/>
  <c r="Q11" i="6" s="1"/>
  <c r="D11" i="6" a="1"/>
  <c r="D11" i="6" s="1"/>
  <c r="I10" i="6" a="1"/>
  <c r="I10" i="6" s="1"/>
  <c r="Q10" i="6" s="1"/>
  <c r="D10" i="6" a="1"/>
  <c r="D10" i="6" s="1"/>
  <c r="I9" i="6" a="1"/>
  <c r="I9" i="6" s="1"/>
  <c r="Q9" i="6" s="1"/>
  <c r="D9" i="6" a="1"/>
  <c r="D9" i="6" s="1"/>
  <c r="J8" i="6"/>
  <c r="I8" i="6" a="1"/>
  <c r="I8" i="6" s="1"/>
  <c r="Q8" i="6" s="1"/>
  <c r="D8" i="6" a="1"/>
  <c r="D8" i="6" s="1"/>
  <c r="I7" i="6" a="1"/>
  <c r="I7" i="6" s="1"/>
  <c r="Q7" i="6" s="1"/>
  <c r="D7" i="6" a="1"/>
  <c r="D7" i="6" s="1"/>
  <c r="J6" i="6"/>
  <c r="I6" i="6" a="1"/>
  <c r="I6" i="6" s="1"/>
  <c r="Q6" i="6" s="1"/>
  <c r="D6" i="6" a="1"/>
  <c r="D6" i="6" s="1"/>
  <c r="J5" i="6"/>
  <c r="I5" i="6" a="1"/>
  <c r="I5" i="6" s="1"/>
  <c r="Q5" i="6" s="1"/>
  <c r="D5" i="6" a="1"/>
  <c r="D5" i="6" s="1"/>
  <c r="M4" i="6"/>
  <c r="O4" i="6" s="1"/>
  <c r="J29" i="6" s="1"/>
  <c r="J4" i="6"/>
  <c r="I4" i="6" a="1"/>
  <c r="I4" i="6" s="1"/>
  <c r="Q4" i="6" s="1"/>
  <c r="D4" i="6" a="1"/>
  <c r="D4" i="6" s="1"/>
  <c r="J3" i="6"/>
  <c r="I3" i="6" a="1"/>
  <c r="I3" i="6" s="1"/>
  <c r="Q3" i="6" s="1"/>
  <c r="D3" i="6" a="1"/>
  <c r="D3" i="6" s="1"/>
  <c r="J2" i="6"/>
  <c r="I2" i="6" a="1"/>
  <c r="I2" i="6" s="1"/>
  <c r="Q2" i="6" s="1"/>
  <c r="D2" i="6" a="1"/>
  <c r="D2" i="6" s="1"/>
  <c r="J46" i="16" l="1" a="1"/>
  <c r="J46" i="16" s="1"/>
  <c r="K26" i="6"/>
  <c r="K29" i="6"/>
  <c r="K5" i="6"/>
  <c r="K21" i="6"/>
  <c r="K4" i="6"/>
  <c r="K32" i="6"/>
  <c r="K3" i="6"/>
  <c r="K6" i="6"/>
  <c r="K8" i="6"/>
  <c r="K13" i="6"/>
  <c r="K58" i="5"/>
  <c r="T58" i="5"/>
  <c r="U58" i="5" s="1"/>
  <c r="V58" i="5" s="1"/>
  <c r="N100" i="8"/>
  <c r="O100" i="8" s="1"/>
  <c r="Q100" i="8" s="1"/>
  <c r="R100" i="8" s="1"/>
  <c r="S100" i="8" s="1"/>
  <c r="N2" i="8"/>
  <c r="O2" i="8" s="1"/>
  <c r="Q2" i="8" s="1"/>
  <c r="R2" i="8" s="1"/>
  <c r="S2" i="8" s="1"/>
  <c r="M2" i="5"/>
  <c r="T2" i="5" s="1"/>
  <c r="N4" i="8"/>
  <c r="O4" i="8" s="1"/>
  <c r="Q4" i="8" s="1"/>
  <c r="R4" i="8" s="1"/>
  <c r="S4" i="8" s="1"/>
  <c r="M3" i="5"/>
  <c r="T3" i="5" s="1"/>
  <c r="U3" i="5" s="1"/>
  <c r="V3" i="5" s="1"/>
  <c r="J6" i="9"/>
  <c r="N6" i="8"/>
  <c r="O6" i="8" s="1"/>
  <c r="Q6" i="8" s="1"/>
  <c r="R6" i="8" s="1"/>
  <c r="S6" i="8" s="1"/>
  <c r="M4" i="5"/>
  <c r="T4" i="5" s="1"/>
  <c r="U4" i="5" s="1"/>
  <c r="V4" i="5" s="1"/>
  <c r="G6" i="9"/>
  <c r="H6" i="9" s="1"/>
  <c r="N7" i="8"/>
  <c r="O7" i="8" s="1"/>
  <c r="Q7" i="8" s="1"/>
  <c r="R7" i="8" s="1"/>
  <c r="S7" i="8" s="1"/>
  <c r="M5" i="5"/>
  <c r="T5" i="5" s="1"/>
  <c r="U5" i="5" s="1"/>
  <c r="V5" i="5" s="1"/>
  <c r="G8" i="9"/>
  <c r="H8" i="9" s="1"/>
  <c r="N12" i="8"/>
  <c r="O12" i="8" s="1"/>
  <c r="Q12" i="8" s="1"/>
  <c r="R12" i="8" s="1"/>
  <c r="S12" i="8" s="1"/>
  <c r="M6" i="5"/>
  <c r="J8" i="9"/>
  <c r="N6" i="5"/>
  <c r="N20" i="8"/>
  <c r="O20" i="8" s="1"/>
  <c r="Q20" i="8" s="1"/>
  <c r="R20" i="8" s="1"/>
  <c r="S20" i="8" s="1"/>
  <c r="M7" i="5"/>
  <c r="J7" i="5" s="1"/>
  <c r="J9" i="9"/>
  <c r="G9" i="9"/>
  <c r="H9" i="9" s="1"/>
  <c r="N23" i="8"/>
  <c r="O23" i="8" s="1"/>
  <c r="Q23" i="8" s="1"/>
  <c r="R23" i="8" s="1"/>
  <c r="S23" i="8" s="1"/>
  <c r="M8" i="5"/>
  <c r="T8" i="5" s="1"/>
  <c r="U8" i="5" s="1"/>
  <c r="V8" i="5" s="1"/>
  <c r="N24" i="8"/>
  <c r="O24" i="8" s="1"/>
  <c r="Q24" i="8" s="1"/>
  <c r="R24" i="8" s="1"/>
  <c r="S24" i="8" s="1"/>
  <c r="M9" i="5"/>
  <c r="J9" i="5" s="1"/>
  <c r="N25" i="8"/>
  <c r="O25" i="8" s="1"/>
  <c r="Q25" i="8" s="1"/>
  <c r="R25" i="8" s="1"/>
  <c r="S25" i="8" s="1"/>
  <c r="M10" i="5"/>
  <c r="J10" i="5" s="1"/>
  <c r="N29" i="8"/>
  <c r="O29" i="8" s="1"/>
  <c r="Q29" i="8" s="1"/>
  <c r="R29" i="8" s="1"/>
  <c r="S29" i="8" s="1"/>
  <c r="M11" i="5"/>
  <c r="T11" i="5" s="1"/>
  <c r="U11" i="5" s="1"/>
  <c r="V11" i="5" s="1"/>
  <c r="J14" i="9"/>
  <c r="N34" i="8"/>
  <c r="O34" i="8" s="1"/>
  <c r="Q34" i="8" s="1"/>
  <c r="R34" i="8" s="1"/>
  <c r="S34" i="8" s="1"/>
  <c r="M12" i="5"/>
  <c r="T12" i="5" s="1"/>
  <c r="U12" i="5" s="1"/>
  <c r="V12" i="5" s="1"/>
  <c r="G14" i="9"/>
  <c r="H14" i="9" s="1"/>
  <c r="N35" i="8"/>
  <c r="O35" i="8" s="1"/>
  <c r="Q35" i="8" s="1"/>
  <c r="R35" i="8" s="1"/>
  <c r="S35" i="8" s="1"/>
  <c r="M13" i="5"/>
  <c r="T13" i="5" s="1"/>
  <c r="U13" i="5" s="1"/>
  <c r="V13" i="5" s="1"/>
  <c r="G16" i="9"/>
  <c r="H16" i="9" s="1"/>
  <c r="N40" i="8"/>
  <c r="O40" i="8" s="1"/>
  <c r="Q40" i="8" s="1"/>
  <c r="R40" i="8" s="1"/>
  <c r="S40" i="8" s="1"/>
  <c r="M14" i="5"/>
  <c r="J16" i="9"/>
  <c r="N14" i="5"/>
  <c r="N41" i="8"/>
  <c r="O41" i="8" s="1"/>
  <c r="Q41" i="8" s="1"/>
  <c r="R41" i="8" s="1"/>
  <c r="S41" i="8" s="1"/>
  <c r="M15" i="5"/>
  <c r="K15" i="5" s="1"/>
  <c r="J17" i="9"/>
  <c r="G17" i="9"/>
  <c r="H17" i="9" s="1"/>
  <c r="N48" i="8"/>
  <c r="O48" i="8" s="1"/>
  <c r="Q48" i="8" s="1"/>
  <c r="R48" i="8" s="1"/>
  <c r="S48" i="8" s="1"/>
  <c r="M16" i="5"/>
  <c r="T16" i="5" s="1"/>
  <c r="U16" i="5" s="1"/>
  <c r="V16" i="5" s="1"/>
  <c r="N50" i="8"/>
  <c r="O50" i="8" s="1"/>
  <c r="Q50" i="8" s="1"/>
  <c r="R50" i="8" s="1"/>
  <c r="S50" i="8" s="1"/>
  <c r="M17" i="5"/>
  <c r="K17" i="5" s="1"/>
  <c r="N51" i="8"/>
  <c r="O51" i="8" s="1"/>
  <c r="Q51" i="8" s="1"/>
  <c r="R51" i="8" s="1"/>
  <c r="S51" i="8" s="1"/>
  <c r="M18" i="5"/>
  <c r="T18" i="5" s="1"/>
  <c r="U18" i="5" s="1"/>
  <c r="V18" i="5" s="1"/>
  <c r="J22" i="9"/>
  <c r="N53" i="8"/>
  <c r="O53" i="8" s="1"/>
  <c r="Q53" i="8" s="1"/>
  <c r="R53" i="8" s="1"/>
  <c r="S53" i="8" s="1"/>
  <c r="M19" i="5"/>
  <c r="J19" i="5" s="1"/>
  <c r="G22" i="9"/>
  <c r="H22" i="9" s="1"/>
  <c r="N56" i="8"/>
  <c r="O56" i="8" s="1"/>
  <c r="Q56" i="8" s="1"/>
  <c r="R56" i="8" s="1"/>
  <c r="S56" i="8" s="1"/>
  <c r="M20" i="5"/>
  <c r="K20" i="5" s="1"/>
  <c r="J24" i="9"/>
  <c r="N58" i="8"/>
  <c r="O58" i="8" s="1"/>
  <c r="Q58" i="8" s="1"/>
  <c r="R58" i="8" s="1"/>
  <c r="S58" i="8" s="1"/>
  <c r="M21" i="5"/>
  <c r="T21" i="5" s="1"/>
  <c r="U21" i="5" s="1"/>
  <c r="V21" i="5" s="1"/>
  <c r="J25" i="9"/>
  <c r="G25" i="9"/>
  <c r="H25" i="9" s="1"/>
  <c r="N61" i="8"/>
  <c r="O61" i="8" s="1"/>
  <c r="Q61" i="8" s="1"/>
  <c r="R61" i="8" s="1"/>
  <c r="S61" i="8" s="1"/>
  <c r="M23" i="5"/>
  <c r="K23" i="5" s="1"/>
  <c r="N62" i="8"/>
  <c r="O62" i="8" s="1"/>
  <c r="Q62" i="8" s="1"/>
  <c r="R62" i="8" s="1"/>
  <c r="S62" i="8" s="1"/>
  <c r="M24" i="5"/>
  <c r="H24" i="5" s="1"/>
  <c r="N66" i="8"/>
  <c r="O66" i="8" s="1"/>
  <c r="Q66" i="8" s="1"/>
  <c r="R66" i="8" s="1"/>
  <c r="S66" i="8" s="1"/>
  <c r="M25" i="5"/>
  <c r="K25" i="5" s="1"/>
  <c r="N70" i="8"/>
  <c r="O70" i="8" s="1"/>
  <c r="Q70" i="8" s="1"/>
  <c r="R70" i="8" s="1"/>
  <c r="S70" i="8" s="1"/>
  <c r="M26" i="5"/>
  <c r="K26" i="5" s="1"/>
  <c r="N72" i="8"/>
  <c r="O72" i="8" s="1"/>
  <c r="Q72" i="8" s="1"/>
  <c r="R72" i="8" s="1"/>
  <c r="S72" i="8" s="1"/>
  <c r="M27" i="5"/>
  <c r="J27" i="5" s="1"/>
  <c r="G30" i="9"/>
  <c r="H30" i="9" s="1"/>
  <c r="N74" i="8"/>
  <c r="O74" i="8" s="1"/>
  <c r="Q74" i="8" s="1"/>
  <c r="R74" i="8" s="1"/>
  <c r="S74" i="8" s="1"/>
  <c r="M28" i="5"/>
  <c r="K28" i="5" s="1"/>
  <c r="J32" i="9"/>
  <c r="N75" i="8"/>
  <c r="O75" i="8" s="1"/>
  <c r="Q75" i="8" s="1"/>
  <c r="R75" i="8" s="1"/>
  <c r="S75" i="8" s="1"/>
  <c r="M29" i="5"/>
  <c r="T29" i="5" s="1"/>
  <c r="U29" i="5" s="1"/>
  <c r="V29" i="5" s="1"/>
  <c r="N77" i="8"/>
  <c r="O77" i="8" s="1"/>
  <c r="Q77" i="8" s="1"/>
  <c r="R77" i="8" s="1"/>
  <c r="S77" i="8" s="1"/>
  <c r="M30" i="5"/>
  <c r="J30" i="5" s="1"/>
  <c r="J33" i="9"/>
  <c r="G33" i="9"/>
  <c r="H33" i="9" s="1"/>
  <c r="N82" i="8"/>
  <c r="O82" i="8" s="1"/>
  <c r="Q82" i="8" s="1"/>
  <c r="R82" i="8" s="1"/>
  <c r="S82" i="8" s="1"/>
  <c r="M31" i="5"/>
  <c r="K31" i="5" s="1"/>
  <c r="N87" i="8"/>
  <c r="O87" i="8" s="1"/>
  <c r="Q87" i="8" s="1"/>
  <c r="R87" i="8" s="1"/>
  <c r="S87" i="8" s="1"/>
  <c r="M32" i="5"/>
  <c r="H32" i="5" s="1"/>
  <c r="J36" i="9"/>
  <c r="N90" i="8"/>
  <c r="O90" i="8" s="1"/>
  <c r="Q90" i="8" s="1"/>
  <c r="R90" i="8" s="1"/>
  <c r="S90" i="8" s="1"/>
  <c r="M33" i="5"/>
  <c r="J33" i="5" s="1"/>
  <c r="G38" i="9"/>
  <c r="H38" i="9" s="1"/>
  <c r="N92" i="8"/>
  <c r="O92" i="8" s="1"/>
  <c r="Q92" i="8" s="1"/>
  <c r="R92" i="8" s="1"/>
  <c r="S92" i="8" s="1"/>
  <c r="M34" i="5"/>
  <c r="K34" i="5" s="1"/>
  <c r="N93" i="8"/>
  <c r="O93" i="8" s="1"/>
  <c r="Q93" i="8" s="1"/>
  <c r="R93" i="8" s="1"/>
  <c r="S93" i="8" s="1"/>
  <c r="M35" i="5"/>
  <c r="J35" i="5" s="1"/>
  <c r="N95" i="8"/>
  <c r="O95" i="8" s="1"/>
  <c r="Q95" i="8" s="1"/>
  <c r="R95" i="8" s="1"/>
  <c r="S95" i="8" s="1"/>
  <c r="M36" i="5"/>
  <c r="K36" i="5" s="1"/>
  <c r="J41" i="9"/>
  <c r="N98" i="8"/>
  <c r="O98" i="8" s="1"/>
  <c r="Q98" i="8" s="1"/>
  <c r="R98" i="8" s="1"/>
  <c r="S98" i="8" s="1"/>
  <c r="M37" i="5"/>
  <c r="T37" i="5" s="1"/>
  <c r="U37" i="5" s="1"/>
  <c r="V37" i="5" s="1"/>
  <c r="G41" i="9"/>
  <c r="H41" i="9" s="1"/>
  <c r="N3" i="8"/>
  <c r="O3" i="8" s="1"/>
  <c r="Q3" i="8" s="1"/>
  <c r="R3" i="8" s="1"/>
  <c r="S3" i="8" s="1"/>
  <c r="M38" i="5"/>
  <c r="J38" i="5" s="1"/>
  <c r="N5" i="8"/>
  <c r="O5" i="8" s="1"/>
  <c r="Q5" i="8" s="1"/>
  <c r="R5" i="8" s="1"/>
  <c r="S5" i="8" s="1"/>
  <c r="M39" i="5"/>
  <c r="K39" i="5" s="1"/>
  <c r="G44" i="9"/>
  <c r="H44" i="9" s="1"/>
  <c r="N8" i="8"/>
  <c r="O8" i="8" s="1"/>
  <c r="Q8" i="8" s="1"/>
  <c r="R8" i="8" s="1"/>
  <c r="S8" i="8" s="1"/>
  <c r="M40" i="5"/>
  <c r="H40" i="5" s="1"/>
  <c r="J45" i="9"/>
  <c r="N9" i="8"/>
  <c r="O9" i="8" s="1"/>
  <c r="Q9" i="8" s="1"/>
  <c r="R9" i="8" s="1"/>
  <c r="S9" i="8" s="1"/>
  <c r="M41" i="5"/>
  <c r="K41" i="5" s="1"/>
  <c r="G45" i="9"/>
  <c r="H45" i="9" s="1"/>
  <c r="G46" i="9"/>
  <c r="H46" i="9" s="1"/>
  <c r="N10" i="8"/>
  <c r="O10" i="8" s="1"/>
  <c r="Q10" i="8" s="1"/>
  <c r="R10" i="8" s="1"/>
  <c r="S10" i="8" s="1"/>
  <c r="M42" i="5"/>
  <c r="T42" i="5" s="1"/>
  <c r="U42" i="5" s="1"/>
  <c r="V42" i="5" s="1"/>
  <c r="N14" i="8"/>
  <c r="O14" i="8" s="1"/>
  <c r="Q14" i="8" s="1"/>
  <c r="R14" i="8" s="1"/>
  <c r="S14" i="8" s="1"/>
  <c r="M43" i="5"/>
  <c r="J43" i="5" s="1"/>
  <c r="N26" i="8"/>
  <c r="O26" i="8" s="1"/>
  <c r="Q26" i="8" s="1"/>
  <c r="R26" i="8" s="1"/>
  <c r="S26" i="8" s="1"/>
  <c r="M44" i="5"/>
  <c r="K44" i="5" s="1"/>
  <c r="J48" i="9"/>
  <c r="J49" i="9"/>
  <c r="N30" i="8"/>
  <c r="O30" i="8" s="1"/>
  <c r="Q30" i="8" s="1"/>
  <c r="R30" i="8" s="1"/>
  <c r="S30" i="8" s="1"/>
  <c r="M45" i="5"/>
  <c r="J45" i="5" s="1"/>
  <c r="G49" i="9"/>
  <c r="H49" i="9" s="1"/>
  <c r="N33" i="8"/>
  <c r="O33" i="8" s="1"/>
  <c r="Q33" i="8" s="1"/>
  <c r="R33" i="8" s="1"/>
  <c r="S33" i="8" s="1"/>
  <c r="M46" i="5"/>
  <c r="H46" i="5" s="1"/>
  <c r="N36" i="8"/>
  <c r="O36" i="8" s="1"/>
  <c r="Q36" i="8" s="1"/>
  <c r="R36" i="8" s="1"/>
  <c r="S36" i="8" s="1"/>
  <c r="M47" i="5"/>
  <c r="H47" i="5" s="1"/>
  <c r="N42" i="8"/>
  <c r="O42" i="8" s="1"/>
  <c r="Q42" i="8" s="1"/>
  <c r="R42" i="8" s="1"/>
  <c r="S42" i="8" s="1"/>
  <c r="M48" i="5"/>
  <c r="J48" i="5" s="1"/>
  <c r="G53" i="9"/>
  <c r="H53" i="9" s="1"/>
  <c r="G54" i="9"/>
  <c r="H54" i="9" s="1"/>
  <c r="N52" i="8"/>
  <c r="O52" i="8" s="1"/>
  <c r="Q52" i="8" s="1"/>
  <c r="R52" i="8" s="1"/>
  <c r="S52" i="8" s="1"/>
  <c r="M50" i="5"/>
  <c r="H50" i="5" s="1"/>
  <c r="G55" i="9"/>
  <c r="H55" i="9" s="1"/>
  <c r="N59" i="8"/>
  <c r="O59" i="8" s="1"/>
  <c r="Q59" i="8" s="1"/>
  <c r="R59" i="8" s="1"/>
  <c r="S59" i="8" s="1"/>
  <c r="M51" i="5"/>
  <c r="H51" i="5" s="1"/>
  <c r="G56" i="9"/>
  <c r="H56" i="9" s="1"/>
  <c r="N65" i="8"/>
  <c r="O65" i="8" s="1"/>
  <c r="Q65" i="8" s="1"/>
  <c r="R65" i="8" s="1"/>
  <c r="S65" i="8" s="1"/>
  <c r="M52" i="5"/>
  <c r="J52" i="5" s="1"/>
  <c r="J56" i="9"/>
  <c r="J57" i="9"/>
  <c r="N79" i="8"/>
  <c r="O79" i="8" s="1"/>
  <c r="Q79" i="8" s="1"/>
  <c r="R79" i="8" s="1"/>
  <c r="S79" i="8" s="1"/>
  <c r="M53" i="5"/>
  <c r="H53" i="5" s="1"/>
  <c r="G57" i="9"/>
  <c r="H57" i="9" s="1"/>
  <c r="N80" i="8"/>
  <c r="O80" i="8" s="1"/>
  <c r="Q80" i="8" s="1"/>
  <c r="R80" i="8" s="1"/>
  <c r="S80" i="8" s="1"/>
  <c r="M54" i="5"/>
  <c r="J54" i="5" s="1"/>
  <c r="N81" i="8"/>
  <c r="O81" i="8" s="1"/>
  <c r="Q81" i="8" s="1"/>
  <c r="R81" i="8" s="1"/>
  <c r="S81" i="8" s="1"/>
  <c r="M55" i="5"/>
  <c r="H55" i="5" s="1"/>
  <c r="J61" i="9"/>
  <c r="N89" i="8"/>
  <c r="O89" i="8" s="1"/>
  <c r="Q89" i="8" s="1"/>
  <c r="R89" i="8" s="1"/>
  <c r="S89" i="8" s="1"/>
  <c r="M56" i="5"/>
  <c r="H56" i="5" s="1"/>
  <c r="G61" i="9"/>
  <c r="H61" i="9" s="1"/>
  <c r="N91" i="8"/>
  <c r="O91" i="8" s="1"/>
  <c r="Q91" i="8" s="1"/>
  <c r="R91" i="8" s="1"/>
  <c r="S91" i="8" s="1"/>
  <c r="M57" i="5"/>
  <c r="J57" i="5" s="1"/>
  <c r="G63" i="9"/>
  <c r="H63" i="9" s="1"/>
  <c r="N101" i="8"/>
  <c r="O101" i="8" s="1"/>
  <c r="Q101" i="8" s="1"/>
  <c r="R101" i="8" s="1"/>
  <c r="S101" i="8" s="1"/>
  <c r="M59" i="5"/>
  <c r="H59" i="5" s="1"/>
  <c r="N44" i="8"/>
  <c r="O44" i="8" s="1"/>
  <c r="Q44" i="8" s="1"/>
  <c r="R44" i="8" s="1"/>
  <c r="S44" i="8" s="1"/>
  <c r="M49" i="5"/>
  <c r="H49" i="5" s="1"/>
  <c r="N60" i="8"/>
  <c r="O60" i="8" s="1"/>
  <c r="Q60" i="8" s="1"/>
  <c r="R60" i="8" s="1"/>
  <c r="S60" i="8" s="1"/>
  <c r="M22" i="5"/>
  <c r="K22" i="5" s="1"/>
  <c r="E8" i="16"/>
  <c r="E10" i="16" s="1"/>
  <c r="B11" i="16"/>
  <c r="C29" i="16"/>
  <c r="C21" i="16"/>
  <c r="C28" i="16"/>
  <c r="D35" i="16"/>
  <c r="B23" i="16"/>
  <c r="C19" i="16"/>
  <c r="K6" i="5"/>
  <c r="J6" i="5"/>
  <c r="H4" i="5"/>
  <c r="T6" i="5"/>
  <c r="U6" i="5" s="1"/>
  <c r="J25" i="5"/>
  <c r="H58" i="5"/>
  <c r="J58" i="5"/>
  <c r="K12" i="6"/>
  <c r="J26" i="9"/>
  <c r="G26" i="9"/>
  <c r="H26" i="9" s="1"/>
  <c r="G28" i="9"/>
  <c r="H28" i="9" s="1"/>
  <c r="J28" i="9"/>
  <c r="J14" i="6"/>
  <c r="K14" i="6" s="1"/>
  <c r="J28" i="6"/>
  <c r="K28" i="6" s="1"/>
  <c r="K20" i="6"/>
  <c r="K2" i="6"/>
  <c r="K22" i="6"/>
  <c r="K16" i="6"/>
  <c r="J10" i="6"/>
  <c r="K10" i="6" s="1"/>
  <c r="J24" i="6"/>
  <c r="K24" i="6" s="1"/>
  <c r="J30" i="6"/>
  <c r="K30" i="6" s="1"/>
  <c r="J31" i="6"/>
  <c r="K31" i="6" s="1"/>
  <c r="J23" i="6"/>
  <c r="K23" i="6" s="1"/>
  <c r="J15" i="6"/>
  <c r="K15" i="6" s="1"/>
  <c r="J7" i="6"/>
  <c r="K7" i="6" s="1"/>
  <c r="J25" i="6"/>
  <c r="K25" i="6" s="1"/>
  <c r="J17" i="6"/>
  <c r="K17" i="6" s="1"/>
  <c r="J9" i="6"/>
  <c r="K9" i="6" s="1"/>
  <c r="J27" i="6"/>
  <c r="K27" i="6" s="1"/>
  <c r="J19" i="6"/>
  <c r="K19" i="6" s="1"/>
  <c r="J11" i="6"/>
  <c r="K11" i="6" s="1"/>
  <c r="J18" i="6"/>
  <c r="K18" i="6" s="1"/>
  <c r="G4" i="9"/>
  <c r="J4" i="9"/>
  <c r="G23" i="9"/>
  <c r="H23" i="9" s="1"/>
  <c r="J23" i="9"/>
  <c r="J18" i="9"/>
  <c r="G18" i="9"/>
  <c r="H18" i="9" s="1"/>
  <c r="G20" i="9"/>
  <c r="H20" i="9" s="1"/>
  <c r="J20" i="9"/>
  <c r="J43" i="9"/>
  <c r="G43" i="9"/>
  <c r="H43" i="9" s="1"/>
  <c r="G15" i="9"/>
  <c r="H15" i="9" s="1"/>
  <c r="J15" i="9"/>
  <c r="J50" i="9"/>
  <c r="G50" i="9"/>
  <c r="H50" i="9" s="1"/>
  <c r="J52" i="9"/>
  <c r="G52" i="9"/>
  <c r="H52" i="9" s="1"/>
  <c r="J10" i="9"/>
  <c r="G10" i="9"/>
  <c r="H10" i="9" s="1"/>
  <c r="G12" i="9"/>
  <c r="H12" i="9" s="1"/>
  <c r="J12" i="9"/>
  <c r="G31" i="9"/>
  <c r="H31" i="9" s="1"/>
  <c r="J31" i="9"/>
  <c r="G7" i="9"/>
  <c r="H7" i="9" s="1"/>
  <c r="J7" i="9"/>
  <c r="J5" i="9"/>
  <c r="J13" i="9"/>
  <c r="J21" i="9"/>
  <c r="J29" i="9"/>
  <c r="J51" i="9"/>
  <c r="G51" i="9"/>
  <c r="H51" i="9" s="1"/>
  <c r="J53" i="9"/>
  <c r="G5" i="9"/>
  <c r="H5" i="9" s="1"/>
  <c r="G13" i="9"/>
  <c r="H13" i="9" s="1"/>
  <c r="G21" i="9"/>
  <c r="H21" i="9" s="1"/>
  <c r="G29" i="9"/>
  <c r="H29" i="9" s="1"/>
  <c r="J34" i="9"/>
  <c r="G34" i="9"/>
  <c r="H34" i="9" s="1"/>
  <c r="G36" i="9"/>
  <c r="H36" i="9" s="1"/>
  <c r="J44" i="9"/>
  <c r="G48" i="9"/>
  <c r="H48" i="9" s="1"/>
  <c r="J58" i="9"/>
  <c r="G58" i="9"/>
  <c r="H58" i="9" s="1"/>
  <c r="J60" i="9"/>
  <c r="G60" i="9"/>
  <c r="H60" i="9" s="1"/>
  <c r="G62" i="9"/>
  <c r="H62" i="9" s="1"/>
  <c r="J62" i="9"/>
  <c r="G40" i="9"/>
  <c r="H40" i="9" s="1"/>
  <c r="J35" i="9"/>
  <c r="G35" i="9"/>
  <c r="H35" i="9" s="1"/>
  <c r="G47" i="9"/>
  <c r="H47" i="9" s="1"/>
  <c r="J47" i="9"/>
  <c r="J59" i="9"/>
  <c r="G59" i="9"/>
  <c r="H59" i="9" s="1"/>
  <c r="J3" i="9"/>
  <c r="G3" i="9"/>
  <c r="H3" i="9" s="1"/>
  <c r="J11" i="9"/>
  <c r="G11" i="9"/>
  <c r="H11" i="9" s="1"/>
  <c r="J19" i="9"/>
  <c r="G19" i="9"/>
  <c r="H19" i="9" s="1"/>
  <c r="J27" i="9"/>
  <c r="G27" i="9"/>
  <c r="H27" i="9" s="1"/>
  <c r="G32" i="9"/>
  <c r="H32" i="9" s="1"/>
  <c r="J37" i="9"/>
  <c r="J40" i="9"/>
  <c r="J42" i="9"/>
  <c r="G42" i="9"/>
  <c r="H42" i="9" s="1"/>
  <c r="G37" i="9"/>
  <c r="H37" i="9" s="1"/>
  <c r="G39" i="9"/>
  <c r="H39" i="9" s="1"/>
  <c r="J39" i="9"/>
  <c r="J55" i="9"/>
  <c r="J63" i="9"/>
  <c r="J30" i="9"/>
  <c r="J38" i="9"/>
  <c r="J46" i="9"/>
  <c r="J54" i="9"/>
  <c r="J3" i="5" l="1"/>
  <c r="K3" i="5"/>
  <c r="H3" i="5"/>
  <c r="J56" i="5"/>
  <c r="J49" i="5"/>
  <c r="T30" i="5"/>
  <c r="U30" i="5" s="1"/>
  <c r="V30" i="5" s="1"/>
  <c r="H13" i="5"/>
  <c r="J13" i="5"/>
  <c r="K42" i="5"/>
  <c r="K9" i="5"/>
  <c r="H20" i="5"/>
  <c r="T17" i="5"/>
  <c r="U17" i="5" s="1"/>
  <c r="V17" i="5" s="1"/>
  <c r="J20" i="5"/>
  <c r="H57" i="5"/>
  <c r="K33" i="5"/>
  <c r="H54" i="5"/>
  <c r="H25" i="5"/>
  <c r="K10" i="5"/>
  <c r="H26" i="5"/>
  <c r="K35" i="5"/>
  <c r="H31" i="5"/>
  <c r="J31" i="5"/>
  <c r="T33" i="5"/>
  <c r="U33" i="5" s="1"/>
  <c r="V33" i="5" s="1"/>
  <c r="K29" i="5"/>
  <c r="T20" i="5"/>
  <c r="U20" i="5" s="1"/>
  <c r="V20" i="5" s="1"/>
  <c r="J46" i="5"/>
  <c r="T27" i="5"/>
  <c r="U27" i="5" s="1"/>
  <c r="V27" i="5" s="1"/>
  <c r="H41" i="5"/>
  <c r="H6" i="5"/>
  <c r="H17" i="5"/>
  <c r="H14" i="5"/>
  <c r="T9" i="5"/>
  <c r="U9" i="5" s="1"/>
  <c r="V9" i="5" s="1"/>
  <c r="H22" i="5"/>
  <c r="H28" i="5"/>
  <c r="H48" i="5"/>
  <c r="H15" i="5"/>
  <c r="J40" i="5"/>
  <c r="K4" i="5"/>
  <c r="J22" i="5"/>
  <c r="H37" i="5"/>
  <c r="J17" i="5"/>
  <c r="J28" i="5"/>
  <c r="T28" i="5"/>
  <c r="U28" i="5" s="1"/>
  <c r="V28" i="5" s="1"/>
  <c r="H52" i="5"/>
  <c r="T15" i="5"/>
  <c r="U15" i="5" s="1"/>
  <c r="V15" i="5" s="1"/>
  <c r="T40" i="5"/>
  <c r="U40" i="5" s="1"/>
  <c r="V40" i="5" s="1"/>
  <c r="H45" i="5"/>
  <c r="H42" i="5"/>
  <c r="T22" i="5"/>
  <c r="U22" i="5" s="1"/>
  <c r="V22" i="5" s="1"/>
  <c r="K37" i="5"/>
  <c r="H12" i="5"/>
  <c r="J42" i="5"/>
  <c r="H33" i="5"/>
  <c r="J12" i="5"/>
  <c r="H9" i="5"/>
  <c r="J24" i="5"/>
  <c r="K12" i="5"/>
  <c r="T24" i="5"/>
  <c r="U24" i="5" s="1"/>
  <c r="V24" i="5" s="1"/>
  <c r="K18" i="5"/>
  <c r="J41" i="5"/>
  <c r="T38" i="5"/>
  <c r="H2" i="5"/>
  <c r="T31" i="5"/>
  <c r="U31" i="5" s="1"/>
  <c r="V31" i="5" s="1"/>
  <c r="H5" i="5"/>
  <c r="K38" i="5"/>
  <c r="T25" i="5"/>
  <c r="U25" i="5" s="1"/>
  <c r="J2" i="5"/>
  <c r="J55" i="5"/>
  <c r="J5" i="5"/>
  <c r="H34" i="5"/>
  <c r="J15" i="5"/>
  <c r="K40" i="5"/>
  <c r="K2" i="5"/>
  <c r="T43" i="5"/>
  <c r="U43" i="5" s="1"/>
  <c r="V43" i="5" s="1"/>
  <c r="T19" i="5"/>
  <c r="U19" i="5" s="1"/>
  <c r="V19" i="5" s="1"/>
  <c r="K5" i="5"/>
  <c r="J34" i="5"/>
  <c r="H18" i="5"/>
  <c r="K21" i="5"/>
  <c r="J32" i="5"/>
  <c r="K24" i="5"/>
  <c r="H11" i="5"/>
  <c r="K43" i="5"/>
  <c r="K19" i="5"/>
  <c r="T34" i="5"/>
  <c r="U34" i="5" s="1"/>
  <c r="V34" i="5" s="1"/>
  <c r="J18" i="5"/>
  <c r="T32" i="5"/>
  <c r="U32" i="5" s="1"/>
  <c r="V32" i="5" s="1"/>
  <c r="J11" i="5"/>
  <c r="T35" i="5"/>
  <c r="U35" i="5" s="1"/>
  <c r="V35" i="5" s="1"/>
  <c r="K7" i="5"/>
  <c r="K32" i="5"/>
  <c r="K8" i="5"/>
  <c r="J14" i="5"/>
  <c r="K27" i="5"/>
  <c r="K30" i="5"/>
  <c r="T14" i="5"/>
  <c r="U14" i="5" s="1"/>
  <c r="V14" i="5" s="1"/>
  <c r="K14" i="5"/>
  <c r="J47" i="5"/>
  <c r="H39" i="5"/>
  <c r="H23" i="5"/>
  <c r="H16" i="5"/>
  <c r="J39" i="5"/>
  <c r="J23" i="5"/>
  <c r="J16" i="5"/>
  <c r="J26" i="5"/>
  <c r="T41" i="5"/>
  <c r="U41" i="5" s="1"/>
  <c r="V41" i="5" s="1"/>
  <c r="H36" i="5"/>
  <c r="J53" i="5"/>
  <c r="T39" i="5"/>
  <c r="U39" i="5" s="1"/>
  <c r="V39" i="5" s="1"/>
  <c r="T23" i="5"/>
  <c r="U23" i="5" s="1"/>
  <c r="V23" i="5" s="1"/>
  <c r="K16" i="5"/>
  <c r="T26" i="5"/>
  <c r="U26" i="5" s="1"/>
  <c r="V26" i="5" s="1"/>
  <c r="J36" i="5"/>
  <c r="T44" i="5"/>
  <c r="U44" i="5" s="1"/>
  <c r="V44" i="5" s="1"/>
  <c r="J44" i="5"/>
  <c r="H44" i="5"/>
  <c r="T10" i="5"/>
  <c r="U10" i="5" s="1"/>
  <c r="V10" i="5" s="1"/>
  <c r="K13" i="5"/>
  <c r="H29" i="5"/>
  <c r="H21" i="5"/>
  <c r="T36" i="5"/>
  <c r="U36" i="5" s="1"/>
  <c r="V36" i="5" s="1"/>
  <c r="J59" i="5"/>
  <c r="J51" i="5"/>
  <c r="H43" i="5"/>
  <c r="H35" i="5"/>
  <c r="H27" i="5"/>
  <c r="H19" i="5"/>
  <c r="H8" i="5"/>
  <c r="T7" i="5"/>
  <c r="U7" i="5" s="1"/>
  <c r="H38" i="5"/>
  <c r="H30" i="5"/>
  <c r="H10" i="5"/>
  <c r="H7" i="5"/>
  <c r="J37" i="5"/>
  <c r="J29" i="5"/>
  <c r="J21" i="5"/>
  <c r="F15" i="16"/>
  <c r="J50" i="5"/>
  <c r="J8" i="5"/>
  <c r="J4" i="5"/>
  <c r="K11" i="5"/>
  <c r="T49" i="5"/>
  <c r="U49" i="5" s="1"/>
  <c r="V49" i="5" s="1"/>
  <c r="K49" i="5"/>
  <c r="T59" i="5"/>
  <c r="U59" i="5" s="1"/>
  <c r="V59" i="5" s="1"/>
  <c r="K59" i="5"/>
  <c r="T57" i="5"/>
  <c r="U57" i="5" s="1"/>
  <c r="V57" i="5" s="1"/>
  <c r="K57" i="5"/>
  <c r="T56" i="5"/>
  <c r="U56" i="5" s="1"/>
  <c r="V56" i="5" s="1"/>
  <c r="K56" i="5"/>
  <c r="T55" i="5"/>
  <c r="U55" i="5" s="1"/>
  <c r="V55" i="5" s="1"/>
  <c r="K55" i="5"/>
  <c r="T54" i="5"/>
  <c r="U54" i="5" s="1"/>
  <c r="V54" i="5" s="1"/>
  <c r="K54" i="5"/>
  <c r="T53" i="5"/>
  <c r="U53" i="5" s="1"/>
  <c r="V53" i="5" s="1"/>
  <c r="K53" i="5"/>
  <c r="T52" i="5"/>
  <c r="U52" i="5" s="1"/>
  <c r="V52" i="5" s="1"/>
  <c r="K52" i="5"/>
  <c r="T51" i="5"/>
  <c r="U51" i="5" s="1"/>
  <c r="V51" i="5" s="1"/>
  <c r="K51" i="5"/>
  <c r="T50" i="5"/>
  <c r="U50" i="5" s="1"/>
  <c r="V50" i="5" s="1"/>
  <c r="K50" i="5"/>
  <c r="T48" i="5"/>
  <c r="U48" i="5" s="1"/>
  <c r="V48" i="5" s="1"/>
  <c r="K48" i="5"/>
  <c r="T47" i="5"/>
  <c r="U47" i="5" s="1"/>
  <c r="V47" i="5" s="1"/>
  <c r="K47" i="5"/>
  <c r="T46" i="5"/>
  <c r="U46" i="5" s="1"/>
  <c r="V46" i="5" s="1"/>
  <c r="K46" i="5"/>
  <c r="T45" i="5"/>
  <c r="U45" i="5" s="1"/>
  <c r="V45" i="5" s="1"/>
  <c r="K45" i="5"/>
  <c r="E15" i="16"/>
  <c r="F16" i="16"/>
  <c r="E16" i="16"/>
  <c r="F14" i="16"/>
  <c r="E14" i="16"/>
  <c r="F13" i="16"/>
  <c r="E13" i="16"/>
  <c r="J32" i="16" a="1"/>
  <c r="J32" i="16" s="1"/>
  <c r="V7" i="5"/>
  <c r="G39" i="16"/>
  <c r="H39" i="16" s="1"/>
  <c r="U38" i="5"/>
  <c r="U2" i="5"/>
  <c r="V25" i="5"/>
  <c r="G38" i="16"/>
  <c r="H38" i="16" s="1"/>
  <c r="V6" i="5"/>
  <c r="G37" i="16"/>
  <c r="H37" i="16" s="1"/>
  <c r="C22" i="16"/>
  <c r="C20" i="16"/>
  <c r="D40" i="16"/>
  <c r="E35" i="16"/>
  <c r="H4" i="9"/>
  <c r="H1" i="9" s="1"/>
  <c r="G1" i="9"/>
  <c r="G16" i="16" l="1"/>
  <c r="F21" i="16"/>
  <c r="G21" i="16" s="1"/>
  <c r="G14" i="16"/>
  <c r="D21" i="16"/>
  <c r="D23" i="16"/>
  <c r="D29" i="16"/>
  <c r="D30" i="16"/>
  <c r="D20" i="16"/>
  <c r="B6" i="16"/>
  <c r="B7" i="16" s="1"/>
  <c r="B9" i="16" s="1"/>
  <c r="B10" i="16" s="1"/>
  <c r="G15" i="16"/>
  <c r="G35" i="16"/>
  <c r="H35" i="16" s="1"/>
  <c r="F20" i="16"/>
  <c r="G20" i="16" s="1"/>
  <c r="G13" i="16"/>
  <c r="D22" i="16"/>
  <c r="D28" i="16"/>
  <c r="A73" i="16" a="1"/>
  <c r="A73" i="16" s="1"/>
  <c r="V38" i="5"/>
  <c r="F29" i="16"/>
  <c r="V2" i="5"/>
  <c r="G36" i="16"/>
  <c r="F5" i="16"/>
  <c r="F8" i="16" s="1"/>
  <c r="F28" i="16"/>
  <c r="F6" i="16"/>
  <c r="F22" i="16"/>
  <c r="G22" i="16" s="1"/>
  <c r="E36" i="16"/>
  <c r="E37" i="16"/>
  <c r="E39" i="16"/>
  <c r="E38" i="16"/>
  <c r="H36" i="16" l="1"/>
  <c r="H40" i="16" s="1"/>
  <c r="G40" i="16"/>
  <c r="F30" i="16"/>
  <c r="F23" i="16"/>
  <c r="A125" i="16" a="1"/>
  <c r="A125" i="16" s="1"/>
  <c r="A111" i="16" a="1"/>
  <c r="A111" i="16" s="1"/>
  <c r="A59" i="16" a="1"/>
  <c r="A59" i="16" s="1"/>
  <c r="A45" i="16" a="1"/>
  <c r="A45" i="16" s="1"/>
  <c r="F9" i="16"/>
  <c r="F10" i="16" s="1"/>
  <c r="F7" i="16"/>
  <c r="G23" i="1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5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8"/>
        </ext>
      </extLst>
    </bk>
    <bk>
      <extLst>
        <ext uri="{3e2802c4-a4d2-4d8b-9148-e3be6c30e623}">
          <xlrd:rvb i="451"/>
        </ext>
      </extLst>
    </bk>
    <bk>
      <extLst>
        <ext uri="{3e2802c4-a4d2-4d8b-9148-e3be6c30e623}">
          <xlrd:rvb i="453"/>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0"/>
        </ext>
      </extLst>
    </bk>
    <bk>
      <extLst>
        <ext uri="{3e2802c4-a4d2-4d8b-9148-e3be6c30e623}">
          <xlrd:rvb i="472"/>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3"/>
        </ext>
      </extLst>
    </bk>
    <bk>
      <extLst>
        <ext uri="{3e2802c4-a4d2-4d8b-9148-e3be6c30e623}">
          <xlrd:rvb i="616"/>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3"/>
        </ext>
      </extLst>
    </bk>
    <bk>
      <extLst>
        <ext uri="{3e2802c4-a4d2-4d8b-9148-e3be6c30e623}">
          <xlrd:rvb i="666"/>
        </ext>
      </extLst>
    </bk>
    <bk>
      <extLst>
        <ext uri="{3e2802c4-a4d2-4d8b-9148-e3be6c30e623}">
          <xlrd:rvb i="668"/>
        </ext>
      </extLst>
    </bk>
    <bk>
      <extLst>
        <ext uri="{3e2802c4-a4d2-4d8b-9148-e3be6c30e623}">
          <xlrd:rvb i="671"/>
        </ext>
      </extLst>
    </bk>
    <bk>
      <extLst>
        <ext uri="{3e2802c4-a4d2-4d8b-9148-e3be6c30e623}">
          <xlrd:rvb i="674"/>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6"/>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5"/>
        </ext>
      </extLst>
    </bk>
    <bk>
      <extLst>
        <ext uri="{3e2802c4-a4d2-4d8b-9148-e3be6c30e623}">
          <xlrd:rvb i="698"/>
        </ext>
      </extLst>
    </bk>
    <bk>
      <extLst>
        <ext uri="{3e2802c4-a4d2-4d8b-9148-e3be6c30e623}">
          <xlrd:rvb i="701"/>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2"/>
        </ext>
      </extLst>
    </bk>
    <bk>
      <extLst>
        <ext uri="{3e2802c4-a4d2-4d8b-9148-e3be6c30e623}">
          <xlrd:rvb i="725"/>
        </ext>
      </extLst>
    </bk>
    <bk>
      <extLst>
        <ext uri="{3e2802c4-a4d2-4d8b-9148-e3be6c30e623}">
          <xlrd:rvb i="728"/>
        </ext>
      </extLst>
    </bk>
    <bk>
      <extLst>
        <ext uri="{3e2802c4-a4d2-4d8b-9148-e3be6c30e623}">
          <xlrd:rvb i="731"/>
        </ext>
      </extLst>
    </bk>
    <bk>
      <extLst>
        <ext uri="{3e2802c4-a4d2-4d8b-9148-e3be6c30e623}">
          <xlrd:rvb i="734"/>
        </ext>
      </extLst>
    </bk>
    <bk>
      <extLst>
        <ext uri="{3e2802c4-a4d2-4d8b-9148-e3be6c30e623}">
          <xlrd:rvb i="737"/>
        </ext>
      </extLst>
    </bk>
    <bk>
      <extLst>
        <ext uri="{3e2802c4-a4d2-4d8b-9148-e3be6c30e623}">
          <xlrd:rvb i="740"/>
        </ext>
      </extLst>
    </bk>
    <bk>
      <extLst>
        <ext uri="{3e2802c4-a4d2-4d8b-9148-e3be6c30e623}">
          <xlrd:rvb i="743"/>
        </ext>
      </extLst>
    </bk>
    <bk>
      <extLst>
        <ext uri="{3e2802c4-a4d2-4d8b-9148-e3be6c30e623}">
          <xlrd:rvb i="746"/>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1"/>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2"/>
        </ext>
      </extLst>
    </bk>
    <bk>
      <extLst>
        <ext uri="{3e2802c4-a4d2-4d8b-9148-e3be6c30e623}">
          <xlrd:rvb i="775"/>
        </ext>
      </extLst>
    </bk>
    <bk>
      <extLst>
        <ext uri="{3e2802c4-a4d2-4d8b-9148-e3be6c30e623}">
          <xlrd:rvb i="778"/>
        </ext>
      </extLst>
    </bk>
    <bk>
      <extLst>
        <ext uri="{3e2802c4-a4d2-4d8b-9148-e3be6c30e623}">
          <xlrd:rvb i="780"/>
        </ext>
      </extLst>
    </bk>
    <bk>
      <extLst>
        <ext uri="{3e2802c4-a4d2-4d8b-9148-e3be6c30e623}">
          <xlrd:rvb i="783"/>
        </ext>
      </extLst>
    </bk>
    <bk>
      <extLst>
        <ext uri="{3e2802c4-a4d2-4d8b-9148-e3be6c30e623}">
          <xlrd:rvb i="786"/>
        </ext>
      </extLst>
    </bk>
    <bk>
      <extLst>
        <ext uri="{3e2802c4-a4d2-4d8b-9148-e3be6c30e623}">
          <xlrd:rvb i="789"/>
        </ext>
      </extLst>
    </bk>
    <bk>
      <extLst>
        <ext uri="{3e2802c4-a4d2-4d8b-9148-e3be6c30e623}">
          <xlrd:rvb i="792"/>
        </ext>
      </extLst>
    </bk>
    <bk>
      <extLst>
        <ext uri="{3e2802c4-a4d2-4d8b-9148-e3be6c30e623}">
          <xlrd:rvb i="795"/>
        </ext>
      </extLst>
    </bk>
    <bk>
      <extLst>
        <ext uri="{3e2802c4-a4d2-4d8b-9148-e3be6c30e623}">
          <xlrd:rvb i="798"/>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831"/>
        </ext>
      </extLst>
    </bk>
    <bk>
      <extLst>
        <ext uri="{3e2802c4-a4d2-4d8b-9148-e3be6c30e623}">
          <xlrd:rvb i="834"/>
        </ext>
      </extLst>
    </bk>
    <bk>
      <extLst>
        <ext uri="{3e2802c4-a4d2-4d8b-9148-e3be6c30e623}">
          <xlrd:rvb i="837"/>
        </ext>
      </extLst>
    </bk>
    <bk>
      <extLst>
        <ext uri="{3e2802c4-a4d2-4d8b-9148-e3be6c30e623}">
          <xlrd:rvb i="840"/>
        </ext>
      </extLst>
    </bk>
    <bk>
      <extLst>
        <ext uri="{3e2802c4-a4d2-4d8b-9148-e3be6c30e623}">
          <xlrd:rvb i="842"/>
        </ext>
      </extLst>
    </bk>
    <bk>
      <extLst>
        <ext uri="{3e2802c4-a4d2-4d8b-9148-e3be6c30e623}">
          <xlrd:rvb i="845"/>
        </ext>
      </extLst>
    </bk>
    <bk>
      <extLst>
        <ext uri="{3e2802c4-a4d2-4d8b-9148-e3be6c30e623}">
          <xlrd:rvb i="848"/>
        </ext>
      </extLst>
    </bk>
    <bk>
      <extLst>
        <ext uri="{3e2802c4-a4d2-4d8b-9148-e3be6c30e623}">
          <xlrd:rvb i="851"/>
        </ext>
      </extLst>
    </bk>
    <bk>
      <extLst>
        <ext uri="{3e2802c4-a4d2-4d8b-9148-e3be6c30e623}">
          <xlrd:rvb i="854"/>
        </ext>
      </extLst>
    </bk>
    <bk>
      <extLst>
        <ext uri="{3e2802c4-a4d2-4d8b-9148-e3be6c30e623}">
          <xlrd:rvb i="857"/>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7"/>
        </ext>
      </extLst>
    </bk>
    <bk>
      <extLst>
        <ext uri="{3e2802c4-a4d2-4d8b-9148-e3be6c30e623}">
          <xlrd:rvb i="900"/>
        </ext>
      </extLst>
    </bk>
    <bk>
      <extLst>
        <ext uri="{3e2802c4-a4d2-4d8b-9148-e3be6c30e623}">
          <xlrd:rvb i="903"/>
        </ext>
      </extLst>
    </bk>
    <bk>
      <extLst>
        <ext uri="{3e2802c4-a4d2-4d8b-9148-e3be6c30e623}">
          <xlrd:rvb i="905"/>
        </ext>
      </extLst>
    </bk>
    <bk>
      <extLst>
        <ext uri="{3e2802c4-a4d2-4d8b-9148-e3be6c30e623}">
          <xlrd:rvb i="908"/>
        </ext>
      </extLst>
    </bk>
    <bk>
      <extLst>
        <ext uri="{3e2802c4-a4d2-4d8b-9148-e3be6c30e623}">
          <xlrd:rvb i="911"/>
        </ext>
      </extLst>
    </bk>
    <bk>
      <extLst>
        <ext uri="{3e2802c4-a4d2-4d8b-9148-e3be6c30e623}">
          <xlrd:rvb i="914"/>
        </ext>
      </extLst>
    </bk>
    <bk>
      <extLst>
        <ext uri="{3e2802c4-a4d2-4d8b-9148-e3be6c30e623}">
          <xlrd:rvb i="917"/>
        </ext>
      </extLst>
    </bk>
    <bk>
      <extLst>
        <ext uri="{3e2802c4-a4d2-4d8b-9148-e3be6c30e623}">
          <xlrd:rvb i="920"/>
        </ext>
      </extLst>
    </bk>
    <bk>
      <extLst>
        <ext uri="{3e2802c4-a4d2-4d8b-9148-e3be6c30e623}">
          <xlrd:rvb i="923"/>
        </ext>
      </extLst>
    </bk>
    <bk>
      <extLst>
        <ext uri="{3e2802c4-a4d2-4d8b-9148-e3be6c30e623}">
          <xlrd:rvb i="926"/>
        </ext>
      </extLst>
    </bk>
    <bk>
      <extLst>
        <ext uri="{3e2802c4-a4d2-4d8b-9148-e3be6c30e623}">
          <xlrd:rvb i="929"/>
        </ext>
      </extLst>
    </bk>
    <bk>
      <extLst>
        <ext uri="{3e2802c4-a4d2-4d8b-9148-e3be6c30e623}">
          <xlrd:rvb i="932"/>
        </ext>
      </extLst>
    </bk>
    <bk>
      <extLst>
        <ext uri="{3e2802c4-a4d2-4d8b-9148-e3be6c30e623}">
          <xlrd:rvb i="934"/>
        </ext>
      </extLst>
    </bk>
    <bk>
      <extLst>
        <ext uri="{3e2802c4-a4d2-4d8b-9148-e3be6c30e623}">
          <xlrd:rvb i="937"/>
        </ext>
      </extLst>
    </bk>
    <bk>
      <extLst>
        <ext uri="{3e2802c4-a4d2-4d8b-9148-e3be6c30e623}">
          <xlrd:rvb i="939"/>
        </ext>
      </extLst>
    </bk>
    <bk>
      <extLst>
        <ext uri="{3e2802c4-a4d2-4d8b-9148-e3be6c30e623}">
          <xlrd:rvb i="942"/>
        </ext>
      </extLst>
    </bk>
    <bk>
      <extLst>
        <ext uri="{3e2802c4-a4d2-4d8b-9148-e3be6c30e623}">
          <xlrd:rvb i="944"/>
        </ext>
      </extLst>
    </bk>
    <bk>
      <extLst>
        <ext uri="{3e2802c4-a4d2-4d8b-9148-e3be6c30e623}">
          <xlrd:rvb i="947"/>
        </ext>
      </extLst>
    </bk>
    <bk>
      <extLst>
        <ext uri="{3e2802c4-a4d2-4d8b-9148-e3be6c30e623}">
          <xlrd:rvb i="950"/>
        </ext>
      </extLst>
    </bk>
    <bk>
      <extLst>
        <ext uri="{3e2802c4-a4d2-4d8b-9148-e3be6c30e623}">
          <xlrd:rvb i="953"/>
        </ext>
      </extLst>
    </bk>
    <bk>
      <extLst>
        <ext uri="{3e2802c4-a4d2-4d8b-9148-e3be6c30e623}">
          <xlrd:rvb i="956"/>
        </ext>
      </extLst>
    </bk>
    <bk>
      <extLst>
        <ext uri="{3e2802c4-a4d2-4d8b-9148-e3be6c30e623}">
          <xlrd:rvb i="959"/>
        </ext>
      </extLst>
    </bk>
    <bk>
      <extLst>
        <ext uri="{3e2802c4-a4d2-4d8b-9148-e3be6c30e623}">
          <xlrd:rvb i="961"/>
        </ext>
      </extLst>
    </bk>
    <bk>
      <extLst>
        <ext uri="{3e2802c4-a4d2-4d8b-9148-e3be6c30e623}">
          <xlrd:rvb i="964"/>
        </ext>
      </extLst>
    </bk>
    <bk>
      <extLst>
        <ext uri="{3e2802c4-a4d2-4d8b-9148-e3be6c30e623}">
          <xlrd:rvb i="967"/>
        </ext>
      </extLst>
    </bk>
    <bk>
      <extLst>
        <ext uri="{3e2802c4-a4d2-4d8b-9148-e3be6c30e623}">
          <xlrd:rvb i="970"/>
        </ext>
      </extLst>
    </bk>
    <bk>
      <extLst>
        <ext uri="{3e2802c4-a4d2-4d8b-9148-e3be6c30e623}">
          <xlrd:rvb i="973"/>
        </ext>
      </extLst>
    </bk>
    <bk>
      <extLst>
        <ext uri="{3e2802c4-a4d2-4d8b-9148-e3be6c30e623}">
          <xlrd:rvb i="975"/>
        </ext>
      </extLst>
    </bk>
    <bk>
      <extLst>
        <ext uri="{3e2802c4-a4d2-4d8b-9148-e3be6c30e623}">
          <xlrd:rvb i="977"/>
        </ext>
      </extLst>
    </bk>
    <bk>
      <extLst>
        <ext uri="{3e2802c4-a4d2-4d8b-9148-e3be6c30e623}">
          <xlrd:rvb i="980"/>
        </ext>
      </extLst>
    </bk>
    <bk>
      <extLst>
        <ext uri="{3e2802c4-a4d2-4d8b-9148-e3be6c30e623}">
          <xlrd:rvb i="983"/>
        </ext>
      </extLst>
    </bk>
    <bk>
      <extLst>
        <ext uri="{3e2802c4-a4d2-4d8b-9148-e3be6c30e623}">
          <xlrd:rvb i="985"/>
        </ext>
      </extLst>
    </bk>
    <bk>
      <extLst>
        <ext uri="{3e2802c4-a4d2-4d8b-9148-e3be6c30e623}">
          <xlrd:rvb i="988"/>
        </ext>
      </extLst>
    </bk>
    <bk>
      <extLst>
        <ext uri="{3e2802c4-a4d2-4d8b-9148-e3be6c30e623}">
          <xlrd:rvb i="991"/>
        </ext>
      </extLst>
    </bk>
    <bk>
      <extLst>
        <ext uri="{3e2802c4-a4d2-4d8b-9148-e3be6c30e623}">
          <xlrd:rvb i="994"/>
        </ext>
      </extLst>
    </bk>
    <bk>
      <extLst>
        <ext uri="{3e2802c4-a4d2-4d8b-9148-e3be6c30e623}">
          <xlrd:rvb i="996"/>
        </ext>
      </extLst>
    </bk>
    <bk>
      <extLst>
        <ext uri="{3e2802c4-a4d2-4d8b-9148-e3be6c30e623}">
          <xlrd:rvb i="999"/>
        </ext>
      </extLst>
    </bk>
    <bk>
      <extLst>
        <ext uri="{3e2802c4-a4d2-4d8b-9148-e3be6c30e623}">
          <xlrd:rvb i="1002"/>
        </ext>
      </extLst>
    </bk>
    <bk>
      <extLst>
        <ext uri="{3e2802c4-a4d2-4d8b-9148-e3be6c30e623}">
          <xlrd:rvb i="1005"/>
        </ext>
      </extLst>
    </bk>
    <bk>
      <extLst>
        <ext uri="{3e2802c4-a4d2-4d8b-9148-e3be6c30e623}">
          <xlrd:rvb i="1008"/>
        </ext>
      </extLst>
    </bk>
    <bk>
      <extLst>
        <ext uri="{3e2802c4-a4d2-4d8b-9148-e3be6c30e623}">
          <xlrd:rvb i="1011"/>
        </ext>
      </extLst>
    </bk>
    <bk>
      <extLst>
        <ext uri="{3e2802c4-a4d2-4d8b-9148-e3be6c30e623}">
          <xlrd:rvb i="1013"/>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8"/>
        </ext>
      </extLst>
    </bk>
    <bk>
      <extLst>
        <ext uri="{3e2802c4-a4d2-4d8b-9148-e3be6c30e623}">
          <xlrd:rvb i="1031"/>
        </ext>
      </extLst>
    </bk>
    <bk>
      <extLst>
        <ext uri="{3e2802c4-a4d2-4d8b-9148-e3be6c30e623}">
          <xlrd:rvb i="1034"/>
        </ext>
      </extLst>
    </bk>
    <bk>
      <extLst>
        <ext uri="{3e2802c4-a4d2-4d8b-9148-e3be6c30e623}">
          <xlrd:rvb i="1037"/>
        </ext>
      </extLst>
    </bk>
  </futureMetadata>
  <futureMetadata name="XLDAPR" count="1">
    <bk>
      <extLst>
        <ext uri="{bdbb8cdc-fa1e-496e-a857-3c3f30c029c3}">
          <xda:dynamicArrayProperties fDynamic="1" fCollapsed="0"/>
        </ext>
      </extLst>
    </bk>
  </futureMetadata>
  <cellMetadata count="1">
    <bk>
      <rc t="2" v="0"/>
    </bk>
  </cellMetadata>
  <valueMetadata count="3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valueMetadata>
</metadata>
</file>

<file path=xl/sharedStrings.xml><?xml version="1.0" encoding="utf-8"?>
<sst xmlns="http://schemas.openxmlformats.org/spreadsheetml/2006/main" count="10500" uniqueCount="1216">
  <si>
    <t>📊 Portfolio Dashboard</t>
  </si>
  <si>
    <t>🕒 Last Transacted Date: 12 Jun 2026</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</si>
  <si>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</si>
  <si>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</si>
  <si>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</si>
  <si>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</si>
  <si>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</si>
  <si>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</si>
  <si>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</si>
  <si>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</si>
  <si>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</si>
  <si>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</si>
  <si>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</si>
  <si>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</si>
  <si>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</si>
  <si>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</si>
  <si>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</si>
  <si>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</si>
  <si>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</si>
  <si>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</si>
  <si>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</si>
  <si>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</si>
  <si>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</si>
  <si>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</si>
  <si>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</si>
  <si>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Tranche Distribution</t>
  </si>
  <si>
    <t>Combined PnL %</t>
  </si>
  <si>
    <t>Risk / Reward Ratio</t>
  </si>
  <si>
    <t>Tranche</t>
  </si>
  <si>
    <t>Core Count</t>
  </si>
  <si>
    <t>Satellite Count</t>
  </si>
  <si>
    <t>Total Count</t>
  </si>
  <si>
    <t>% of Holdings</t>
  </si>
  <si>
    <t>Core Allocation (%)</t>
  </si>
  <si>
    <t>Cheat 1</t>
  </si>
  <si>
    <t>Satellite Allocation (%)</t>
  </si>
  <si>
    <t>TF Classfication</t>
  </si>
  <si>
    <t>Advancing</t>
  </si>
  <si>
    <t>Declining</t>
  </si>
  <si>
    <t>Performance</t>
  </si>
  <si>
    <t>Cheat 2</t>
  </si>
  <si>
    <t>Active Holdings</t>
  </si>
  <si>
    <t>Core (Previous month close)</t>
  </si>
  <si>
    <t>Cheat 4</t>
  </si>
  <si>
    <t>Total Stocks Traded</t>
  </si>
  <si>
    <t>Satellite (Previous week close)</t>
  </si>
  <si>
    <t>Tranch 1</t>
  </si>
  <si>
    <t>Core (Previous Close)</t>
  </si>
  <si>
    <t>Tranch 2</t>
  </si>
  <si>
    <t>Satellite (Previous Close)</t>
  </si>
  <si>
    <t>Tranch 3</t>
  </si>
  <si>
    <t>Cap Allocation &amp; PnL Breakdown</t>
  </si>
  <si>
    <t>Tranch 4</t>
  </si>
  <si>
    <t>Cap</t>
  </si>
  <si>
    <t>Invested (₹)</t>
  </si>
  <si>
    <t>% of Total</t>
  </si>
  <si>
    <t>Returns</t>
  </si>
  <si>
    <t>Realized (₹)</t>
  </si>
  <si>
    <t>Un-Realized (₹)</t>
  </si>
  <si>
    <t>Total PnL (₹)</t>
  </si>
  <si>
    <t>Tranch 5</t>
  </si>
  <si>
    <t>TOTAL</t>
  </si>
  <si>
    <t>Large Cap</t>
  </si>
  <si>
    <t>Mid Cap</t>
  </si>
  <si>
    <t>Small Cap</t>
  </si>
  <si>
    <t>Holding Period Distribution</t>
  </si>
  <si>
    <t>Period</t>
  </si>
  <si>
    <t>Count</t>
  </si>
  <si>
    <t>0 - 30 days</t>
  </si>
  <si>
    <t>31 - 90 days</t>
  </si>
  <si>
    <t>Core &amp; Satellite Distribution</t>
  </si>
  <si>
    <t>91 - 180 days</t>
  </si>
  <si>
    <t>Classification</t>
  </si>
  <si>
    <t>180+ days</t>
  </si>
  <si>
    <t>Core</t>
  </si>
  <si>
    <t>Satellite</t>
  </si>
  <si>
    <t>Top 10 Movers (Current Portfolio)</t>
  </si>
  <si>
    <t>Symbol</t>
  </si>
  <si>
    <t>Prev Week Close</t>
  </si>
  <si>
    <t>LTP</t>
  </si>
  <si>
    <t>% Change</t>
  </si>
  <si>
    <t>Sector Allocation &amp; PnL Breakdown</t>
  </si>
  <si>
    <t>Sector</t>
  </si>
  <si>
    <t>Core (₹)</t>
  </si>
  <si>
    <t>Satellite (₹)</t>
  </si>
  <si>
    <t>Total Invested (₹)</t>
  </si>
  <si>
    <t>Industrial</t>
  </si>
  <si>
    <t>Health / Pharma / Chem</t>
  </si>
  <si>
    <t xml:space="preserve">Consumption </t>
  </si>
  <si>
    <t>Tech / Platform / IT</t>
  </si>
  <si>
    <t>Finance</t>
  </si>
  <si>
    <t>Top 5 Gainers / Bottom 5 Losers (Satellite)</t>
  </si>
  <si>
    <t>Current (₹)</t>
  </si>
  <si>
    <t>PnL (₹)</t>
  </si>
  <si>
    <t>PnL %</t>
  </si>
  <si>
    <t>Top 10 Movers (Watchlist Only)</t>
  </si>
  <si>
    <t>Price</t>
  </si>
  <si>
    <t>Top 5 Gainers / Bottom 5 Losers (Core)</t>
  </si>
  <si>
    <t>⚠️ Stocks Nearest to Stop Loss</t>
  </si>
  <si>
    <t>SL</t>
  </si>
  <si>
    <t>Diff (₹)</t>
  </si>
  <si>
    <t>Diff (%)</t>
  </si>
  <si>
    <t>🔔 Corporate Actions (Splits / Bonus)</t>
  </si>
  <si>
    <t>Split / Bonus Details</t>
  </si>
  <si>
    <t>Adj Required</t>
  </si>
  <si>
    <t>CUPID</t>
  </si>
  <si>
    <t>5:1 Split on 2026-03-09</t>
  </si>
  <si>
    <t>No</t>
  </si>
  <si>
    <t>METROPOLIS</t>
  </si>
  <si>
    <t>4:1 Split on 2026-03-20</t>
  </si>
  <si>
    <t>Top 5 Cheat Stocks (Satellite) by Holding Period</t>
  </si>
  <si>
    <t>Stock Name</t>
  </si>
  <si>
    <t>Cheat</t>
  </si>
  <si>
    <t>Holding Period (Days)</t>
  </si>
  <si>
    <t>Invested Value</t>
  </si>
  <si>
    <t>Current Value</t>
  </si>
  <si>
    <t>XIRR</t>
  </si>
  <si>
    <t>GAEL</t>
  </si>
  <si>
    <t>AJANTPHARM</t>
  </si>
  <si>
    <t>SEAMECLTD</t>
  </si>
  <si>
    <t>AUROPHARMA</t>
  </si>
  <si>
    <t>SFL</t>
  </si>
  <si>
    <t>Top 5 Cheat Stocks (Core) by Holding Period</t>
  </si>
  <si>
    <t>CCL</t>
  </si>
  <si>
    <t>M&amp;M</t>
  </si>
  <si>
    <t>TRITURBINE</t>
  </si>
  <si>
    <t>FCL</t>
  </si>
  <si>
    <t>HBLENGINE</t>
  </si>
  <si>
    <t>Top 10 underperforming Satellite Stocks (LTP &lt; Prev Day Close)</t>
  </si>
  <si>
    <t>Invested Value (₹)</t>
  </si>
  <si>
    <t>Prev Day Close (₹)</t>
  </si>
  <si>
    <t>Change (₹)</t>
  </si>
  <si>
    <t>Change (%)</t>
  </si>
  <si>
    <t>Current Return %</t>
  </si>
  <si>
    <t>Top 10 underperforming Core Stocks (LTP &lt; Prev Day Close)</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</si>
  <si>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</si>
  <si>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</si>
  <si>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</si>
  <si>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</si>
  <si>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</si>
  <si>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</si>
  <si>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</si>
  <si>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</si>
  <si>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</si>
  <si>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</si>
  <si>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GPIL</t>
  </si>
  <si>
    <t>SELL</t>
  </si>
  <si>
    <t>Cheat holding period long and less return (214 days, 1.56% return)</t>
  </si>
  <si>
    <t xml:space="preserve">Sakthiman- OK, </t>
  </si>
  <si>
    <t>Cheat holding period long and red (144 days, -4.47% return)</t>
  </si>
  <si>
    <t>LAURUSLABS</t>
  </si>
  <si>
    <t>Cheat holding period long and less return (14 days, 3.74% return)</t>
  </si>
  <si>
    <t>Cheat holding period long and red (11 days, -4.00% return)</t>
  </si>
  <si>
    <t>SUNPHARMA</t>
  </si>
  <si>
    <t>Cheat holding period long and red (11 days, -3.09% return)</t>
  </si>
  <si>
    <t>POCL</t>
  </si>
  <si>
    <t>Tranch LTP close to stop loss (&lt; 5% difference)</t>
  </si>
  <si>
    <t>Sakthiman- X, Reversing Positively, Wait Mode</t>
  </si>
  <si>
    <t>Consumption</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</si>
  <si>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</si>
  <si>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</si>
  <si>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</si>
  <si>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</si>
  <si>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</si>
  <si>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</si>
  <si>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</si>
  <si>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</si>
  <si>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</si>
  <si>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</si>
  <si>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CGPOWER</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</si>
  <si>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</si>
  <si>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</si>
  <si>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</si>
  <si>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</si>
  <si>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</si>
  <si>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</si>
  <si>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ADANIENT</t>
  </si>
  <si>
    <t>Cheat positive return (14 days, 8.42% return, 8.81% return from prev week close)</t>
  </si>
  <si>
    <t>TATATECH</t>
  </si>
  <si>
    <t>Cheat positive return (10 days, 6.41% return, 6.28% return from prev week close)</t>
  </si>
  <si>
    <t>APOLLO</t>
  </si>
  <si>
    <t>Tranch LTP above previous week close [&gt; 5%] (15.93% above)</t>
  </si>
  <si>
    <t>BALAMINES</t>
  </si>
  <si>
    <t>Tranch LTP above previous week close [0 to 5%] (0.10% above)</t>
  </si>
  <si>
    <t>NO</t>
  </si>
  <si>
    <t>Red Candle, DC high, Sakthiman C</t>
  </si>
  <si>
    <t>Tranch LTP above previous week close [&gt; 5%] (7.82% above)</t>
  </si>
  <si>
    <t>HINDALCO</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</si>
  <si>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</si>
  <si>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</si>
  <si>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</si>
  <si>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</si>
  <si>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</si>
  <si>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</si>
  <si>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</si>
  <si>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</si>
  <si>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</si>
  <si>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NGLFINE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</si>
  <si>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</si>
  <si>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</si>
  <si>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</si>
  <si>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</si>
  <si>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</si>
  <si>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</si>
  <si>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</si>
  <si>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</si>
  <si>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</si>
  <si>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THERMAX</t>
  </si>
  <si>
    <t>Buy breakout (RSI: 79.8, ADX: 31.5, Vol: +52% above average)</t>
  </si>
  <si>
    <t>yes</t>
  </si>
  <si>
    <t>ABB</t>
  </si>
  <si>
    <t>Buy breakout (RSI: 66.3, ADX: 38.1, Vol: +50% above average)</t>
  </si>
  <si>
    <t>Buy breakout (RSI: 73.5, ADX: 33.0, Vol: +89% above average)</t>
  </si>
  <si>
    <t>CONFIPET</t>
  </si>
  <si>
    <t>Buy breakout (RSI: 74.6, ADX: 55.7, Vol: +12% above average)</t>
  </si>
  <si>
    <t>E2E</t>
  </si>
  <si>
    <t>Buy breakout (RSI: 70.5, ADX: 28.6, Vol: +78% above average)</t>
  </si>
  <si>
    <t>EXIDEIND</t>
  </si>
  <si>
    <t>Buy breakout (RSI: 63.5, ADX: 28.0, Vol: +239% above average)</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</si>
  <si>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</si>
  <si>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</si>
  <si>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</si>
  <si>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</si>
  <si>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</si>
  <si>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</si>
  <si>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</si>
  <si>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NETWEB</t>
  </si>
  <si>
    <t>Buy breakout (RSI: 65.9, ADX: 45.1, Vol: +156% above average)</t>
  </si>
  <si>
    <t>SKIPPER</t>
  </si>
  <si>
    <t>Buy breakout (RSI: 71.4, ADX: 31.9, Vol: +277% above average)</t>
  </si>
  <si>
    <t>Buy breakout (RSI: 76.2, ADX: 34.5, Vol: +109% above average)</t>
  </si>
  <si>
    <t>Buy breakout (RSI: 82.1, ADX: 26.6, Vol: +74% above average)</t>
  </si>
  <si>
    <t>Cheat holding period long and less return (220 days, 2.60% return)</t>
  </si>
  <si>
    <t>Cheat holding period long and red (150 days, -5.96% return)</t>
  </si>
  <si>
    <t>Cheat holding period long and red (17 days, -2.79% return)</t>
  </si>
  <si>
    <t>Cheat holding period long and red (17 days, -6.27% return)</t>
  </si>
  <si>
    <t>NRBBEARING</t>
  </si>
  <si>
    <t>Cheat holding period long and red (13 days, -1.69% return)</t>
  </si>
  <si>
    <t>Cheat positive return (153 days, 11.69% return, 0.05% return from prev week close)</t>
  </si>
  <si>
    <t>Cheat positive return (125 days, 20.71% return, 1.21% return from prev week close)</t>
  </si>
  <si>
    <t>Cheat positive return (3 days, 3.53% return, 4.37% return from prev week close)</t>
  </si>
  <si>
    <t>Cheat positive return (3 days, 7.29% return, 5.64% return from prev week close)</t>
  </si>
  <si>
    <t>Cheat positive return (3 days, 5.05% return, 4.61% return from prev week close)</t>
  </si>
  <si>
    <t>Tranch LTP above previous week close [0 to 5%] (1.21% above)</t>
  </si>
  <si>
    <t>Tranch LTP above previous week close [0 to 5%] (2.49% above)</t>
  </si>
  <si>
    <t>Tranch LTP above previous week close [&gt; 5%] (18.26% above)</t>
  </si>
  <si>
    <t>Tranch LTP above previous week close [0 to 5%] (3.12% above)</t>
  </si>
  <si>
    <t>Tranch LTP above previous week close [0 to 5%] (4.79% above)</t>
  </si>
  <si>
    <t>Tranch LTP above previous week close [&gt; 5%] (6.10% above)</t>
  </si>
  <si>
    <t>Buy breakout (RSI: 75.4, ADX: 34.7, Vol: +40% above average)</t>
  </si>
  <si>
    <t>Buy breakout (RSI: 79.4, ADX: 57.0, Vol: +92% above average)</t>
  </si>
  <si>
    <t>Buy breakout (RSI: 75.9, ADX: 31.2, Vol: +50% above average)</t>
  </si>
  <si>
    <t>GLAND</t>
  </si>
  <si>
    <t>Buy breakout (RSI: 69.3, ADX: 29.7, Vol: +43% above average)</t>
  </si>
  <si>
    <t>HSCL</t>
  </si>
  <si>
    <t>Buy breakout (RSI: 74.4, ADX: 26.2, Vol: +160% above average)</t>
  </si>
  <si>
    <t>KERNEX</t>
  </si>
  <si>
    <t>Buy breakout (RSI: 70.4, ADX: 26.0, Vol: +225% above average)</t>
  </si>
  <si>
    <t>Buy breakout (RSI: 64.0, ADX: 27.9, Vol: +8% above average)</t>
  </si>
  <si>
    <t>Unnamed: 0.1</t>
  </si>
  <si>
    <t>ISIN</t>
  </si>
  <si>
    <t>Trade Date</t>
  </si>
  <si>
    <t>Exchange</t>
  </si>
  <si>
    <t>Segment</t>
  </si>
  <si>
    <t>Series</t>
  </si>
  <si>
    <t>Trade Type</t>
  </si>
  <si>
    <t>Auction</t>
  </si>
  <si>
    <t>Quantity</t>
  </si>
  <si>
    <t>Trade ID</t>
  </si>
  <si>
    <t>Order ID</t>
  </si>
  <si>
    <t>Order Execution Time</t>
  </si>
  <si>
    <t>Unnamed: 0</t>
  </si>
  <si>
    <t>POLYCAB</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</si>
  <si>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</si>
  <si>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</si>
  <si>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</si>
  <si>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</si>
  <si>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</si>
  <si>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</si>
  <si>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</si>
  <si>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</si>
  <si>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</si>
  <si>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</si>
  <si>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</si>
  <si>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</si>
  <si>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</si>
  <si>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</si>
  <si>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</si>
  <si>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</si>
  <si>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</si>
  <si>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</si>
  <si>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</si>
  <si>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</si>
  <si>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</si>
  <si>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</si>
  <si>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</si>
  <si>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</si>
  <si>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</si>
  <si>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</si>
  <si>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</si>
  <si>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</si>
  <si>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</si>
  <si>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</si>
  <si>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</si>
  <si>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</si>
  <si>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</si>
  <si>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</si>
  <si>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</si>
  <si>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</si>
  <si>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</si>
  <si>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</si>
  <si>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</si>
  <si>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</si>
  <si>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</si>
  <si>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</si>
  <si>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</si>
  <si>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</si>
  <si>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</si>
  <si>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</si>
  <si>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</si>
  <si>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</si>
  <si>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</si>
  <si>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</si>
  <si>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</si>
  <si>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</si>
  <si>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</si>
  <si>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</si>
  <si>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</si>
  <si>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</si>
  <si>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</si>
  <si>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</si>
  <si>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</si>
  <si>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BSE</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</si>
  <si>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</si>
  <si>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</si>
  <si>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</si>
  <si>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</si>
  <si>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</si>
  <si>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</si>
  <si>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</si>
  <si>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</si>
  <si>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</si>
  <si>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</si>
  <si>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</si>
  <si>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</si>
  <si>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</si>
  <si>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</si>
  <si>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</si>
  <si>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</si>
  <si>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</si>
  <si>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</si>
  <si>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</si>
  <si>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</si>
  <si>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</si>
  <si>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</si>
  <si>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</si>
  <si>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</si>
  <si>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</si>
  <si>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</si>
  <si>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</si>
  <si>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</si>
  <si>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</si>
  <si>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</si>
  <si>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</si>
  <si>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</si>
  <si>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</si>
  <si>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</si>
  <si>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</si>
  <si>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</si>
  <si>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</si>
  <si>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</si>
  <si>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</si>
  <si>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</si>
  <si>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</si>
  <si>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</si>
  <si>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</si>
  <si>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</si>
  <si>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</si>
  <si>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</si>
  <si>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</si>
  <si>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</si>
  <si>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</si>
  <si>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</si>
  <si>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</si>
  <si>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</si>
  <si>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</si>
  <si>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</si>
  <si>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</si>
  <si>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</si>
  <si>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</si>
  <si>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</si>
  <si>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</si>
  <si>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</si>
  <si>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</si>
  <si>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FEDERALBNK</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</si>
  <si>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</si>
  <si>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</si>
  <si>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</si>
  <si>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</si>
  <si>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</si>
  <si>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</si>
  <si>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</si>
  <si>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</si>
  <si>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</si>
  <si>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</si>
  <si>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</si>
  <si>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</si>
  <si>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</si>
  <si>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</si>
  <si>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</si>
  <si>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</si>
  <si>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</si>
  <si>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</si>
  <si>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</si>
  <si>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</si>
  <si>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</si>
  <si>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</si>
  <si>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</si>
  <si>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</si>
  <si>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</si>
  <si>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</si>
  <si>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</si>
  <si>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</si>
  <si>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</si>
  <si>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</si>
  <si>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</si>
  <si>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</si>
  <si>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</si>
  <si>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</si>
  <si>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</si>
  <si>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</si>
  <si>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</si>
  <si>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</si>
  <si>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</si>
  <si>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</si>
  <si>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</si>
  <si>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</si>
  <si>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</si>
  <si>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</si>
  <si>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</si>
  <si>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</si>
  <si>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</si>
  <si>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</si>
  <si>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</si>
  <si>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</si>
  <si>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</si>
  <si>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</si>
  <si>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</si>
  <si>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</si>
  <si>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</si>
  <si>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</si>
  <si>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</si>
  <si>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</si>
  <si>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</si>
  <si>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</si>
  <si>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</si>
  <si>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</si>
  <si>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</si>
  <si>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</si>
  <si>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</si>
  <si>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</si>
  <si>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</si>
  <si>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</si>
  <si>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</si>
  <si>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</si>
  <si>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</si>
  <si>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</si>
  <si>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</si>
  <si>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</si>
  <si>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</si>
  <si>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</si>
  <si>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</si>
  <si>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</si>
  <si>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</si>
  <si>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</si>
  <si>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</si>
  <si>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</si>
  <si>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</si>
  <si>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</si>
  <si>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</si>
  <si>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</si>
  <si>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</si>
  <si>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</si>
  <si>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</si>
  <si>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</si>
  <si>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</si>
  <si>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</si>
  <si>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</si>
  <si>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</si>
  <si>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</si>
  <si>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</si>
  <si>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</si>
  <si>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</si>
  <si>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</si>
  <si>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</si>
  <si>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</si>
  <si>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</si>
  <si>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</si>
  <si>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</si>
  <si>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</si>
  <si>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</si>
  <si>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APLAPOLLO</t>
  </si>
  <si>
    <t>INE702C01027</t>
  </si>
  <si>
    <t>2026-02-09</t>
  </si>
  <si>
    <t>2026-02-09T15:07:12</t>
  </si>
  <si>
    <t>TDPOWERSYS</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</si>
  <si>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</si>
  <si>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</si>
  <si>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</si>
  <si>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</si>
  <si>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</si>
  <si>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</si>
  <si>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</si>
  <si>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</si>
  <si>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</si>
  <si>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</si>
  <si>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</si>
  <si>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</si>
  <si>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</si>
  <si>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</si>
  <si>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</si>
  <si>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</si>
  <si>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</si>
  <si>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</si>
  <si>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</si>
  <si>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</si>
  <si>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</si>
  <si>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</si>
  <si>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</si>
  <si>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</si>
  <si>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</si>
  <si>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</si>
  <si>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</si>
  <si>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</si>
  <si>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</si>
  <si>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</si>
  <si>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</si>
  <si>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</si>
  <si>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</si>
  <si>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</si>
  <si>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</si>
  <si>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</si>
  <si>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</si>
  <si>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GVT&amp;D</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</si>
  <si>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</si>
  <si>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</si>
  <si>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</si>
  <si>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</si>
  <si>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</si>
  <si>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</si>
  <si>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</si>
  <si>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</si>
  <si>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</si>
  <si>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</si>
  <si>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</si>
  <si>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</si>
  <si>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</si>
  <si>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</si>
  <si>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</si>
  <si>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</si>
  <si>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</si>
  <si>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</si>
  <si>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</si>
  <si>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</si>
  <si>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</si>
  <si>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</si>
  <si>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</si>
  <si>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</si>
  <si>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</si>
  <si>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</si>
  <si>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</si>
  <si>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</si>
  <si>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</si>
  <si>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</si>
  <si>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</si>
  <si>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</si>
  <si>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</si>
  <si>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</si>
  <si>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</si>
  <si>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</si>
  <si>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</si>
  <si>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</si>
  <si>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</si>
  <si>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</si>
  <si>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</si>
  <si>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</si>
  <si>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</si>
  <si>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</si>
  <si>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</si>
  <si>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</si>
  <si>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</si>
  <si>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</si>
  <si>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</si>
  <si>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</si>
  <si>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</si>
  <si>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</si>
  <si>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</si>
  <si>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</si>
  <si>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</si>
  <si>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</si>
  <si>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</si>
  <si>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</si>
  <si>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</si>
  <si>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</si>
  <si>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</si>
  <si>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</si>
  <si>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</si>
  <si>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</si>
  <si>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</si>
  <si>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</si>
  <si>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</si>
  <si>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</si>
  <si>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</si>
  <si>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</si>
  <si>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</si>
  <si>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</si>
  <si>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</si>
  <si>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</si>
  <si>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</si>
  <si>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</si>
  <si>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</si>
  <si>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</si>
  <si>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</si>
  <si>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</si>
  <si>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</si>
  <si>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</si>
  <si>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</si>
  <si>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</si>
  <si>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</si>
  <si>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</si>
  <si>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</si>
  <si>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</si>
  <si>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</si>
  <si>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</si>
  <si>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</si>
  <si>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</si>
  <si>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</si>
  <si>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</si>
  <si>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</si>
  <si>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</si>
  <si>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</si>
  <si>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</si>
  <si>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</si>
  <si>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</si>
  <si>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</si>
  <si>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</si>
  <si>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</si>
  <si>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</si>
  <si>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ZYDUSLIFE</t>
  </si>
  <si>
    <t>INE010B01027</t>
  </si>
  <si>
    <t>2026-06-01T14:12:10</t>
  </si>
  <si>
    <t>INE152M01016</t>
  </si>
  <si>
    <t>2026-06-01T14:15:44</t>
  </si>
  <si>
    <t>INE302A01020</t>
  </si>
  <si>
    <t>2026-06-01T14:17:15</t>
  </si>
  <si>
    <t>CARYSIL</t>
  </si>
  <si>
    <t>INE482D01024</t>
  </si>
  <si>
    <t>2026-06-02</t>
  </si>
  <si>
    <t>2026-06-02T11:53:47</t>
  </si>
  <si>
    <t>2026-06-02T11:54:50</t>
  </si>
  <si>
    <t>POWERINDIA</t>
  </si>
  <si>
    <t>INE07Y701011</t>
  </si>
  <si>
    <t>2026-06-02T11:55:20</t>
  </si>
  <si>
    <t>SYRMA</t>
  </si>
  <si>
    <t>INE0DYJ01015</t>
  </si>
  <si>
    <t>2026-06-02T11:55:33</t>
  </si>
  <si>
    <t>VBL</t>
  </si>
  <si>
    <t>INE200M01039</t>
  </si>
  <si>
    <t>2026-06-02T11:55:45</t>
  </si>
  <si>
    <t>BAJAJ-AUTO</t>
  </si>
  <si>
    <t>INE917I01010</t>
  </si>
  <si>
    <t>2026-06-02T11:55:57</t>
  </si>
  <si>
    <t>TIPSMUSIC</t>
  </si>
  <si>
    <t>INE716B01029</t>
  </si>
  <si>
    <t>2026-06-02T11:56:15</t>
  </si>
  <si>
    <t>AIAENG</t>
  </si>
  <si>
    <t>INE212H01026</t>
  </si>
  <si>
    <t>2026-06-02T11:56:28</t>
  </si>
  <si>
    <t>2026-06-02T11:56:44</t>
  </si>
  <si>
    <t>OFSS</t>
  </si>
  <si>
    <t>INE881D01027</t>
  </si>
  <si>
    <t>2026-06-02T11:56:57</t>
  </si>
  <si>
    <t>APARINDS</t>
  </si>
  <si>
    <t>INE372A01015</t>
  </si>
  <si>
    <t>2026-06-02T11:57:07</t>
  </si>
  <si>
    <t>CRAFTSMAN</t>
  </si>
  <si>
    <t>INE00LO01017</t>
  </si>
  <si>
    <t>2026-06-02T11:57:16</t>
  </si>
  <si>
    <t>2026-06-02T11:58:06</t>
  </si>
  <si>
    <t>2026-06-02T11:58:15</t>
  </si>
  <si>
    <t>2026-06-02T11:59:39</t>
  </si>
  <si>
    <t>LALPATHLAB</t>
  </si>
  <si>
    <t>INE600L01024</t>
  </si>
  <si>
    <t>2026-06-02T12:00:18</t>
  </si>
  <si>
    <t>INE045J01034</t>
  </si>
  <si>
    <t>2026-06-02T12:01:18</t>
  </si>
  <si>
    <t>KEI</t>
  </si>
  <si>
    <t>INE878B01027</t>
  </si>
  <si>
    <t>2026-06-02T12:01:39</t>
  </si>
  <si>
    <t>KRISHANA</t>
  </si>
  <si>
    <t>INE506W01012</t>
  </si>
  <si>
    <t>2026-06-02T12:02:11</t>
  </si>
  <si>
    <t>NH</t>
  </si>
  <si>
    <t>INE410P01011</t>
  </si>
  <si>
    <t>2026-06-02T12:02:38</t>
  </si>
  <si>
    <t>PSPPROJECT</t>
  </si>
  <si>
    <t>INE488V01015</t>
  </si>
  <si>
    <t>2026-06-02T12:03:05</t>
  </si>
  <si>
    <t>RAINBOW</t>
  </si>
  <si>
    <t>INE961O01016</t>
  </si>
  <si>
    <t>2026-06-02T12:03:25</t>
  </si>
  <si>
    <t>SBCL</t>
  </si>
  <si>
    <t>INE386D01027</t>
  </si>
  <si>
    <t>2026-06-02T12:03:44</t>
  </si>
  <si>
    <t>TIMKEN</t>
  </si>
  <si>
    <t>INE325A01013</t>
  </si>
  <si>
    <t>2026-06-02T12:04:01</t>
  </si>
  <si>
    <t>2026-06-02T12:04:17</t>
  </si>
  <si>
    <t>2026-06-02T12:04:38</t>
  </si>
  <si>
    <t>NAVINFLUOR</t>
  </si>
  <si>
    <t>INE048G01026</t>
  </si>
  <si>
    <t>2026-06-02T12:05:08</t>
  </si>
  <si>
    <t>INE887E01022</t>
  </si>
  <si>
    <t>2026-06-02T12:05:25</t>
  </si>
  <si>
    <t>CAPLIPOINT</t>
  </si>
  <si>
    <t>INE475E01026</t>
  </si>
  <si>
    <t>2026-06-02T12:05:49</t>
  </si>
  <si>
    <t>2026-06-02T12:06:03</t>
  </si>
  <si>
    <t>2026-06-02T12:06:35</t>
  </si>
  <si>
    <t>2026-06-02T12:06:56</t>
  </si>
  <si>
    <t>2026-06-04</t>
  </si>
  <si>
    <t>2026-06-04T11:45:35</t>
  </si>
  <si>
    <t>2026-06-04T11:48:33</t>
  </si>
  <si>
    <t>2026-06-04T11:55:25</t>
  </si>
  <si>
    <t>2026-06-05</t>
  </si>
  <si>
    <t>2026-06-05T14:11:19</t>
  </si>
  <si>
    <t>2026-06-05T14:11:52</t>
  </si>
  <si>
    <t>2026-06-05T14:54:16</t>
  </si>
  <si>
    <t>2026-06-05T14:55:18</t>
  </si>
  <si>
    <t>2026-06-05T14:58:19</t>
  </si>
  <si>
    <t>2026-06-05T15:21:19</t>
  </si>
  <si>
    <t>ZENTEC</t>
  </si>
  <si>
    <t>INE251B01027</t>
  </si>
  <si>
    <t>2026-06-05T15:24:23</t>
  </si>
  <si>
    <t>2026-06-05T15:27:06</t>
  </si>
  <si>
    <t>NEULANDLAB</t>
  </si>
  <si>
    <t>INE794A01010</t>
  </si>
  <si>
    <t>2026-06-03</t>
  </si>
  <si>
    <t>2026-06-03T09:41:57</t>
  </si>
  <si>
    <t>2026-06-08</t>
  </si>
  <si>
    <t>2026-06-08T11:14:09</t>
  </si>
  <si>
    <t>2026-06-08T11:15:24</t>
  </si>
  <si>
    <t>2026-06-08T11:17:04</t>
  </si>
  <si>
    <t>2026-06-08T11:47:16</t>
  </si>
  <si>
    <t>2026-06-08T11:47:58</t>
  </si>
  <si>
    <t>2026-06-08T11:48:38</t>
  </si>
  <si>
    <t>2026-06-08T11:49:06</t>
  </si>
  <si>
    <t>2026-06-08T11:49:21</t>
  </si>
  <si>
    <t>2026-06-08T11:49:43</t>
  </si>
  <si>
    <t>2026-06-08T11:50:48</t>
  </si>
  <si>
    <t>2026-06-08T11:51:12</t>
  </si>
  <si>
    <t>2026-06-08T11:52:11</t>
  </si>
  <si>
    <t>2026-06-08T14:45:52</t>
  </si>
  <si>
    <t>2026-06-08T14:46:24</t>
  </si>
  <si>
    <t>2026-06-08T14:46:51</t>
  </si>
  <si>
    <t>2026-06-08T14:47:10</t>
  </si>
  <si>
    <t>2026-06-08T14:47:32</t>
  </si>
  <si>
    <t>2026-06-08T14:47:54</t>
  </si>
  <si>
    <t>2026-06-08T14:48:13</t>
  </si>
  <si>
    <t>2026-06-08T14:48:32</t>
  </si>
  <si>
    <t>2026-06-08T14:48:56</t>
  </si>
  <si>
    <t>2026-06-08T14:49:14</t>
  </si>
  <si>
    <t>2026-06-08T14:49:44</t>
  </si>
  <si>
    <t>2026-06-08T11:02:17</t>
  </si>
  <si>
    <t>2026-06-08T11:03:35</t>
  </si>
  <si>
    <t>INE019C01026</t>
  </si>
  <si>
    <t>2026-06-08T12:16:04</t>
  </si>
  <si>
    <t>2026-06-10</t>
  </si>
  <si>
    <t>2026-06-10T11:35:00</t>
  </si>
  <si>
    <t>2026-06-12</t>
  </si>
  <si>
    <t>2026-06-12T15:13:47</t>
  </si>
  <si>
    <t>2026-06-12T15:16:02</t>
  </si>
  <si>
    <t>2026-06-12T15:26:46</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</si>
  <si>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</si>
  <si>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</si>
  <si>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</si>
  <si>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</si>
  <si>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</si>
  <si>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</si>
  <si>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</si>
  <si>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</si>
  <si>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</si>
  <si>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</si>
  <si>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</si>
  <si>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</si>
  <si>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</si>
  <si>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</si>
  <si>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</si>
  <si>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</si>
  <si>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</si>
  <si>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</si>
  <si>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</si>
  <si>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</si>
  <si>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</si>
  <si>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</si>
  <si>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</si>
  <si>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</si>
  <si>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</si>
  <si>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Prev_Month_Close</t>
  </si>
  <si>
    <t>Prior_Week_Close</t>
  </si>
  <si>
    <t>Month</t>
  </si>
  <si>
    <t>Company</t>
  </si>
  <si>
    <t>Company Name</t>
  </si>
  <si>
    <t>Theme</t>
  </si>
  <si>
    <t>Market Cap (MC)</t>
  </si>
  <si>
    <t>Trend Status</t>
  </si>
  <si>
    <t>No of shares</t>
  </si>
  <si>
    <t>SC (Small Cap)</t>
  </si>
  <si>
    <t>Strong Trend- Green</t>
  </si>
  <si>
    <t>MC (Mid Cap)</t>
  </si>
  <si>
    <t>LC (Large Cap)</t>
  </si>
  <si>
    <t>Technology</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</si>
  <si>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</si>
  <si>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</si>
  <si>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</si>
  <si>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</si>
  <si>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</si>
  <si>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</si>
  <si>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</si>
  <si>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</si>
  <si>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</si>
  <si>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</si>
  <si>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</si>
  <si>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</si>
  <si>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</si>
  <si>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</si>
  <si>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</si>
  <si>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</si>
  <si>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</si>
  <si>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</si>
  <si>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</si>
  <si>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</si>
  <si>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</si>
  <si>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</si>
  <si>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</si>
  <si>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</si>
  <si>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</si>
  <si>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</si>
  <si>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</si>
  <si>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</si>
  <si>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</si>
  <si>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</si>
  <si>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</si>
  <si>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</si>
  <si>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</si>
  <si>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</si>
  <si>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</si>
  <si>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</si>
  <si>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</si>
  <si>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</si>
  <si>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</si>
  <si>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</si>
  <si>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</si>
  <si>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</si>
  <si>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</si>
  <si>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</si>
  <si>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</si>
  <si>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</si>
  <si>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</si>
  <si>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</si>
  <si>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</si>
  <si>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</si>
  <si>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</si>
  <si>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</si>
  <si>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</si>
  <si>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</si>
  <si>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</si>
  <si>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</si>
  <si>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</si>
  <si>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</si>
  <si>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</si>
  <si>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</si>
  <si>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</si>
  <si>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</si>
  <si>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</si>
  <si>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</si>
  <si>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</si>
  <si>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</si>
  <si>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</si>
  <si>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</si>
  <si>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</si>
  <si>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</si>
  <si>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</si>
  <si>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</si>
  <si>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</si>
  <si>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</si>
  <si>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</si>
  <si>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</si>
  <si>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</si>
  <si>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</si>
  <si>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</si>
  <si>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</si>
  <si>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</si>
  <si>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</si>
  <si>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</si>
  <si>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</si>
  <si>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</si>
  <si>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</si>
  <si>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</si>
  <si>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</si>
  <si>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</si>
  <si>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</si>
  <si>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</si>
  <si>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</si>
  <si>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</si>
  <si>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</si>
  <si>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</si>
  <si>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</si>
  <si>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</si>
  <si>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</si>
  <si>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</si>
  <si>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</si>
  <si>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</si>
  <si>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</si>
  <si>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</si>
  <si>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</si>
  <si>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</si>
  <si>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</si>
  <si>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</si>
  <si>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</si>
  <si>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</si>
  <si>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</si>
  <si>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</si>
  <si>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</si>
  <si>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</si>
  <si>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</si>
  <si>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</si>
  <si>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</si>
  <si>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</si>
  <si>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</si>
  <si>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</si>
  <si>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 06-06-2026 Watchlist (Blue/Green, Price &gt; Prev Close) - Excl. Current Holdings</t>
  </si>
  <si>
    <t>Blue</t>
  </si>
  <si>
    <t>Price (₹)</t>
  </si>
  <si>
    <t>Prev Close (₹)</t>
  </si>
  <si>
    <t>IDEAFORGE</t>
  </si>
  <si>
    <t>UFBL</t>
  </si>
  <si>
    <t>BLUE</t>
  </si>
  <si>
    <t>OIL</t>
  </si>
  <si>
    <t>GRINDWELL</t>
  </si>
  <si>
    <t>ONGC</t>
  </si>
  <si>
    <t>PAISALO</t>
  </si>
  <si>
    <t>XPROINDIA</t>
  </si>
  <si>
    <t>APOLLOPIPE</t>
  </si>
  <si>
    <t>GREEN</t>
  </si>
  <si>
    <t>HINDCOPPER</t>
  </si>
  <si>
    <t>ANTELOPUS</t>
  </si>
  <si>
    <t>ZEEL</t>
  </si>
  <si>
    <t>NIBE</t>
  </si>
  <si>
    <t>EQUITASBNK</t>
  </si>
  <si>
    <t>CARERATING</t>
  </si>
  <si>
    <t>DEEPINDS</t>
  </si>
  <si>
    <t>MCLEODRUSS</t>
  </si>
  <si>
    <t>SAMMAANCAP</t>
  </si>
  <si>
    <t>MENONBE</t>
  </si>
  <si>
    <t>MEDANTA</t>
  </si>
  <si>
    <t>MANKIND</t>
  </si>
  <si>
    <t>IPCALAB</t>
  </si>
  <si>
    <t>NLCINDIA</t>
  </si>
  <si>
    <t>SOLARA</t>
  </si>
  <si>
    <t>ARTEMISMED</t>
  </si>
  <si>
    <t>SATIN</t>
  </si>
  <si>
    <t>Orange</t>
  </si>
  <si>
    <t>MTARTECH</t>
  </si>
  <si>
    <t>MCX</t>
  </si>
  <si>
    <t>BBOX</t>
  </si>
  <si>
    <t>WHEELS</t>
  </si>
  <si>
    <t>STLTECH</t>
  </si>
  <si>
    <t>CUMMINSIND</t>
  </si>
  <si>
    <t>ADANIPORTS</t>
  </si>
  <si>
    <t>SAKAR</t>
  </si>
  <si>
    <t>MANINDS</t>
  </si>
  <si>
    <t>VIJAYA</t>
  </si>
  <si>
    <t>RADICO</t>
  </si>
  <si>
    <t>NATIONALUM</t>
  </si>
  <si>
    <t>GESHIP</t>
  </si>
  <si>
    <t>ATHERENERG</t>
  </si>
  <si>
    <t>ANANDRATHI</t>
  </si>
  <si>
    <t>VEDL</t>
  </si>
  <si>
    <t>ATLANTAELE</t>
  </si>
  <si>
    <t>KRN</t>
  </si>
  <si>
    <t>AZAD</t>
  </si>
  <si>
    <t>SMSPHARMA</t>
  </si>
  <si>
    <t>GRAPHITE</t>
  </si>
  <si>
    <t>ASTERDM</t>
  </si>
  <si>
    <t>Green</t>
  </si>
  <si>
    <t>SHAILY</t>
  </si>
  <si>
    <t>GRWRHITECH</t>
  </si>
  <si>
    <t>NYKAA</t>
  </si>
  <si>
    <t>ANURAS</t>
  </si>
  <si>
    <t>BIOCON</t>
  </si>
  <si>
    <t>Red</t>
  </si>
  <si>
    <t>DIACABS</t>
  </si>
  <si>
    <t>GRSE</t>
  </si>
  <si>
    <t>KSCL</t>
  </si>
  <si>
    <t>AVALON</t>
  </si>
  <si>
    <t>COALINDIA</t>
  </si>
  <si>
    <t>AVANTIFEED</t>
  </si>
  <si>
    <t>UNIONBANK</t>
  </si>
  <si>
    <t>BAJAJCON</t>
  </si>
  <si>
    <t>COCHINSHIP</t>
  </si>
  <si>
    <t>SOUTHWEST</t>
  </si>
  <si>
    <t>RRKABEL</t>
  </si>
  <si>
    <t>CPPLUS</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</si>
  <si>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</si>
  <si>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</si>
  <si>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</si>
  <si>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</si>
  <si>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</si>
  <si>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</si>
  <si>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</si>
  <si>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</si>
  <si>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</si>
  <si>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</si>
  <si>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</si>
  <si>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</si>
  <si>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</si>
  <si>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</si>
  <si>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</si>
  <si>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</si>
  <si>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</si>
  <si>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</si>
  <si>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</si>
  <si>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</si>
  <si>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</si>
  <si>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</si>
  <si>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</si>
  <si>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</si>
  <si>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</si>
  <si>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MARINE</t>
  </si>
  <si>
    <t>ORANGE</t>
  </si>
  <si>
    <t>WOCKPHARMA</t>
  </si>
  <si>
    <t>CEMPRO</t>
  </si>
  <si>
    <t>WELCORP</t>
  </si>
  <si>
    <t>BLISSGVS</t>
  </si>
  <si>
    <t>KOPRAN</t>
  </si>
  <si>
    <t>BIRLACABLE</t>
  </si>
  <si>
    <t>SJS</t>
  </si>
  <si>
    <t>GRANULES</t>
  </si>
  <si>
    <t>ENRIN</t>
  </si>
  <si>
    <t>SIGMAADV</t>
  </si>
  <si>
    <t>THYROCARE</t>
  </si>
  <si>
    <t>MODISONLTD</t>
  </si>
  <si>
    <t>ABSLAMC</t>
  </si>
  <si>
    <t>CENTUM</t>
  </si>
  <si>
    <t>SKYGOLD</t>
  </si>
  <si>
    <t>TIMEX</t>
  </si>
  <si>
    <t>MOTHERSON</t>
  </si>
  <si>
    <t>MINDACORP</t>
  </si>
  <si>
    <t>STARHEALTH</t>
  </si>
  <si>
    <t>RED</t>
  </si>
  <si>
    <t>TATACOMM</t>
  </si>
  <si>
    <t>HESTERBIO</t>
  </si>
  <si>
    <t>ADANIGREEN</t>
  </si>
  <si>
    <t>GANESHBE</t>
  </si>
  <si>
    <t>GREAVESCOT</t>
  </si>
  <si>
    <t>WABAG</t>
  </si>
  <si>
    <t>SPECTRUM</t>
  </si>
  <si>
    <t>IBULLSLTD</t>
  </si>
  <si>
    <t>QUESS</t>
  </si>
  <si>
    <t>VENUSREM</t>
  </si>
  <si>
    <t>RUBYMILLS</t>
  </si>
  <si>
    <t>RPEL</t>
  </si>
  <si>
    <t>ASIANENE</t>
  </si>
  <si>
    <t>KSHINTL</t>
  </si>
  <si>
    <t>SOTL</t>
  </si>
  <si>
    <t>ACMESOLAR</t>
  </si>
  <si>
    <t>PFC</t>
  </si>
  <si>
    <t>PNBHOUSING</t>
  </si>
  <si>
    <t>SHRIRAMFIN</t>
  </si>
  <si>
    <t>RELIANCE</t>
  </si>
  <si>
    <t>Total_Buy_Quantity</t>
  </si>
  <si>
    <t>Total_Buy_Value</t>
  </si>
  <si>
    <t>Total_Sell_Quantity</t>
  </si>
  <si>
    <t>Total_Sell_Value</t>
  </si>
  <si>
    <t>Average_Sell_Price</t>
  </si>
  <si>
    <t>Realized_PnL</t>
  </si>
  <si>
    <t>Total_PnL</t>
  </si>
  <si>
    <t>Total_PnL_Percentage</t>
  </si>
  <si>
    <t>▲</t>
  </si>
  <si>
    <t>▼</t>
  </si>
  <si>
    <t>2:1 Split on 2025-09-23</t>
  </si>
  <si>
    <t>Buy Price</t>
  </si>
  <si>
    <t>P/L</t>
  </si>
  <si>
    <t>Previous Day Close</t>
  </si>
  <si>
    <t>1 Day Change %</t>
  </si>
  <si>
    <t xml:space="preserve">SL Price </t>
  </si>
  <si>
    <t>SL-LTP Diff</t>
  </si>
  <si>
    <t>NIFTY</t>
  </si>
  <si>
    <t>#</t>
  </si>
  <si>
    <t>Ticker</t>
  </si>
  <si>
    <t>Name</t>
  </si>
  <si>
    <t>Market</t>
  </si>
  <si>
    <t>Carysil</t>
  </si>
  <si>
    <t>Ltd.</t>
  </si>
  <si>
    <t>SC</t>
  </si>
  <si>
    <t>Neuland</t>
  </si>
  <si>
    <t>Laboratories</t>
  </si>
  <si>
    <t>Healthcare</t>
  </si>
  <si>
    <t>Chemicals</t>
  </si>
  <si>
    <t>Hitachi</t>
  </si>
  <si>
    <t>Energy</t>
  </si>
  <si>
    <t>India</t>
  </si>
  <si>
    <t>Power</t>
  </si>
  <si>
    <t>-</t>
  </si>
  <si>
    <t>Infra</t>
  </si>
  <si>
    <t>Industrials</t>
  </si>
  <si>
    <t>MC</t>
  </si>
  <si>
    <t>Varun</t>
  </si>
  <si>
    <t>Beverages</t>
  </si>
  <si>
    <t>LC</t>
  </si>
  <si>
    <t>Bajaj</t>
  </si>
  <si>
    <t>Auto</t>
  </si>
  <si>
    <t>2W</t>
  </si>
  <si>
    <t>AIA</t>
  </si>
  <si>
    <t>Engineering</t>
  </si>
  <si>
    <t>Metals</t>
  </si>
  <si>
    <t>&amp;</t>
  </si>
  <si>
    <t>Mining</t>
  </si>
  <si>
    <t>Acutaas</t>
  </si>
  <si>
    <t>Chemical</t>
  </si>
  <si>
    <t>Oracle</t>
  </si>
  <si>
    <t>Financial</t>
  </si>
  <si>
    <t>Services</t>
  </si>
  <si>
    <t>IT</t>
  </si>
  <si>
    <t>Product</t>
  </si>
  <si>
    <t>Fineotex</t>
  </si>
  <si>
    <t>Industries</t>
  </si>
  <si>
    <t>Krishana</t>
  </si>
  <si>
    <t>Phoschem</t>
  </si>
  <si>
    <t>Agrichemicals</t>
  </si>
  <si>
    <t>Metropolis</t>
  </si>
  <si>
    <t>TD</t>
  </si>
  <si>
    <t>Systems</t>
  </si>
  <si>
    <t>GE</t>
  </si>
  <si>
    <t>Vernova</t>
  </si>
  <si>
    <t>T&amp;D</t>
  </si>
  <si>
    <t>Market Cap</t>
  </si>
  <si>
    <t>HBL Engineering</t>
  </si>
  <si>
    <t>Railways</t>
  </si>
  <si>
    <t>Syrma SGS Tech.</t>
  </si>
  <si>
    <t>Electronics</t>
  </si>
  <si>
    <t>Tips Music Ltd.</t>
  </si>
  <si>
    <t>Media - Entertainment</t>
  </si>
  <si>
    <t>Apar Industries</t>
  </si>
  <si>
    <t>Power - Infra</t>
  </si>
  <si>
    <t>Craftsman Auto.</t>
  </si>
  <si>
    <t>Auto - Components</t>
  </si>
  <si>
    <t>Dr. Lal PathLabs</t>
  </si>
  <si>
    <t>Narayana Hrudayalaya</t>
  </si>
  <si>
    <t>Polycab India</t>
  </si>
  <si>
    <t>PSP Projects</t>
  </si>
  <si>
    <t>Infra - EPC</t>
  </si>
  <si>
    <t>Rainbow Children's Medicare</t>
  </si>
  <si>
    <t>Shivalik Bimetal Controls</t>
  </si>
  <si>
    <t>Timken India</t>
  </si>
  <si>
    <t>Solar Industries</t>
  </si>
  <si>
    <t>Defense</t>
  </si>
  <si>
    <t>Navin Fluorine</t>
  </si>
  <si>
    <t>NGL Fine-Chem</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</si>
  <si>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</si>
  <si>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</si>
  <si>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</si>
  <si>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</si>
  <si>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</si>
  <si>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</si>
  <si>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</si>
  <si>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</si>
  <si>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</si>
  <si>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</si>
  <si>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</si>
  <si>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</si>
  <si>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</si>
  <si>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</si>
  <si>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</si>
  <si>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</si>
  <si>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</si>
  <si>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</si>
  <si>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</si>
  <si>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</si>
  <si>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</si>
  <si>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</si>
  <si>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</si>
  <si>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</si>
  <si>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Kovai Medical Center &amp; Hospital Ltd</t>
  </si>
  <si>
    <t>JNKINDIA</t>
  </si>
  <si>
    <t>ORCHPHARMA</t>
  </si>
  <si>
    <t>WENDT</t>
  </si>
  <si>
    <t>APCOTEXIND</t>
  </si>
  <si>
    <t>RBLBANK</t>
  </si>
  <si>
    <t>AEROFLEX</t>
  </si>
  <si>
    <t>EMMVEE</t>
  </si>
  <si>
    <t>J&amp;KBANK</t>
  </si>
  <si>
    <t>YASHO</t>
  </si>
  <si>
    <t>CARTRADE</t>
  </si>
  <si>
    <t>STYLAMIND</t>
  </si>
  <si>
    <t>AEROENTER</t>
  </si>
  <si>
    <t>AEGISLOG</t>
  </si>
  <si>
    <t>GREENPLY</t>
  </si>
  <si>
    <t>GOLDIAM</t>
  </si>
  <si>
    <t>VARDHACRLC</t>
  </si>
  <si>
    <t>AXISBANK</t>
  </si>
  <si>
    <t>RISHABH</t>
  </si>
  <si>
    <t>KRBL</t>
  </si>
  <si>
    <t>NITCO</t>
  </si>
  <si>
    <t>ASHOKLEY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</si>
</sst>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 numFmtId="168" formatCode="\₹\ #,##0.00"/>
    <numFmt numFmtId="169" formatCode="0.00%;[Red]\-0.00%"/>
  </numFmts>
  <fonts count="26">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sz val="11"/>
      <color theme="1"/>
      <name val="Calibri"/>
      <family val="2"/>
      <scheme val="minor"/>
    </font>
    <font>
      <sz val="11"/>
      <color rgb="FF000000"/>
      <name val="Calibri"/>
    </font>
  </fonts>
  <fills count="23">
    <fill>
      <patternFill patternType="none"/>
    </fill>
    <fill>
      <patternFill patternType="gray125"/>
    </fill>
    <fill>
      <patternFill patternType="solid">
        <fgColor rgb="FFFFFF00"/>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D9E2F3"/>
        <bgColor indexed="64"/>
      </patternFill>
    </fill>
    <fill>
      <patternFill patternType="solid">
        <fgColor rgb="FFBDD7EE"/>
        <bgColor indexed="64"/>
      </patternFill>
    </fill>
    <fill>
      <patternFill patternType="solid">
        <fgColor rgb="FFC6EFCE"/>
        <bgColor indexed="64"/>
      </patternFill>
    </fill>
    <fill>
      <patternFill patternType="solid">
        <fgColor rgb="FFFADBD8"/>
        <bgColor rgb="FFFADBD8"/>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3">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44" fontId="24" fillId="0" borderId="0"/>
    <xf numFmtId="9" fontId="24" fillId="0" borderId="0"/>
  </cellStyleXfs>
  <cellXfs count="97">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1" fillId="0" borderId="0" xfId="0" applyFont="1"/>
    <xf numFmtId="0" fontId="1" fillId="0" borderId="9" xfId="0" applyFont="1" applyBorder="1"/>
    <xf numFmtId="165" fontId="0" fillId="0" borderId="9" xfId="0" applyNumberFormat="1" applyBorder="1"/>
    <xf numFmtId="1" fontId="0" fillId="0" borderId="9" xfId="0" applyNumberFormat="1" applyBorder="1"/>
    <xf numFmtId="10" fontId="0" fillId="0" borderId="9" xfId="0" applyNumberFormat="1" applyBorder="1"/>
    <xf numFmtId="2" fontId="0" fillId="0" borderId="9" xfId="0" applyNumberFormat="1" applyBorder="1"/>
    <xf numFmtId="165" fontId="1" fillId="0" borderId="9" xfId="0" applyNumberFormat="1" applyFont="1" applyBorder="1"/>
    <xf numFmtId="10" fontId="1" fillId="0" borderId="9" xfId="0" applyNumberFormat="1" applyFont="1" applyBorder="1"/>
    <xf numFmtId="0" fontId="0" fillId="0" borderId="9" xfId="0" applyBorder="1"/>
    <xf numFmtId="0" fontId="2" fillId="0" borderId="9" xfId="0" applyFont="1" applyBorder="1"/>
    <xf numFmtId="1" fontId="2" fillId="0" borderId="9" xfId="0" applyNumberFormat="1" applyFont="1" applyBorder="1"/>
    <xf numFmtId="165" fontId="2" fillId="0" borderId="9" xfId="0" applyNumberFormat="1" applyFont="1" applyBorder="1"/>
    <xf numFmtId="10" fontId="22" fillId="0" borderId="9" xfId="0" applyNumberFormat="1" applyFont="1" applyBorder="1"/>
    <xf numFmtId="10" fontId="23" fillId="0" borderId="9" xfId="0" applyNumberFormat="1" applyFont="1" applyBorder="1"/>
    <xf numFmtId="0" fontId="11" fillId="3" borderId="9" xfId="0" applyFont="1" applyFill="1" applyBorder="1" applyAlignment="1">
      <alignment horizontal="center" vertical="center"/>
    </xf>
    <xf numFmtId="0" fontId="0" fillId="0" borderId="9" xfId="0" applyBorder="1" applyAlignment="1">
      <alignment horizontal="center"/>
    </xf>
    <xf numFmtId="14" fontId="0" fillId="0" borderId="9" xfId="0" applyNumberFormat="1" applyBorder="1" applyAlignment="1">
      <alignment horizontal="center"/>
    </xf>
    <xf numFmtId="0" fontId="0" fillId="0" borderId="9" xfId="0" applyBorder="1" applyAlignment="1">
      <alignment horizontal="left"/>
    </xf>
    <xf numFmtId="0" fontId="0" fillId="0" borderId="9" xfId="0" applyBorder="1" applyAlignment="1">
      <alignment horizontal="left" wrapText="1"/>
    </xf>
    <xf numFmtId="0" fontId="14" fillId="6" borderId="9" xfId="0" applyFont="1" applyFill="1" applyBorder="1" applyAlignment="1">
      <alignment horizontal="center"/>
    </xf>
    <xf numFmtId="0" fontId="15" fillId="0" borderId="9" xfId="0" applyFont="1" applyBorder="1" applyAlignment="1">
      <alignment horizontal="center"/>
    </xf>
    <xf numFmtId="0" fontId="13" fillId="5" borderId="9" xfId="0" applyFont="1" applyFill="1" applyBorder="1" applyAlignment="1">
      <alignment horizontal="center"/>
    </xf>
    <xf numFmtId="0" fontId="16" fillId="7" borderId="9" xfId="0" applyFont="1" applyFill="1" applyBorder="1" applyAlignment="1">
      <alignment horizontal="center"/>
    </xf>
    <xf numFmtId="0" fontId="12" fillId="4" borderId="9" xfId="0" applyFont="1" applyFill="1" applyBorder="1" applyAlignment="1">
      <alignment horizontal="center"/>
    </xf>
    <xf numFmtId="17" fontId="0" fillId="0" borderId="9" xfId="0" applyNumberFormat="1" applyBorder="1"/>
    <xf numFmtId="0" fontId="0" fillId="8" borderId="9" xfId="0" applyFill="1" applyBorder="1"/>
    <xf numFmtId="0" fontId="0" fillId="9" borderId="9" xfId="0" applyFill="1" applyBorder="1"/>
    <xf numFmtId="0" fontId="0" fillId="10" borderId="9" xfId="0" applyFill="1" applyBorder="1"/>
    <xf numFmtId="0" fontId="0" fillId="11" borderId="9" xfId="0" applyFill="1" applyBorder="1"/>
    <xf numFmtId="9" fontId="0" fillId="0" borderId="0" xfId="2" applyFont="1"/>
    <xf numFmtId="166" fontId="0" fillId="0" borderId="0" xfId="0" applyNumberFormat="1"/>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165" fontId="0" fillId="0" borderId="7" xfId="0" applyNumberFormat="1" applyBorder="1"/>
    <xf numFmtId="0" fontId="0" fillId="0" borderId="10" xfId="0" applyBorder="1"/>
    <xf numFmtId="0" fontId="2" fillId="0" borderId="9" xfId="0" applyFont="1" applyBorder="1" applyAlignment="1">
      <alignment horizontal="center" vertical="center"/>
    </xf>
    <xf numFmtId="165" fontId="2" fillId="0" borderId="9" xfId="0" applyNumberFormat="1" applyFont="1" applyBorder="1" applyAlignment="1">
      <alignment horizontal="center" vertical="center"/>
    </xf>
    <xf numFmtId="10" fontId="2" fillId="0" borderId="9" xfId="0" applyNumberFormat="1" applyFont="1" applyBorder="1" applyAlignment="1">
      <alignment horizontal="center" vertical="center"/>
    </xf>
    <xf numFmtId="168" fontId="0" fillId="0" borderId="0" xfId="0" applyNumberFormat="1"/>
    <xf numFmtId="10" fontId="0" fillId="0" borderId="0" xfId="0" applyNumberFormat="1"/>
    <xf numFmtId="0" fontId="10" fillId="12" borderId="0" xfId="0" applyFont="1" applyFill="1"/>
    <xf numFmtId="0" fontId="0" fillId="13" borderId="0" xfId="0" applyFill="1"/>
    <xf numFmtId="0" fontId="0" fillId="14" borderId="0" xfId="0" applyFill="1"/>
    <xf numFmtId="0" fontId="0" fillId="0" borderId="0" xfId="0" applyAlignment="1">
      <alignment wrapText="1"/>
    </xf>
    <xf numFmtId="169" fontId="0" fillId="0" borderId="9" xfId="0" applyNumberFormat="1" applyBorder="1"/>
    <xf numFmtId="0" fontId="0" fillId="0" borderId="11" xfId="0" applyBorder="1"/>
    <xf numFmtId="1" fontId="0" fillId="0" borderId="11" xfId="0" applyNumberFormat="1" applyBorder="1"/>
    <xf numFmtId="165" fontId="0" fillId="0" borderId="11" xfId="0" applyNumberFormat="1" applyBorder="1"/>
    <xf numFmtId="0" fontId="0" fillId="0" borderId="11" xfId="0" applyBorder="1" applyAlignment="1">
      <alignment horizontal="center"/>
    </xf>
    <xf numFmtId="10" fontId="0" fillId="0" borderId="11" xfId="0" applyNumberFormat="1" applyBorder="1"/>
    <xf numFmtId="14" fontId="0" fillId="0" borderId="11" xfId="0" applyNumberFormat="1" applyBorder="1"/>
    <xf numFmtId="0" fontId="3" fillId="0" borderId="11" xfId="0" applyFont="1" applyBorder="1" applyAlignment="1">
      <alignment readingOrder="1"/>
    </xf>
    <xf numFmtId="164" fontId="0" fillId="0" borderId="11" xfId="0" applyNumberFormat="1" applyBorder="1" applyAlignment="1">
      <alignment horizontal="right"/>
    </xf>
    <xf numFmtId="164" fontId="0" fillId="0" borderId="11" xfId="0" applyNumberFormat="1" applyBorder="1"/>
    <xf numFmtId="0" fontId="10" fillId="12" borderId="11" xfId="0" applyFont="1" applyFill="1" applyBorder="1"/>
    <xf numFmtId="0" fontId="9" fillId="0" borderId="11" xfId="0" applyFont="1" applyBorder="1" applyAlignment="1">
      <alignment readingOrder="1"/>
    </xf>
    <xf numFmtId="0" fontId="17" fillId="0" borderId="11" xfId="0" applyFont="1" applyBorder="1" applyAlignment="1">
      <alignment wrapText="1"/>
    </xf>
    <xf numFmtId="0" fontId="8" fillId="22" borderId="11" xfId="0" applyFont="1" applyFill="1" applyBorder="1" applyAlignment="1">
      <alignment horizontal="center" vertical="center" wrapText="1"/>
    </xf>
    <xf numFmtId="0" fontId="18" fillId="19" borderId="11" xfId="0" applyFont="1" applyFill="1" applyBorder="1"/>
    <xf numFmtId="0" fontId="18" fillId="20" borderId="11" xfId="0" applyFont="1" applyFill="1" applyBorder="1"/>
    <xf numFmtId="0" fontId="18" fillId="21" borderId="11" xfId="0" applyFont="1" applyFill="1" applyBorder="1"/>
    <xf numFmtId="0" fontId="4" fillId="15" borderId="11" xfId="0" applyFont="1" applyFill="1" applyBorder="1"/>
    <xf numFmtId="0" fontId="25" fillId="0" borderId="11" xfId="0" applyFont="1" applyBorder="1"/>
    <xf numFmtId="0" fontId="7" fillId="16" borderId="11" xfId="0" applyFont="1" applyFill="1" applyBorder="1"/>
    <xf numFmtId="0" fontId="5" fillId="17" borderId="11" xfId="0" applyFont="1" applyFill="1" applyBorder="1"/>
    <xf numFmtId="0" fontId="6" fillId="18" borderId="11" xfId="0" applyFont="1" applyFill="1" applyBorder="1"/>
    <xf numFmtId="0" fontId="8" fillId="22" borderId="9" xfId="0" applyFont="1" applyFill="1" applyBorder="1" applyAlignment="1">
      <alignment horizontal="center"/>
    </xf>
    <xf numFmtId="0" fontId="6" fillId="18" borderId="9" xfId="0" applyFont="1" applyFill="1" applyBorder="1"/>
    <xf numFmtId="0" fontId="18" fillId="19" borderId="9" xfId="0" applyFont="1" applyFill="1" applyBorder="1"/>
    <xf numFmtId="0" fontId="5" fillId="17" borderId="9" xfId="0" applyFont="1" applyFill="1" applyBorder="1"/>
    <xf numFmtId="0" fontId="18" fillId="20" borderId="9" xfId="0" applyFont="1" applyFill="1" applyBorder="1"/>
    <xf numFmtId="0" fontId="8" fillId="22" borderId="9" xfId="0" applyFont="1" applyFill="1" applyBorder="1" applyAlignment="1">
      <alignment horizontal="center" vertical="center" wrapText="1"/>
    </xf>
    <xf numFmtId="0" fontId="8" fillId="22" borderId="1" xfId="0" applyFont="1" applyFill="1" applyBorder="1" applyAlignment="1">
      <alignment horizontal="center" vertical="center" wrapText="1"/>
    </xf>
    <xf numFmtId="0" fontId="8" fillId="22" borderId="0" xfId="0" applyFont="1" applyFill="1" applyAlignment="1">
      <alignment horizontal="center" vertical="center" wrapText="1"/>
    </xf>
    <xf numFmtId="9" fontId="0" fillId="0" borderId="11" xfId="2" applyFont="1" applyBorder="1"/>
    <xf numFmtId="0" fontId="0" fillId="0" borderId="11" xfId="0" applyBorder="1" applyAlignment="1">
      <alignment wrapText="1"/>
    </xf>
    <xf numFmtId="0" fontId="19" fillId="0" borderId="0" xfId="0" applyFont="1" applyAlignment="1">
      <alignment horizontal="center"/>
    </xf>
    <xf numFmtId="0" fontId="0" fillId="0" borderId="0" xfId="0"/>
    <xf numFmtId="0" fontId="20" fillId="0" borderId="0" xfId="0" applyFont="1" applyAlignment="1">
      <alignment horizontal="right"/>
    </xf>
    <xf numFmtId="0" fontId="8" fillId="22" borderId="11" xfId="0" applyFont="1" applyFill="1" applyBorder="1" applyAlignment="1">
      <alignment horizontal="center" vertical="center" wrapText="1"/>
    </xf>
    <xf numFmtId="14" fontId="17" fillId="0" borderId="12" xfId="0" applyNumberFormat="1" applyFont="1" applyBorder="1" applyAlignment="1">
      <alignment wrapText="1"/>
    </xf>
    <xf numFmtId="0" fontId="17" fillId="0" borderId="12" xfId="0" applyFont="1" applyBorder="1" applyAlignment="1">
      <alignment wrapText="1"/>
    </xf>
  </cellXfs>
  <cellStyles count="3">
    <cellStyle name="Currency" xfId="1" builtinId="4"/>
    <cellStyle name="Normal" xfId="0" builtinId="0"/>
    <cellStyle name="Percent" xfId="2" builtinId="5"/>
  </cellStyles>
  <dxfs count="90">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i val="0"/>
        <color rgb="FF000000"/>
      </font>
      <fill>
        <patternFill>
          <bgColor rgb="FFB1A0C7"/>
        </patternFill>
      </fill>
    </dxf>
    <dxf>
      <font>
        <b/>
        <i val="0"/>
        <color rgb="FFFFFFFF"/>
      </font>
      <fill>
        <patternFill>
          <bgColor rgb="FFDC3939"/>
        </patternFill>
      </fill>
    </dxf>
    <dxf>
      <font>
        <b/>
        <i val="0"/>
        <color rgb="FF000000"/>
      </font>
      <fill>
        <patternFill>
          <bgColor rgb="FFFFC000"/>
        </patternFill>
      </fill>
    </dxf>
    <dxf>
      <font>
        <b/>
        <i val="0"/>
        <color rgb="FFFFFFFF"/>
      </font>
      <fill>
        <patternFill>
          <bgColor rgb="FF00B050"/>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000000"/>
      </font>
      <fill>
        <patternFill>
          <bgColor rgb="FFB1A0C7"/>
        </patternFill>
      </fill>
    </dxf>
    <dxf>
      <font>
        <b/>
        <i val="0"/>
        <color rgb="FFFFFFFF"/>
      </font>
      <fill>
        <patternFill>
          <bgColor rgb="FFDC3939"/>
        </patternFill>
      </fill>
    </dxf>
    <dxf>
      <font>
        <b/>
        <i val="0"/>
        <color rgb="FF000000"/>
      </font>
      <fill>
        <patternFill>
          <bgColor rgb="FFFFC000"/>
        </patternFill>
      </fill>
    </dxf>
    <dxf>
      <font>
        <b/>
        <i val="0"/>
        <color rgb="FFFFFFFF"/>
      </font>
      <fill>
        <patternFill>
          <bgColor rgb="FF00B050"/>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i val="0"/>
        <color rgb="FF8B0000"/>
      </font>
    </dxf>
    <dxf>
      <font>
        <b/>
        <i val="0"/>
        <color rgb="FF60497A"/>
      </font>
      <fill>
        <patternFill>
          <bgColor rgb="FFE1D5E7"/>
        </patternFill>
      </fill>
    </dxf>
    <dxf>
      <font>
        <b/>
        <i val="0"/>
        <color rgb="FF7F6000"/>
      </font>
      <fill>
        <patternFill>
          <bgColor rgb="FFFFF2CC"/>
        </patternFill>
      </fill>
    </dxf>
    <dxf>
      <font>
        <b/>
        <i val="0"/>
        <color rgb="FFA93226"/>
      </font>
      <fill>
        <patternFill>
          <bgColor rgb="FFFADBD8"/>
        </patternFill>
      </fill>
    </dxf>
    <dxf>
      <font>
        <b/>
        <i val="0"/>
        <color rgb="FFA93226"/>
      </font>
      <fill>
        <patternFill>
          <bgColor rgb="FFFADBD8"/>
        </patternFill>
      </fill>
    </dxf>
    <dxf>
      <font>
        <b/>
        <i val="0"/>
        <color rgb="FF375623"/>
      </font>
      <fill>
        <patternFill>
          <bgColor rgb="FFE2EFDA"/>
        </patternFill>
      </fill>
    </dxf>
    <dxf>
      <font>
        <b/>
        <i val="0"/>
        <color rgb="FFC65911"/>
      </font>
      <fill>
        <patternFill>
          <bgColor rgb="FFFCE4D6"/>
        </patternFill>
      </fill>
    </dxf>
    <dxf>
      <font>
        <b/>
        <i val="0"/>
        <color rgb="FF1F4E78"/>
      </font>
      <fill>
        <patternFill>
          <bgColor rgb="FFDDEBF7"/>
        </patternFill>
      </fill>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38">
  <rv s="0">
    <v>https://www.bing.com/financeapi/forcetrigger?t=bxdqsm&amp;q=XNSE%3aACRYSIL&amp;form=skydnc</v>
    <v>Learn more on Bing</v>
  </rv>
  <rv s="1">
    <v>en-IN</v>
    <v>bxdqsm</v>
    <v>268435456</v>
    <v>1</v>
    <v>Powered by Refinitiv</v>
    <v>0</v>
    <v>CARYSIL LIMITED (XNSE:CARYSIL)</v>
    <v>2</v>
    <v>3</v>
    <v>Finance</v>
    <v>4</v>
    <v>1222.9000000000001</v>
    <v>732.1</v>
    <v>1.2376</v>
    <v>15.1</v>
    <v>1.2975E-2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1199.9000000000001</v>
    <v>Homebuilding &amp; Construction Supplies</v>
    <v>Stock</v>
    <v>46185.472037037034</v>
    <v>0</v>
    <v>1164.5</v>
    <v>22596230000</v>
    <v>CARYSIL LIMITED</v>
    <v>CARYSIL LIMITED</v>
    <v>1195</v>
    <v>33.71</v>
    <v>1163.8</v>
    <v>1178.9000000000001</v>
    <v>28442610</v>
    <v>CARYSIL</v>
    <v>CARYSIL LIMITED (XNSE:CARYSIL)</v>
    <v>121248</v>
    <v>227950</v>
    <v>1987</v>
  </rv>
  <rv s="2">
    <v>1</v>
  </rv>
  <rv s="0">
    <v>https://www.bing.com/financeapi/forcetrigger?t=ahi2yc&amp;q=XNSE%3aHBLPOWER&amp;form=skydnc</v>
    <v>Learn more on Bing</v>
  </rv>
  <rv s="1">
    <v>en-IN</v>
    <v>ahi2yc</v>
    <v>268435456</v>
    <v>1</v>
    <v>Powered by Refinitiv</v>
    <v>0</v>
    <v>HBL Engineering Limited (XNSE:HBLENGINE)</v>
    <v>2</v>
    <v>3</v>
    <v>Finance</v>
    <v>4</v>
    <v>1122</v>
    <v>551.6</v>
    <v>0.94330000000000003</v>
    <v>28.3</v>
    <v>3.7935999999999998E-2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775.95</v>
    <v>Machinery, Equipment &amp; Components</v>
    <v>Stock</v>
    <v>46185.472060185188</v>
    <v>3</v>
    <v>755</v>
    <v>234520800000</v>
    <v>HBL Engineering Limited</v>
    <v>HBL Engineering Limited</v>
    <v>757</v>
    <v>25.38</v>
    <v>746</v>
    <v>774.3</v>
    <v>277194900</v>
    <v>HBLENGINE</v>
    <v>HBL Engineering Limited (XNSE:HBLENGINE)</v>
    <v>887179</v>
    <v>1056670</v>
    <v>1986</v>
  </rv>
  <rv s="2">
    <v>4</v>
  </rv>
  <rv s="0">
    <v>https://www.bing.com/financeapi/forcetrigger?t=ahj6c7&amp;q=XNSE%3aNEULANDLAB&amp;form=skydnc</v>
    <v>Learn more on Bing</v>
  </rv>
  <rv s="1">
    <v>en-IN</v>
    <v>ahj6c7</v>
    <v>268435456</v>
    <v>1</v>
    <v>Powered by Refinitiv</v>
    <v>0</v>
    <v>NEULAND LABORATORIES LTD. (XNSE:NEULANDLAB)</v>
    <v>2</v>
    <v>3</v>
    <v>Finance</v>
    <v>4</v>
    <v>19747</v>
    <v>11500</v>
    <v>0.97399999999999998</v>
    <v>225</v>
    <v>1.3255999999999999E-2</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17400</v>
    <v>Pharmaceuticals</v>
    <v>Stock</v>
    <v>46185.472037037034</v>
    <v>6</v>
    <v>16981</v>
    <v>183801000000</v>
    <v>NEULAND LABORATORIES LTD.</v>
    <v>NEULAND LABORATORIES LTD.</v>
    <v>17122</v>
    <v>59.83</v>
    <v>16973</v>
    <v>17198</v>
    <v>12829890</v>
    <v>NEULANDLAB</v>
    <v>NEULAND LABORATORIES LTD. (XNSE:NEULANDLAB)</v>
    <v>35209</v>
    <v>39340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0.86519999999999997</v>
    <v>1075</v>
    <v>3.2330999999999999E-2</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34435</v>
    <v>Machinery, Equipment &amp; Components</v>
    <v>Stock</v>
    <v>46185.472071759257</v>
    <v>9</v>
    <v>33740</v>
    <v>762454800000</v>
    <v>HITACHI ENERGY INDIA LIMITED</v>
    <v>HITACHI ENERGY INDIA LIMITED</v>
    <v>33900</v>
    <v>150.02000000000001</v>
    <v>33250</v>
    <v>34325</v>
    <v>44572360</v>
    <v>POWERINDIA</v>
    <v>HITACHI ENERGY INDIA LIMITED (XNSE:POWERINDIA)</v>
    <v>117224</v>
    <v>206420</v>
    <v>2019</v>
  </rv>
  <rv s="2">
    <v>10</v>
  </rv>
  <rv s="3">
    <v>en-IN</v>
    <v>c776w7</v>
    <v>268435456</v>
    <v>1</v>
    <v>Powered by Refinitiv</v>
    <v>5</v>
    <v>SYRMA SGS TECHNOLOGY LIMITED (XNSE:SYRMA)</v>
    <v>6</v>
    <v>3</v>
    <v>Finance</v>
    <v>4</v>
    <v>1290.9000000000001</v>
    <v>500</v>
    <v>0.69089999999999996</v>
    <v>31.1</v>
    <v>2.5169999999999998E-2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1279.9000000000001</v>
    <v>Electronic Equipment &amp; Parts</v>
    <v>Stock</v>
    <v>46185.472060185188</v>
    <v>1250</v>
    <v>135875200000</v>
    <v>SYRMA SGS TECHNOLOGY LIMITED</v>
    <v>SYRMA SGS TECHNOLOGY LIMITED</v>
    <v>1264</v>
    <v>74.775700000000001</v>
    <v>1235.5999999999999</v>
    <v>1266.7</v>
    <v>192625000</v>
    <v>SYRMA</v>
    <v>SYRMA SGS TECHNOLOGY LIMITED (XNSE:SYRMA)</v>
    <v>844050</v>
    <v>1354650</v>
    <v>2004</v>
  </rv>
  <rv s="2">
    <v>12</v>
  </rv>
  <rv s="0">
    <v>https://www.bing.com/financeapi/forcetrigger?t=ahkjqh&amp;q=XNSE%3aVBL&amp;form=skydnc</v>
    <v>Learn more on Bing</v>
  </rv>
  <rv s="1">
    <v>en-IN</v>
    <v>ahkjqh</v>
    <v>268435456</v>
    <v>1</v>
    <v>Powered by Refinitiv</v>
    <v>0</v>
    <v>VARUN BEVERAGES LIMITED (XNSE:VBL)</v>
    <v>2</v>
    <v>3</v>
    <v>Finance</v>
    <v>4</v>
    <v>544.4</v>
    <v>381</v>
    <v>1.1878</v>
    <v>2.2999999999999998</v>
    <v>4.424E-3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530</v>
    <v>Beverages</v>
    <v>Stock</v>
    <v>46185.472071759257</v>
    <v>14</v>
    <v>517.5</v>
    <v>1695053000000</v>
    <v>VARUN BEVERAGES LIMITED</v>
    <v>VARUN BEVERAGES LIMITED</v>
    <v>526</v>
    <v>55.519500000000001</v>
    <v>519.9</v>
    <v>522.20000000000005</v>
    <v>3382296000</v>
    <v>VBL</v>
    <v>VARUN BEVERAGES LIMITED (XNSE:VBL)</v>
    <v>2335737</v>
    <v>5203630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0.99760000000000004</v>
    <v>-51</v>
    <v>-5.0429999999999997E-3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10250</v>
    <v>20</v>
    <v>Automobiles &amp; Auto Parts</v>
    <v>Stock</v>
    <v>46185.472071759257</v>
    <v>21</v>
    <v>9922</v>
    <v>2669985000000</v>
    <v>BAJAJ AUTO LIMITED.</v>
    <v>BAJAJ AUTO LIMITED.</v>
    <v>10226</v>
    <v>26.33</v>
    <v>10114</v>
    <v>10063</v>
    <v>279271700</v>
    <v>BAJAJ-AUTO</v>
    <v>BAJAJ AUTO LIMITED. (XNSE:BAJAJ-AUTO)</v>
    <v>386190</v>
    <v>328420</v>
    <v>2007</v>
  </rv>
  <rv s="2">
    <v>22</v>
  </rv>
  <rv s="0">
    <v>https://www.bing.com/financeapi/forcetrigger?t=ahkdp2&amp;q=XNSE%3aTIPSINDLTD&amp;form=skydnc</v>
    <v>Learn more on Bing</v>
  </rv>
  <rv s="1">
    <v>en-IN</v>
    <v>ahkdp2</v>
    <v>268435456</v>
    <v>1</v>
    <v>Powered by Refinitiv</v>
    <v>0</v>
    <v>TIPS MUSIC LIMITED (XNSE:TIPSMUSIC)</v>
    <v>2</v>
    <v>3</v>
    <v>Finance</v>
    <v>4</v>
    <v>726.75</v>
    <v>481.15</v>
    <v>1.1439999999999999</v>
    <v>4.75</v>
    <v>7.4739999999999997E-3</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649.45000000000005</v>
    <v>Media &amp; Publishing</v>
    <v>Stock</v>
    <v>46185.472048611111</v>
    <v>24</v>
    <v>630.29999999999995</v>
    <v>65015150000</v>
    <v>TIPS MUSIC LIMITED</v>
    <v>TIPS MUSIC LIMITED</v>
    <v>642.1</v>
    <v>37.47</v>
    <v>635.5</v>
    <v>640.25</v>
    <v>127831600</v>
    <v>TIPSMUSIC</v>
    <v>TIPS MUSIC LIMITED (XNSE:TIPSMUSIC)</v>
    <v>203868</v>
    <v>315340</v>
    <v>1996</v>
  </rv>
  <rv s="2">
    <v>25</v>
  </rv>
  <rv s="0">
    <v>https://www.bing.com/financeapi/forcetrigger?t=ahgsvh&amp;q=XNSE%3aAIAENG&amp;form=skydnc</v>
    <v>Learn more on Bing</v>
  </rv>
  <rv s="1">
    <v>en-IN</v>
    <v>ahgsvh</v>
    <v>268435456</v>
    <v>1</v>
    <v>Powered by Refinitiv</v>
    <v>0</v>
    <v>AIA ENGINEERING LIMITED (XNSE:AIAENG)</v>
    <v>2</v>
    <v>3</v>
    <v>Finance</v>
    <v>4</v>
    <v>4775</v>
    <v>3001.1</v>
    <v>0.64859999999999995</v>
    <v>15.2</v>
    <v>3.5199999999999997E-3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4387.5</v>
    <v>Machinery, Equipment &amp; Components</v>
    <v>Stock</v>
    <v>46185.472060185188</v>
    <v>27</v>
    <v>4290.5</v>
    <v>364425400000</v>
    <v>AIA ENGINEERING LIMITED</v>
    <v>AIA ENGINEERING LIMITED</v>
    <v>4357</v>
    <v>31.73</v>
    <v>4318.5</v>
    <v>4333.7</v>
    <v>93320370</v>
    <v>AIAENG</v>
    <v>AIA ENGINEERING LIMITED (XNSE:AIAENG)</v>
    <v>49722</v>
    <v>119870</v>
    <v>1991</v>
  </rv>
  <rv s="2">
    <v>28</v>
  </rv>
  <rv s="0">
    <v>https://www.bing.com/financeapi/forcetrigger?t=c3ecoc&amp;q=XNSE%3aAMIORG&amp;form=skydnc</v>
    <v>Learn more on Bing</v>
  </rv>
  <rv s="1">
    <v>en-IN</v>
    <v>c3ecoc</v>
    <v>268435456</v>
    <v>1</v>
    <v>Powered by Refinitiv</v>
    <v>0</v>
    <v>ACUTAAS CHEMICALS LIMITED (XNSE:ACUTAAS)</v>
    <v>2</v>
    <v>3</v>
    <v>Finance</v>
    <v>4</v>
    <v>3444.3</v>
    <v>1059</v>
    <v>0.36509999999999998</v>
    <v>17.2</v>
    <v>5.4990000000000004E-3</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3190.5</v>
    <v>Chemicals</v>
    <v>Stock</v>
    <v>46185.472048611111</v>
    <v>30</v>
    <v>3070.2</v>
    <v>137813700000</v>
    <v>ACUTAAS CHEMICALS LIMITED</v>
    <v>ACUTAAS CHEMICALS LIMITED</v>
    <v>3154</v>
    <v>71.89</v>
    <v>3128.1</v>
    <v>3145.3</v>
    <v>81871120</v>
    <v>ACUTAAS</v>
    <v>ACUTAAS CHEMICALS LIMITED (XNSE:ACUTAAS)</v>
    <v>380507</v>
    <v>477440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1.1948000000000001</v>
    <v>62</v>
    <v>6.6909999999999999E-3</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9409</v>
    <v>Software &amp; IT Services</v>
    <v>Stock</v>
    <v>46185.472060185188</v>
    <v>33</v>
    <v>9226.5</v>
    <v>669682100000</v>
    <v>ORACLE FINANCIAL SERVICES SOFTWARE LIMITED</v>
    <v>ORACLE FINANCIAL SERVICES SOFTWARE LIMITED</v>
    <v>9350</v>
    <v>30.52</v>
    <v>9265.5</v>
    <v>9327.5</v>
    <v>87064330</v>
    <v>OFSS</v>
    <v>ORACLE FINANCIAL SERVICES SOFTWARE LIMITED (XNSE:OFSS)</v>
    <v>149536</v>
    <v>269670</v>
    <v>1989</v>
  </rv>
  <rv s="2">
    <v>34</v>
  </rv>
  <rv s="0">
    <v>https://www.bing.com/financeapi/forcetrigger?t=ahgwbh&amp;q=XNSE%3aAPARINDS&amp;form=skydnc</v>
    <v>Learn more on Bing</v>
  </rv>
  <rv s="1">
    <v>en-IN</v>
    <v>ahgwbh</v>
    <v>268435456</v>
    <v>1</v>
    <v>Powered by Refinitiv</v>
    <v>0</v>
    <v>APAR INDUSTRIES LIMITED (XNSE:APARINDS)</v>
    <v>2</v>
    <v>3</v>
    <v>Finance</v>
    <v>4</v>
    <v>15340</v>
    <v>6801</v>
    <v>0.79179999999999995</v>
    <v>670</v>
    <v>4.6044999999999996E-2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15340</v>
    <v>Machinery, Equipment &amp; Components</v>
    <v>Stock</v>
    <v>46185.472060185188</v>
    <v>36</v>
    <v>14733</v>
    <v>307347900000</v>
    <v>APAR INDUSTRIES LIMITED</v>
    <v>APAR INDUSTRIES LIMITED</v>
    <v>14823</v>
    <v>59.83</v>
    <v>14551</v>
    <v>15221</v>
    <v>40174240</v>
    <v>APARINDS</v>
    <v>APAR INDUSTRIES LIMITED (XNSE:APARINDS)</v>
    <v>271159</v>
    <v>181770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0.88949999999999996</v>
    <v>125</v>
    <v>1.4217E-2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9017</v>
    <v>Machinery, Equipment &amp; Components</v>
    <v>Stock</v>
    <v>46185.472037037034</v>
    <v>39</v>
    <v>8755.5</v>
    <v>183365900000</v>
    <v>CRAFTSMAN AUTOMATION LIMITED</v>
    <v>CRAFTSMAN AUTOMATION LIMITED</v>
    <v>8909</v>
    <v>55.398499999999999</v>
    <v>8792.5</v>
    <v>8917.5</v>
    <v>23855580</v>
    <v>CRAFTSMAN</v>
    <v>CRAFTSMAN AUTOMATION LIMITED (XNSE:CRAFTSMAN)</v>
    <v>62301</v>
    <v>79060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0.86960000000000004</v>
    <v>8</v>
    <v>5.0200000000000002E-3</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1634</v>
    <v>Healthcare Providers &amp; Services</v>
    <v>Stock</v>
    <v>46185.472060185188</v>
    <v>42</v>
    <v>1585.9</v>
    <v>237651800000</v>
    <v>DR. LAL PATHLABS LIMITED</v>
    <v>DR. LAL PATHLABS LIMITED</v>
    <v>1607.6</v>
    <v>52.8598</v>
    <v>1593.5</v>
    <v>1601.5</v>
    <v>167060500</v>
    <v>LALPATHLAB</v>
    <v>DR. LAL PATHLABS LIMITED (XNSE:LALPATHLAB)</v>
    <v>192359</v>
    <v>224700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1.1872</v>
    <v>2.14</v>
    <v>5.7790999999999995E-2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39.71</v>
    <v>Chemicals</v>
    <v>Stock</v>
    <v>46185.472048611111</v>
    <v>45</v>
    <v>38.01</v>
    <v>26807660000</v>
    <v>FINEOTEX CHEMICAL LIMITED</v>
    <v>FINEOTEX CHEMICAL LIMITED</v>
    <v>38.18</v>
    <v>40.116799999999998</v>
    <v>37.03</v>
    <v>39.17</v>
    <v>1164501000</v>
    <v>FCL</v>
    <v>FINEOTEX CHEMICAL LIMITED (XNSE:FCL)</v>
    <v>10040741</v>
    <v>22447640</v>
    <v>2004</v>
  </rv>
  <rv s="2">
    <v>46</v>
  </rv>
  <rv s="0">
    <v>https://www.bing.com/financeapi/forcetrigger?t=ahil6h&amp;q=XNSE%3aKEI&amp;form=skydnc</v>
    <v>Learn more on Bing</v>
  </rv>
  <rv s="1">
    <v>en-IN</v>
    <v>ahil6h</v>
    <v>268435456</v>
    <v>1</v>
    <v>Powered by Refinitiv</v>
    <v>0</v>
    <v>KEI INDUSTRIES LIMITED (XNSE:KEI)</v>
    <v>2</v>
    <v>3</v>
    <v>Finance</v>
    <v>4</v>
    <v>5476.3</v>
    <v>3525.3</v>
    <v>1.3335999999999999</v>
    <v>188</v>
    <v>3.6282999999999996E-2</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5383</v>
    <v>Machinery, Equipment &amp; Components</v>
    <v>Stock</v>
    <v>46185.472060185188</v>
    <v>48</v>
    <v>5211.5</v>
    <v>412115000000</v>
    <v>KEI INDUSTRIES LIMITED</v>
    <v>KEI INDUSTRIES LIMITED</v>
    <v>5234</v>
    <v>53.92</v>
    <v>5181.5</v>
    <v>5369.5</v>
    <v>95600590</v>
    <v>KEI</v>
    <v>KEI INDUSTRIES LIMITED (XNSE:KEI)</v>
    <v>225909</v>
    <v>220840</v>
    <v>1992</v>
  </rv>
  <rv s="2">
    <v>49</v>
  </rv>
  <rv s="0">
    <v>https://www.bing.com/financeapi/forcetrigger?t=ahiooc&amp;q=XNSE%3aKRISHANA&amp;form=skydnc</v>
    <v>Learn more on Bing</v>
  </rv>
  <rv s="1">
    <v>en-IN</v>
    <v>ahiooc</v>
    <v>268435456</v>
    <v>1</v>
    <v>Powered by Refinitiv</v>
    <v>0</v>
    <v>KRISHANA PHOSCHEM LIMITED (XNSE:KRISHANA)</v>
    <v>2</v>
    <v>3</v>
    <v>Finance</v>
    <v>4</v>
    <v>718.5</v>
    <v>411.95</v>
    <v>1.0201</v>
    <v>6.95</v>
    <v>1.0425E-2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682.5</v>
    <v>Chemicals</v>
    <v>Stock</v>
    <v>46185.472060185188</v>
    <v>51</v>
    <v>666.8</v>
    <v>30851970000</v>
    <v>KRISHANA PHOSCHEM LIMITED</v>
    <v>KRISHANA PHOSCHEM LIMITED</v>
    <v>678.25</v>
    <v>23.118200000000002</v>
    <v>666.65</v>
    <v>673.6</v>
    <v>61827600</v>
    <v>KRISHANA</v>
    <v>KRISHANA PHOSCHEM LIMITED (XNSE:KRISHANA)</v>
    <v>142282</v>
    <v>189140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0.80840000000000001</v>
    <v>35.4</v>
    <v>1.9047999999999999E-2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1908</v>
    <v>Healthcare Providers &amp; Services</v>
    <v>Stock</v>
    <v>46185.472060185188</v>
    <v>54</v>
    <v>1869.5</v>
    <v>383391600000</v>
    <v>NARAYANA HRUDAYALAYA LIMITED</v>
    <v>NARAYANA HRUDAYALAYA LIMITED</v>
    <v>1869.5</v>
    <v>47.176699999999997</v>
    <v>1858.5</v>
    <v>1893.9</v>
    <v>203099800</v>
    <v>NH</v>
    <v>NARAYANA HRUDAYALAYA LIMITED (XNSE:NH)</v>
    <v>264296</v>
    <v>329170</v>
    <v>2000</v>
  </rv>
  <rv s="2">
    <v>55</v>
  </rv>
  <rv s="0">
    <v>https://www.bing.com/financeapi/forcetrigger?t=bprqu2&amp;q=XNSE%3aPOLYCAB&amp;form=skydnc</v>
    <v>Learn more on Bing</v>
  </rv>
  <rv s="1">
    <v>en-IN</v>
    <v>bprqu2</v>
    <v>268435456</v>
    <v>1</v>
    <v>Powered by Refinitiv</v>
    <v>0</v>
    <v>POLYCAB INDIA LIMITED (XNSE:POLYCAB)</v>
    <v>2</v>
    <v>3</v>
    <v>Finance</v>
    <v>4</v>
    <v>9833</v>
    <v>5760</v>
    <v>1.161</v>
    <v>182</v>
    <v>1.942E-2</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5630</v>
    <v>National Stock Exchange of India</v>
    <v>XNSE</v>
    <v>XNSE</v>
    <v>#29, The Ruby, 21st Floor,, Senapati Bapat Marg, Tulsi Pipe Road,, Dadar (West),, MUMBAI, MAHARASHTRA, 400028 IN</v>
    <v>9576</v>
    <v>Machinery, Equipment &amp; Components</v>
    <v>Stock</v>
    <v>46185.472048611111</v>
    <v>57</v>
    <v>9383</v>
    <v>1137384000000</v>
    <v>POLYCAB INDIA LIMITED</v>
    <v>POLYCAB INDIA LIMITED</v>
    <v>9480</v>
    <v>52.79</v>
    <v>9372</v>
    <v>9554</v>
    <v>150580600</v>
    <v>POLYCAB</v>
    <v>POLYCAB INDIA LIMITED (XNSE:POLYCAB)</v>
    <v>162406</v>
    <v>232480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1.0049999999999999</v>
    <v>39.299999999999997</v>
    <v>4.4766E-2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923.9</v>
    <v>Construction &amp; Engineering</v>
    <v>Stock</v>
    <v>46185.472083333334</v>
    <v>60</v>
    <v>889</v>
    <v>32807550000</v>
    <v>PSP PROJECTS LIMITED</v>
    <v>PSP PROJECTS LIMITED</v>
    <v>893</v>
    <v>62.89</v>
    <v>877.9</v>
    <v>917.2</v>
    <v>39641790</v>
    <v>PSPPROJECT</v>
    <v>PSP PROJECTS LIMITED (XNSE:PSPPROJECT)</v>
    <v>161387</v>
    <v>239570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0.75700000000000001</v>
    <v>25.1</v>
    <v>1.8733E-2</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Road No - 2, Banjara Hills, Near L V Prasad Eye Hospital,, Next to Hotel Park Hyatt,, HYDERABAD, TELANGANA, 500034 IN</v>
    <v>1368</v>
    <v>Healthcare Providers &amp; Services</v>
    <v>Stock</v>
    <v>46185.472048611111</v>
    <v>63</v>
    <v>1340</v>
    <v>127629400000</v>
    <v>RAINBOW CHILDREN'S MEDICARE LIMITED</v>
    <v>RAINBOW CHILDREN'S MEDICARE LIMITED</v>
    <v>1340</v>
    <v>49.799300000000002</v>
    <v>1339.9</v>
    <v>1365</v>
    <v>101440100</v>
    <v>RAINBOW</v>
    <v>RAINBOW CHILDREN'S MEDICARE LIMITED (XNSE:RAINBOW)</v>
    <v>72355</v>
    <v>87330</v>
    <v>1998</v>
  </rv>
  <rv s="2">
    <v>64</v>
  </rv>
  <rv s="0">
    <v>https://www.bing.com/financeapi/forcetrigger?t=c2jsmw&amp;q=XNSE%3aSBCL&amp;form=skydnc</v>
    <v>Learn more on Bing</v>
  </rv>
  <rv s="1">
    <v>en-IN</v>
    <v>c2jsmw</v>
    <v>268435456</v>
    <v>1</v>
    <v>Powered by Refinitiv</v>
    <v>0</v>
    <v>SHIVALIK BIMETAL CONTROLS LTD (XNSE:SBCL)</v>
    <v>2</v>
    <v>3</v>
    <v>Finance</v>
    <v>4</v>
    <v>789</v>
    <v>368.6</v>
    <v>1.6851</v>
    <v>27.15</v>
    <v>4.0621999999999998E-2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706.9</v>
    <v>Machinery, Equipment &amp; Components</v>
    <v>Stock</v>
    <v>46185.472048611111</v>
    <v>66</v>
    <v>674.65</v>
    <v>24971420000</v>
    <v>SHIVALIK BIMETAL CONTROLS LTD</v>
    <v>SHIVALIK BIMETAL CONTROLS LTD</v>
    <v>674.65</v>
    <v>41.771799999999999</v>
    <v>668.35</v>
    <v>695.5</v>
    <v>57604200</v>
    <v>SBCL</v>
    <v>SHIVALIK BIMETAL CONTROLS LTD (XNSE:SBCL)</v>
    <v>499764</v>
    <v>407020</v>
    <v>1984</v>
  </rv>
  <rv s="2">
    <v>67</v>
  </rv>
  <rv s="0">
    <v>https://www.bing.com/financeapi/forcetrigger?t=ahkdjc&amp;q=XNSE%3aTIMKEN&amp;form=skydnc</v>
    <v>Learn more on Bing</v>
  </rv>
  <rv s="1">
    <v>en-IN</v>
    <v>ahkdjc</v>
    <v>268435456</v>
    <v>1</v>
    <v>Powered by Refinitiv</v>
    <v>0</v>
    <v>TIMKEN INDIA LIMITED (XNSE:TIMKEN)</v>
    <v>2</v>
    <v>3</v>
    <v>Finance</v>
    <v>4</v>
    <v>3775</v>
    <v>2800.5</v>
    <v>0.91849999999999998</v>
    <v>18.7</v>
    <v>5.3249999999999999E-3</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3598.9</v>
    <v>Machinery, Equipment &amp; Components</v>
    <v>Stock</v>
    <v>46185.472060185188</v>
    <v>69</v>
    <v>3510</v>
    <v>228665000000</v>
    <v>TIMKEN INDIA LIMITED</v>
    <v>TIMKEN INDIA LIMITED</v>
    <v>3524.8</v>
    <v>64.97</v>
    <v>3511.5</v>
    <v>3530.2</v>
    <v>75218730</v>
    <v>TIMKEN</v>
    <v>TIMKEN INDIA LIMITED (XNSE:TIMKEN)</v>
    <v>41016</v>
    <v>32240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0.92020000000000002</v>
    <v>2</v>
    <v>1.167E-4</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17579</v>
    <v>Chemicals</v>
    <v>Stock</v>
    <v>46185.472060185188</v>
    <v>72</v>
    <v>17060</v>
    <v>1148862000000</v>
    <v>SOLAR INDUSTRIES INDIA LIMITED</v>
    <v>SOLAR INDUSTRIES INDIA LIMITED</v>
    <v>17404</v>
    <v>92.474900000000005</v>
    <v>17141</v>
    <v>17143</v>
    <v>90490050</v>
    <v>SOLARINDS</v>
    <v>SOLAR INDUSTRIES INDIA LIMITED (XNSE:SOLARINDS)</v>
    <v>109049</v>
    <v>177120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411.95</v>
    <v>0.69540000000000002</v>
    <v>10.55</v>
    <v>2.0283000000000002E-2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533.29999999999995</v>
    <v>Healthcare Providers &amp; Services</v>
    <v>Stock</v>
    <v>46185.472048611111</v>
    <v>75</v>
    <v>520.1</v>
    <v>98814160000</v>
    <v>METROPOLIS HEALTHCARE LIMITED</v>
    <v>METROPOLIS HEALTHCARE LIMITED</v>
    <v>524.95000000000005</v>
    <v>56.69</v>
    <v>520.15</v>
    <v>530.70000000000005</v>
    <v>207332000</v>
    <v>METROPOLIS</v>
    <v>METROPOLIS HEALTHCARE LIMITED (XNSE:METROPOLIS)</v>
    <v>66268</v>
    <v>117570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4348.2</v>
    <v>0.8427</v>
    <v>146</v>
    <v>2.0400000000000001E-2</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7330</v>
    <v>Chemicals</v>
    <v>Stock</v>
    <v>46185.472060185188</v>
    <v>78</v>
    <v>7166</v>
    <v>306836900000</v>
    <v>NAVIN FLUORINE INTERNATIONAL LIMITED</v>
    <v>NAVIN FLUORINE INTERNATIONAL LIMITED</v>
    <v>7203</v>
    <v>56.021799999999999</v>
    <v>7157</v>
    <v>7303</v>
    <v>51291160</v>
    <v>NAVINFLUOR</v>
    <v>NAVIN FLUORINE INTERNATIONAL LIMITED (XNSE:NAVINFLUOR)</v>
    <v>136617</v>
    <v>125780</v>
    <v>1998</v>
  </rv>
  <rv s="2">
    <v>79</v>
  </rv>
  <rv s="0">
    <v>https://www.bing.com/financeapi/forcetrigger?t=c6qgur&amp;q=XNSE%3aNGLFINE&amp;form=skydnc</v>
    <v>Learn more on Bing</v>
  </rv>
  <rv s="1">
    <v>en-IN</v>
    <v>c6qgur</v>
    <v>268435456</v>
    <v>1</v>
    <v>Powered by Refinitiv</v>
    <v>0</v>
    <v>NGL FINE-CHEM LIMITED (XNSE:NGLFINE)</v>
    <v>2</v>
    <v>3</v>
    <v>Finance</v>
    <v>4</v>
    <v>3144</v>
    <v>980</v>
    <v>1.0119</v>
    <v>332.3</v>
    <v>0.12232699999999999</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3144</v>
    <v>Pharmaceuticals</v>
    <v>Stock</v>
    <v>46185.472060185188</v>
    <v>81</v>
    <v>2765.4</v>
    <v>8873496000</v>
    <v>NGL FINE-CHEM LIMITED</v>
    <v>NGL FINE-CHEM LIMITED</v>
    <v>2765.4</v>
    <v>34.93</v>
    <v>2716.5</v>
    <v>3048.8</v>
    <v>6178020</v>
    <v>NGLFINE</v>
    <v>NGL FINE-CHEM LIMITED (XNSE:NGLFINE)</v>
    <v>102235</v>
    <v>27410</v>
    <v>1981</v>
  </rv>
  <rv s="2">
    <v>82</v>
  </rv>
  <rv s="0">
    <v>https://www.bing.com/financeapi/forcetrigger?t=ahhboc&amp;q=XNSE%3aCAPLIPOINT&amp;form=skydnc</v>
    <v>Learn more on Bing</v>
  </rv>
  <rv s="1">
    <v>en-IN</v>
    <v>ahhboc</v>
    <v>268435456</v>
    <v>1</v>
    <v>Powered by Refinitiv</v>
    <v>0</v>
    <v>CAPLIN POINT LABORATORIES LIMITED (XNSE:CAPLIPOINT)</v>
    <v>2</v>
    <v>3</v>
    <v>Finance</v>
    <v>4</v>
    <v>2425</v>
    <v>1500.3</v>
    <v>0.74760000000000004</v>
    <v>76.8</v>
    <v>3.2947000000000004E-2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2425</v>
    <v>Pharmaceuticals</v>
    <v>Stock</v>
    <v>46185.472037037034</v>
    <v>84</v>
    <v>2344</v>
    <v>137740800000</v>
    <v>CAPLIN POINT LABORATORIES LIMITED</v>
    <v>CAPLIN POINT LABORATORIES LIMITED</v>
    <v>2350</v>
    <v>28.542000000000002</v>
    <v>2331</v>
    <v>2407.8000000000002</v>
    <v>76011700</v>
    <v>CAPLIPOINT</v>
    <v>CAPLIN POINT LABORATORIES LIMITED (XNSE:CAPLIPOINT)</v>
    <v>226664</v>
    <v>296780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1.4443999999999999</v>
    <v>30.5</v>
    <v>4.7604E-2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672.8</v>
    <v>Machinery, Equipment &amp; Components</v>
    <v>Stock</v>
    <v>46185.472094907411</v>
    <v>87</v>
    <v>644.95000000000005</v>
    <v>163173200000</v>
    <v>TRIVENI TURBINE LIMITED</v>
    <v>TRIVENI TURBINE LIMITED</v>
    <v>644.95000000000005</v>
    <v>58.25</v>
    <v>640.70000000000005</v>
    <v>671.2</v>
    <v>317895000</v>
    <v>TRITURBINE</v>
    <v>TRIVENI TURBINE LIMITED (XNSE:TRITURBINE)</v>
    <v>671285</v>
    <v>1386480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1.3391</v>
    <v>66.8</v>
    <v>5.9325000000000003E-2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1199.8</v>
    <v>Machinery, Equipment &amp; Components</v>
    <v>Stock</v>
    <v>46185.472094907411</v>
    <v>90</v>
    <v>1133.3</v>
    <v>107366500000</v>
    <v>TD POWER SYSTEMS LIMITED</v>
    <v>TD POWER SYSTEMS LIMITED</v>
    <v>1158</v>
    <v>78.011799999999994</v>
    <v>1126</v>
    <v>1192.8</v>
    <v>156228400</v>
    <v>TDPOWERSYS</v>
    <v>TD POWER SYSTEMS LIMITED (XNSE:TDPOWERSYS)</v>
    <v>1038875</v>
    <v>1397930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1.2152000000000001</v>
    <v>207.5</v>
    <v>4.3823000000000001E-2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4969</v>
    <v>Machinery, Equipment &amp; Components</v>
    <v>Stock</v>
    <v>46185.472071759257</v>
    <v>93</v>
    <v>4780</v>
    <v>699391100000</v>
    <v>GE VERNOVA T&amp;D INDIA LIMITED</v>
    <v>GE VERNOVA T&amp;D INDIA LIMITED</v>
    <v>4820.5</v>
    <v>102.6054</v>
    <v>4735</v>
    <v>4942.5</v>
    <v>256046500</v>
    <v>GVT&amp;D</v>
    <v>GE VERNOVA T&amp;D INDIA LIMITED (XNSE:GVT&amp;D)</v>
    <v>460629</v>
    <v>926200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0.84960000000000002</v>
    <v>-1.85</v>
    <v>-6.4539999999999997E-3</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288.89999999999998</v>
    <v>Electrical Utilities &amp; IPPs</v>
    <v>Stock</v>
    <v>46185.472071759257</v>
    <v>96</v>
    <v>282.7</v>
    <v>2406996000000</v>
    <v>POWER GRID CORPORATION OF INDIA LIMITED</v>
    <v>POWER GRID CORPORATION OF INDIA LIMITED</v>
    <v>288.89999999999998</v>
    <v>13.53</v>
    <v>286.64999999999998</v>
    <v>284.8</v>
    <v>9300604000</v>
    <v>POWERGRID</v>
    <v>POWER GRID CORPORATION OF INDIA LIMITED (XNSE:POWERGRID)</v>
    <v>5478294</v>
    <v>18360000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1.2053</v>
    <v>3.3</v>
    <v>8.456E-3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22501</v>
    <v>National Stock Exchange of India</v>
    <v>XNSE</v>
    <v>XNSE</v>
    <v>Bombay House, 24,, Homi Mody Street, MUMBAI, MAHARASHTRA, 400001 IN</v>
    <v>395.8</v>
    <v>Electrical Utilities &amp; IPPs</v>
    <v>Stock</v>
    <v>46185.472037037034</v>
    <v>99</v>
    <v>388</v>
    <v>1177323000000</v>
    <v>THE TATA POWER COMPANY LIMITED</v>
    <v>THE TATA POWER COMPANY LIMITED</v>
    <v>395.8</v>
    <v>33.588200000000001</v>
    <v>390.25</v>
    <v>393.55</v>
    <v>3195340000</v>
    <v>TATAPOWER</v>
    <v>THE TATA POWER COMPANY LIMITED (XNSE:TATAPOWER)</v>
    <v>6317321</v>
    <v>4671500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0.76449999999999996</v>
    <v>195.5</v>
    <v>5.0644999999999996E-2</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4064</v>
    <v>Machinery, Equipment &amp; Components</v>
    <v>Stock</v>
    <v>46185.472037037034</v>
    <v>102</v>
    <v>3865</v>
    <v>592312800000</v>
    <v>SCHAEFFLER INDIA LIMITED</v>
    <v>SCHAEFFLER INDIA LIMITED</v>
    <v>3899.8</v>
    <v>52.201799999999999</v>
    <v>3860.2</v>
    <v>4055.7</v>
    <v>156303700</v>
    <v>SCHAEFFLER</v>
    <v>SCHAEFFLER INDIA LIMITED (XNSE:SCHAEFFLER)</v>
    <v>61087</v>
    <v>78100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0.75109999999999999</v>
    <v>13.5</v>
    <v>7.5239999999999994E-3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1814.5</v>
    <v>Pharmaceuticals</v>
    <v>Stock</v>
    <v>46185.472037037034</v>
    <v>105</v>
    <v>1792.5</v>
    <v>4147730000000</v>
    <v>SUN PHARMACEUTICAL INDUSTRIES LIMITED</v>
    <v>SUN PHARMACEUTICAL INDUSTRIES LIMITED</v>
    <v>1807</v>
    <v>39.130000000000003</v>
    <v>1794.2</v>
    <v>1807.7</v>
    <v>2399335000</v>
    <v>SUNPHARMA</v>
    <v>SUN PHARMACEUTICAL INDUSTRIES LIMITED (XNSE:SUNPHARMA)</v>
    <v>1243362</v>
    <v>2582410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0.43</v>
    <v>53.5</v>
    <v>3.0327000000000003E-2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1822.6</v>
    <v>Metals &amp; Mining</v>
    <v>Stock</v>
    <v>46185.472094907411</v>
    <v>108</v>
    <v>1758.3</v>
    <v>528952200000</v>
    <v>APL APOLLO TUBES LIMITED</v>
    <v>APL APOLLO TUBES LIMITED</v>
    <v>1780.1</v>
    <v>41.938200000000002</v>
    <v>1764.1</v>
    <v>1817.6</v>
    <v>277658400</v>
    <v>APLAPOLLO</v>
    <v>APL APOLLO TUBES LIMITED (XNSE:APLAPOLLO)</v>
    <v>737749</v>
    <v>771570</v>
    <v>1986</v>
  </rv>
  <rv s="2">
    <v>109</v>
  </rv>
  <rv s="0">
    <v>https://www.bing.com/financeapi/forcetrigger?t=ahhpbh&amp;q=XNSE%3aESABINDIA&amp;form=skydnc</v>
    <v>Learn more on Bing</v>
  </rv>
  <rv s="1">
    <v>en-IN</v>
    <v>ahhpbh</v>
    <v>268435456</v>
    <v>1</v>
    <v>Powered by Refinitiv</v>
    <v>0</v>
    <v>ESAB INDIA LIMITED (XNSE:ESABINDIA)</v>
    <v>2</v>
    <v>3</v>
    <v>Finance</v>
    <v>4</v>
    <v>7319.5</v>
    <v>4710</v>
    <v>0.68830000000000002</v>
    <v>116</v>
    <v>2.0670000000000001E-2</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5749</v>
    <v>Machinery, Equipment &amp; Components</v>
    <v>Stock</v>
    <v>46185.472037037034</v>
    <v>111</v>
    <v>5650</v>
    <v>86631910000</v>
    <v>ESAB INDIA LIMITED</v>
    <v>ESAB INDIA LIMITED</v>
    <v>5650</v>
    <v>41.79</v>
    <v>5612</v>
    <v>5728</v>
    <v>15393020</v>
    <v>ESABINDIA</v>
    <v>ESAB INDIA LIMITED (XNSE:ESABINDIA)</v>
    <v>2384</v>
    <v>6440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1794</v>
    <v>1.2925</v>
    <v>61.8</v>
    <v>2.7505000000000002E-2</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2316.1</v>
    <v>Automobiles &amp; Auto Parts</v>
    <v>Stock</v>
    <v>46185.472060185188</v>
    <v>114</v>
    <v>2259</v>
    <v>59369260000</v>
    <v>FIEM INDUSTRIES LIMITED</v>
    <v>FIEM INDUSTRIES LIMITED</v>
    <v>2259</v>
    <v>23.774100000000001</v>
    <v>2246.9</v>
    <v>2308.6999999999998</v>
    <v>26319660</v>
    <v>FIEMIND</v>
    <v>FIEM INDUSTRIES LIMITED (XNSE:FIEMIND)</v>
    <v>46566</v>
    <v>72170</v>
    <v>1989</v>
  </rv>
  <rv s="2">
    <v>115</v>
  </rv>
  <rv s="0">
    <v>https://www.bing.com/financeapi/forcetrigger?t=ahjyhw&amp;q=XNSE%3aSIEMENS&amp;form=skydnc</v>
    <v>Learn more on Bing</v>
  </rv>
  <rv s="1">
    <v>en-IN</v>
    <v>ahjyhw</v>
    <v>268435456</v>
    <v>1</v>
    <v>Powered by Refinitiv</v>
    <v>0</v>
    <v>SIEMENS LIMITED (XNSE:SIEMENS)</v>
    <v>2</v>
    <v>3</v>
    <v>Finance</v>
    <v>4</v>
    <v>3937.3</v>
    <v>2826</v>
    <v>1.3371999999999999</v>
    <v>47.6</v>
    <v>1.3514999999999999E-2</v>
    <v>INR</v>
    <v>Siemens Limited is a technology company focused on industry, infrastructure and mobility. Its segments include Digital Industries, Smart Infrastructure, Mobility and Others.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such as metro systems, trams and light rail, commuter trains, as well as trains and passenger coaches for intercity and long-distance services, such as high-speed rail.</v>
    <v>9848</v>
    <v>National Stock Exchange of India</v>
    <v>XNSE</v>
    <v>XNSE</v>
    <v>Birla Aurora, Level 21, Plot No. 1080, Dr. Annie Besant Road, Worli, Kharghar Node, MUMBAI, MAHARASHTRA, 400030 IN</v>
    <v>3599.7</v>
    <v>Machinery, Equipment &amp; Components</v>
    <v>Stock</v>
    <v>46185.472037037034</v>
    <v>117</v>
    <v>3518</v>
    <v>1049736000000</v>
    <v>SIEMENS LIMITED</v>
    <v>SIEMENS LIMITED</v>
    <v>3590</v>
    <v>83.519099999999995</v>
    <v>3522</v>
    <v>3569.6</v>
    <v>356120500</v>
    <v>SIEMENS</v>
    <v>SIEMENS LIMITED (XNSE:SIEMENS)</v>
    <v>223315</v>
    <v>595210</v>
    <v>1957</v>
  </rv>
  <rv s="2">
    <v>118</v>
  </rv>
  <rv s="0">
    <v>https://www.bing.com/financeapi/forcetrigger?t=b14qjc&amp;q=XNSE%3aSIRCA&amp;form=skydnc</v>
    <v>Learn more on Bing</v>
  </rv>
  <rv s="1">
    <v>en-IN</v>
    <v>b14qjc</v>
    <v>268435456</v>
    <v>1</v>
    <v>Powered by Refinitiv</v>
    <v>0</v>
    <v>SIRCA PAINTS INDIA LIMITED (XNSE:SIRCA)</v>
    <v>2</v>
    <v>3</v>
    <v>Finance</v>
    <v>4</v>
    <v>539</v>
    <v>364</v>
    <v>0.71389999999999998</v>
    <v>2.75</v>
    <v>6.62E-3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420.9</v>
    <v>Chemicals</v>
    <v>Stock</v>
    <v>46185.472060185188</v>
    <v>120</v>
    <v>416.8</v>
    <v>27203750000</v>
    <v>SIRCA PAINTS INDIA LIMITED</v>
    <v>SIRCA PAINTS INDIA LIMITED</v>
    <v>419.2</v>
    <v>35.8005</v>
    <v>415.4</v>
    <v>418.15</v>
    <v>56792800</v>
    <v>SIRCA</v>
    <v>SIRCA PAINTS INDIA LIMITED (XNSE:SIRCA)</v>
    <v>261947</v>
    <v>230940</v>
    <v>2006</v>
  </rv>
  <rv s="2">
    <v>121</v>
  </rv>
  <rv s="0">
    <v>https://www.bing.com/financeapi/forcetrigger?t=ahkdxm&amp;q=XNSE%3aTITAN&amp;form=skydnc</v>
    <v>Learn more on Bing</v>
  </rv>
  <rv s="1">
    <v>en-IN</v>
    <v>ahkdxm</v>
    <v>268435456</v>
    <v>1</v>
    <v>Powered by Refinitiv</v>
    <v>0</v>
    <v>TITAN COMPANY LIMITED (XNSE:TITAN)</v>
    <v>2</v>
    <v>3</v>
    <v>Finance</v>
    <v>4</v>
    <v>4605</v>
    <v>3303.1</v>
    <v>1.2096</v>
    <v>158.80000000000001</v>
    <v>3.9451E-2</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4200</v>
    <v>Textiles &amp; Apparel</v>
    <v>Stock</v>
    <v>46185.472037037034</v>
    <v>123</v>
    <v>4052.7</v>
    <v>3760362000000</v>
    <v>TITAN COMPANY LIMITED</v>
    <v>TITAN COMPANY LIMITED</v>
    <v>4067.8</v>
    <v>70.38</v>
    <v>4025.2</v>
    <v>4184</v>
    <v>887045300</v>
    <v>TITAN</v>
    <v>TITAN COMPANY LIMITED (XNSE:TITAN)</v>
    <v>1122271</v>
    <v>1041810</v>
    <v>1984</v>
  </rv>
  <rv s="2">
    <v>124</v>
  </rv>
  <rv s="0">
    <v>https://www.bing.com/financeapi/forcetrigger?t=c4o2nm&amp;q=XNSE%3aDATAPATTNS&amp;form=skydnc</v>
    <v>Learn more on Bing</v>
  </rv>
  <rv s="1">
    <v>en-IN</v>
    <v>c4o2nm</v>
    <v>268435456</v>
    <v>1</v>
    <v>Powered by Refinitiv</v>
    <v>0</v>
    <v>DATA PATTERNS (INDIA) LIMITED (XNSE:DATAPATTNS)</v>
    <v>2</v>
    <v>3</v>
    <v>Finance</v>
    <v>4</v>
    <v>4722</v>
    <v>2131</v>
    <v>1.7912999999999999</v>
    <v>340.7</v>
    <v>8.1022999999999998E-2</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4569</v>
    <v>Aerospace &amp; Defense</v>
    <v>Stock</v>
    <v>46185.472048611111</v>
    <v>126</v>
    <v>4253.5</v>
    <v>145082500000</v>
    <v>DATA PATTERNS (INDIA) LIMITED</v>
    <v>DATA PATTERNS (INDIA) LIMITED</v>
    <v>4290</v>
    <v>93.783799999999999</v>
    <v>4205</v>
    <v>4545.7</v>
    <v>55983970</v>
    <v>DATAPATTNS</v>
    <v>DATA PATTERNS (INDIA) LIMITED (XNSE:DATAPATTNS)</v>
    <v>2698671</v>
    <v>1624180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1.2791999999999999</v>
    <v>9.1</v>
    <v>4.7247999999999998E-2</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208.5</v>
    <v>Banking Services</v>
    <v>Stock</v>
    <v>46185.472048611111</v>
    <v>129</v>
    <v>196.5</v>
    <v>205709700000</v>
    <v>CITY UNION BANK LIMITED</v>
    <v>CITY UNION BANK LIMITED</v>
    <v>197.4</v>
    <v>15.041</v>
    <v>192.6</v>
    <v>201.7</v>
    <v>990787200</v>
    <v>CUB</v>
    <v>CITY UNION BANK LIMITED (XNSE:CUB)</v>
    <v>6852764</v>
    <v>2169930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0.74470000000000003</v>
    <v>-17.5</v>
    <v>-2.6290000000000003E-3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6738.5</v>
    <v>Pharmaceuticals</v>
    <v>Stock</v>
    <v>46185.472060185188</v>
    <v>132</v>
    <v>6622</v>
    <v>1708689000000</v>
    <v>DIVI'S LABORATORIES LIMITED</v>
    <v>DIVI'S LABORATORIES LIMITED</v>
    <v>6719.5</v>
    <v>68.739999999999995</v>
    <v>6655.5</v>
    <v>6638</v>
    <v>265468600</v>
    <v>DIVISLAB</v>
    <v>DIVI'S LABORATORIES LIMITED (XNSE:DIVISLAB)</v>
    <v>162810</v>
    <v>376600</v>
    <v>1990</v>
  </rv>
  <rv s="2">
    <v>133</v>
  </rv>
  <rv s="0">
    <v>https://www.bing.com/financeapi/forcetrigger?t=ahhktc&amp;q=XNSE%3aDMART&amp;form=skydnc</v>
    <v>Learn more on Bing</v>
  </rv>
  <rv s="1">
    <v>en-IN</v>
    <v>ahhktc</v>
    <v>268435456</v>
    <v>1</v>
    <v>Powered by Refinitiv</v>
    <v>0</v>
    <v>AVENUE SUPERMARTS LIMITED (XNSE:DMART)</v>
    <v>2</v>
    <v>3</v>
    <v>Finance</v>
    <v>4</v>
    <v>4949.5</v>
    <v>3529</v>
    <v>1.1155999999999999</v>
    <v>6.6</v>
    <v>1.655E-3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4045.7</v>
    <v>Food &amp; Drug Retailing</v>
    <v>Stock</v>
    <v>46185.472083333334</v>
    <v>135</v>
    <v>3955</v>
    <v>2490291000000</v>
    <v>AVENUE SUPERMARTS LIMITED</v>
    <v>AVENUE SUPERMARTS LIMITED</v>
    <v>4045</v>
    <v>87.483000000000004</v>
    <v>3987</v>
    <v>3993.6</v>
    <v>652230200</v>
    <v>DMART</v>
    <v>AVENUE SUPERMARTS LIMITED (XNSE:DMART)</v>
    <v>363313</v>
    <v>615130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0.80879999999999996</v>
    <v>132.5</v>
    <v>1.8454999999999999E-2</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7354.5</v>
    <v>Automobiles &amp; Auto Parts</v>
    <v>Stock</v>
    <v>46185.472037037034</v>
    <v>138</v>
    <v>7212</v>
    <v>2030912000000</v>
    <v>EICHER MOTORS LIMITED</v>
    <v>EICHER MOTORS LIMITED</v>
    <v>7282</v>
    <v>35.700000000000003</v>
    <v>7179.5</v>
    <v>7312</v>
    <v>274497500</v>
    <v>EICHERMOT</v>
    <v>EICHER MOTORS LIMITED (XNSE:EICHERMOT)</v>
    <v>300260</v>
    <v>563940</v>
    <v>1982</v>
  </rv>
  <rv s="2">
    <v>139</v>
  </rv>
  <rv s="0">
    <v>https://www.bing.com/financeapi/forcetrigger?t=ahiyvh&amp;q=XNSE%3aMINDAIND&amp;form=skydnc</v>
    <v>Learn more on Bing</v>
  </rv>
  <rv s="1">
    <v>en-IN</v>
    <v>ahiyvh</v>
    <v>268435456</v>
    <v>1</v>
    <v>Powered by Refinitiv</v>
    <v>0</v>
    <v>UNO MINDA LIMITED (XNSE:UNOMINDA)</v>
    <v>2</v>
    <v>3</v>
    <v>Finance</v>
    <v>4</v>
    <v>1382</v>
    <v>994</v>
    <v>1.0036</v>
    <v>-9.6</v>
    <v>-8.9949999999999995E-3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1086</v>
    <v>Automobiles &amp; Auto Parts</v>
    <v>Stock</v>
    <v>46185.472060185188</v>
    <v>141</v>
    <v>1031.3</v>
    <v>692923600000</v>
    <v>UNO MINDA LIMITED</v>
    <v>UNO MINDA LIMITED</v>
    <v>1077.9000000000001</v>
    <v>51.34</v>
    <v>1067.3</v>
    <v>1057.7</v>
    <v>577467200</v>
    <v>UNOMINDA</v>
    <v>UNO MINDA LIMITED (XNSE:UNOMINDA)</v>
    <v>1395251</v>
    <v>819730</v>
    <v>1992</v>
  </rv>
  <rv s="2">
    <v>142</v>
  </rv>
  <rv s="0">
    <v>https://www.bing.com/financeapi/forcetrigger?t=ahj5zr&amp;q=XNSE%3aNESCO&amp;form=skydnc</v>
    <v>Learn more on Bing</v>
  </rv>
  <rv s="1">
    <v>en-IN</v>
    <v>ahj5zr</v>
    <v>268435456</v>
    <v>1</v>
    <v>Powered by Refinitiv</v>
    <v>0</v>
    <v>NESCO LIMITED (XNSE:NESCO)</v>
    <v>2</v>
    <v>3</v>
    <v>Finance</v>
    <v>4</v>
    <v>1638.9</v>
    <v>943.45</v>
    <v>0.92049999999999998</v>
    <v>0.7</v>
    <v>6.4269999999999996E-4</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1107.5</v>
    <v>Real Estate Operations</v>
    <v>Stock</v>
    <v>46185.472071759257</v>
    <v>144</v>
    <v>1080.2</v>
    <v>81951980000</v>
    <v>NESCO LIMITED</v>
    <v>NESCO LIMITED</v>
    <v>1094.8</v>
    <v>18.59</v>
    <v>1089.0999999999999</v>
    <v>1089.8</v>
    <v>70459960</v>
    <v>NESCO</v>
    <v>NESCO LIMITED (XNSE:NESCO)</v>
    <v>46387</v>
    <v>57890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1.046</v>
    <v>-46.8</v>
    <v>-3.2899999999999999E-2</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8356</v>
    <v>National Stock Exchange of India</v>
    <v>XNSE</v>
    <v>XNSE</v>
    <v>NESTLE HOUSE JACARANDA MARG, 'M' BLOCK, DLF CITY, PHASE II, NATIONAL HIGHWAY 8, HARYANA, 122002 IN</v>
    <v>1434.9</v>
    <v>Food &amp; Tobacco</v>
    <v>Stock</v>
    <v>46185.472071759257</v>
    <v>147</v>
    <v>1370.6</v>
    <v>2542868000000</v>
    <v>NESTLE INDIA LIMITED</v>
    <v>NESTLE INDIA LIMITED</v>
    <v>1431.1</v>
    <v>75.762299999999996</v>
    <v>1422.5</v>
    <v>1375.7</v>
    <v>1928314000</v>
    <v>NESTLEIND</v>
    <v>NESTLE INDIA LIMITED (XNSE:NESTLEIND)</v>
    <v>2380729</v>
    <v>2686250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1.0027999999999999</v>
    <v>201.1</v>
    <v>6.2007000000000007E-2</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3455</v>
    <v>Chemicals</v>
    <v>Stock</v>
    <v>46185.472048611111</v>
    <v>150</v>
    <v>3261.1</v>
    <v>105609900000</v>
    <v>PRIVI SPECIALITY CHEMICALS LIMITED</v>
    <v>PRIVI SPECIALITY CHEMICALS LIMITED</v>
    <v>3273</v>
    <v>38.68</v>
    <v>3243.2</v>
    <v>3444.3</v>
    <v>39062710</v>
    <v>PRIVISCL</v>
    <v>PRIVI SPECIALITY CHEMICALS LIMITED (XNSE:PRIVISCL)</v>
    <v>294649</v>
    <v>94010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1.1833</v>
    <v>-7.9</v>
    <v>-7.1260000000000004E-3</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1120.8</v>
    <v>Food &amp; Tobacco</v>
    <v>Stock</v>
    <v>46185.472037037034</v>
    <v>153</v>
    <v>1096.7</v>
    <v>1176972000000</v>
    <v>TATA CONSUMER PRODUCTS LIMITED</v>
    <v>TATA CONSUMER PRODUCTS LIMITED</v>
    <v>1120.8</v>
    <v>71.17</v>
    <v>1108.5999999999999</v>
    <v>1100.7</v>
    <v>989645300</v>
    <v>TATACONSUM</v>
    <v>TATA CONSUMER PRODUCTS LIMITED (XNSE:TATACONSUM)</v>
    <v>1455068</v>
    <v>2382870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0.94650000000000001</v>
    <v>17.100000000000001</v>
    <v>7.7739999999999997E-3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2308.8000000000002</v>
    <v>Pharmaceuticals</v>
    <v>Stock</v>
    <v>46185.472071759257</v>
    <v>156</v>
    <v>2188.1999999999998</v>
    <v>38297740000</v>
    <v>RPG LIFE SCIENCES LIMITED</v>
    <v>RPG LIFE SCIENCES LIMITED</v>
    <v>2204.9</v>
    <v>31.59</v>
    <v>2199.6</v>
    <v>2216.6999999999998</v>
    <v>16539010</v>
    <v>RPGLIFE</v>
    <v>RPG LIFE SCIENCES LIMITED (XNSE:RPGLIFE)</v>
    <v>20682</v>
    <v>19260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3140.1</v>
    <v>0.52739999999999998</v>
    <v>-1</v>
    <v>-2.187E-4</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4666</v>
    <v>Pharmaceuticals</v>
    <v>Stock</v>
    <v>46185.472037037034</v>
    <v>159</v>
    <v>4557.8999999999996</v>
    <v>1333577000000</v>
    <v>TORRENT PHARMACEUTICALS LTD</v>
    <v>TORRENT PHARMACEUTICALS LTD</v>
    <v>4619.5</v>
    <v>71.515799999999999</v>
    <v>4572.2</v>
    <v>4571.2</v>
    <v>338445400</v>
    <v>TORNTPHARM</v>
    <v>TORRENT PHARMACEUTICALS LTD (XNSE:TORNTPHARM)</v>
    <v>426095</v>
    <v>755850</v>
    <v>1972</v>
  </rv>
  <rv s="2">
    <v>160</v>
  </rv>
  <rv s="0">
    <v>https://www.bing.com/financeapi/forcetrigger?t=ahhcc7&amp;q=XNSE%3aCCL&amp;form=skydnc</v>
    <v>Learn more on Bing</v>
  </rv>
  <rv s="1">
    <v>en-IN</v>
    <v>ahhcc7</v>
    <v>268435456</v>
    <v>1</v>
    <v>Powered by Refinitiv</v>
    <v>0</v>
    <v>CCL PRODUCTS (INDIA) LIMITED (XNSE:CCL)</v>
    <v>2</v>
    <v>3</v>
    <v>Finance</v>
    <v>4</v>
    <v>1236.2</v>
    <v>779.5</v>
    <v>0.38629999999999998</v>
    <v>-3.8</v>
    <v>-3.3539999999999998E-3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1153.5</v>
    <v>Food &amp; Tobacco</v>
    <v>Stock</v>
    <v>46185.472060185188</v>
    <v>162</v>
    <v>1120</v>
    <v>128820100000</v>
    <v>CCL PRODUCTS (INDIA) LIMITED</v>
    <v>CCL PRODUCTS (INDIA) LIMITED</v>
    <v>1149</v>
    <v>38.741</v>
    <v>1133.0999999999999</v>
    <v>1129.3</v>
    <v>133198400</v>
    <v>CCL</v>
    <v>CCL PRODUCTS (INDIA) LIMITED (XNSE:CCL)</v>
    <v>409213</v>
    <v>1150370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1.0337000000000001</v>
    <v>30.2</v>
    <v>1.9684999999999998E-2</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1585.6</v>
    <v>Food &amp; Tobacco</v>
    <v>Stock</v>
    <v>46185.472048611111</v>
    <v>165</v>
    <v>1547.5</v>
    <v>78982450000</v>
    <v>MANORAMA INDUSTRIES LIMITED</v>
    <v>MANORAMA INDUSTRIES LIMITED</v>
    <v>1551.1</v>
    <v>42.62</v>
    <v>1534.2</v>
    <v>1564.4</v>
    <v>59708530</v>
    <v>MANORAMA</v>
    <v>MANORAMA INDUSTRIES LIMITED (XNSE:MANORAMA)</v>
    <v>135943</v>
    <v>163180</v>
    <v>2005</v>
  </rv>
  <rv s="2">
    <v>166</v>
  </rv>
  <rv s="0">
    <v>https://www.bing.com/financeapi/forcetrigger?t=ahh5pr&amp;q=XNSE%3aBEL&amp;form=skydnc</v>
    <v>Learn more on Bing</v>
  </rv>
  <rv s="1">
    <v>en-IN</v>
    <v>ahh5pr</v>
    <v>268435456</v>
    <v>1</v>
    <v>Powered by Refinitiv</v>
    <v>0</v>
    <v>BHARAT ELECTRONICS LIMITED (XNSE:BEL)</v>
    <v>2</v>
    <v>3</v>
    <v>Finance</v>
    <v>4</v>
    <v>473.45</v>
    <v>361.2</v>
    <v>1.1384000000000001</v>
    <v>4.2</v>
    <v>1.044E-2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409</v>
    <v>Aerospace &amp; Defense</v>
    <v>Stock</v>
    <v>46185.472037037034</v>
    <v>168</v>
    <v>403.3</v>
    <v>3024056000000</v>
    <v>BHARAT ELECTRONICS LIMITED</v>
    <v>BHARAT ELECTRONICS LIMITED</v>
    <v>407.35</v>
    <v>48.53</v>
    <v>402.3</v>
    <v>406.5</v>
    <v>7309779000</v>
    <v>BEL</v>
    <v>BHARAT ELECTRONICS LIMITED (XNSE:BEL)</v>
    <v>8086130</v>
    <v>12022930</v>
    <v>1954</v>
  </rv>
  <rv s="2">
    <v>169</v>
  </rv>
  <rv s="0">
    <v>https://www.bing.com/financeapi/forcetrigger?t=ahizgh&amp;q=XNSE%3aM%26M&amp;form=skydnc</v>
    <v>Learn more on Bing</v>
  </rv>
  <rv s="1">
    <v>en-IN</v>
    <v>ahizgh</v>
    <v>268435456</v>
    <v>1</v>
    <v>Powered by Refinitiv</v>
    <v>0</v>
    <v>MAHINDRA AND MAHINDRA LIMITED (XNSE:M&amp;M)</v>
    <v>2</v>
    <v>3</v>
    <v>Finance</v>
    <v>4</v>
    <v>3839.9</v>
    <v>2896</v>
    <v>0.9617</v>
    <v>42</v>
    <v>1.3996E-2</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3050</v>
    <v>Automobiles &amp; Auto Parts</v>
    <v>Stock</v>
    <v>46185.472037037034</v>
    <v>171</v>
    <v>2982.6</v>
    <v>4393970000000</v>
    <v>MAHINDRA AND MAHINDRA LIMITED</v>
    <v>MAHINDRA AND MAHINDRA LIMITED</v>
    <v>3025.1</v>
    <v>19.600000000000001</v>
    <v>3000.9</v>
    <v>3042.9</v>
    <v>1200762000</v>
    <v>M&amp;M</v>
    <v>MAHINDRA AND MAHINDRA LIMITED (XNSE:M&amp;M)</v>
    <v>3557496</v>
    <v>3919840</v>
    <v>1945</v>
  </rv>
  <rv s="2">
    <v>172</v>
  </rv>
  <rv s="0">
    <v>https://www.bing.com/financeapi/forcetrigger?t=ahhr77&amp;q=XNSE%3aFEDERALBNK&amp;form=skydnc</v>
    <v>Learn more on Bing</v>
  </rv>
  <rv s="1">
    <v>en-IN</v>
    <v>ahhr77</v>
    <v>268435456</v>
    <v>1</v>
    <v>Powered by Refinitiv</v>
    <v>0</v>
    <v>THE FEDERAL BANK LTD (XNSE:FEDERALBNK)</v>
    <v>2</v>
    <v>3</v>
    <v>Finance</v>
    <v>4</v>
    <v>318.35000000000002</v>
    <v>185.11</v>
    <v>0.87409999999999999</v>
    <v>5.95</v>
    <v>1.9209E-2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318.35000000000002</v>
    <v>Banking Services</v>
    <v>Stock</v>
    <v>46185.472037037034</v>
    <v>174</v>
    <v>311.14999999999998</v>
    <v>613857500000</v>
    <v>THE FEDERAL BANK LTD</v>
    <v>THE FEDERAL BANK LTD</v>
    <v>315</v>
    <v>17.866399999999999</v>
    <v>309.75</v>
    <v>315.7</v>
    <v>2466503000</v>
    <v>FEDERALBNK</v>
    <v>THE FEDERAL BANK LTD (XNSE:FEDERALBNK)</v>
    <v>9052110</v>
    <v>33032880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0.55110000000000003</v>
    <v>25.4</v>
    <v>7.7259999999999994E-3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3366.8</v>
    <v>Automobiles &amp; Auto Parts</v>
    <v>Stock</v>
    <v>46185.472048611111</v>
    <v>177</v>
    <v>3265.6</v>
    <v>1783511000000</v>
    <v>TVS MOTOR COMPANY LIMITED</v>
    <v>TVS MOTOR COMPANY LIMITED</v>
    <v>3320</v>
    <v>52.145400000000002</v>
    <v>3287.4</v>
    <v>3312.8</v>
    <v>2375309000</v>
    <v>TVSMOTOR</v>
    <v>TVS MOTOR COMPANY LIMITED (XNSE:TVSMOTOR)</v>
    <v>2401100</v>
    <v>1050100</v>
    <v>1992</v>
  </rv>
  <rv s="2">
    <v>178</v>
  </rv>
  <rv s="0">
    <v>https://www.bing.com/financeapi/forcetrigger?t=ahjiw7&amp;q=XNSE%3aPRICOLLTD&amp;form=skydnc</v>
    <v>Learn more on Bing</v>
  </rv>
  <rv s="1">
    <v>en-IN</v>
    <v>ahjiw7</v>
    <v>268435456</v>
    <v>1</v>
    <v>Powered by Refinitiv</v>
    <v>0</v>
    <v>PRICOL LIMITED (XNSE:PRICOLLTD)</v>
    <v>2</v>
    <v>3</v>
    <v>Finance</v>
    <v>4</v>
    <v>694.2</v>
    <v>415.1</v>
    <v>0.79669999999999996</v>
    <v>0</v>
    <v>0</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556.9</v>
    <v>Automobiles &amp; Auto Parts</v>
    <v>Stock</v>
    <v>46185.472071759257</v>
    <v>180</v>
    <v>545.04999999999995</v>
    <v>76206410000</v>
    <v>PRICOL LIMITED</v>
    <v>PRICOL LIMITED</v>
    <v>554.85</v>
    <v>26.775300000000001</v>
    <v>550.5</v>
    <v>550.5</v>
    <v>121881500</v>
    <v>PRICOLLTD</v>
    <v>PRICOL LIMITED (XNSE:PRICOLLTD)</v>
    <v>682263</v>
    <v>375770</v>
    <v>2011</v>
  </rv>
  <rv s="2">
    <v>181</v>
  </rv>
  <rv s="0">
    <v>https://www.bing.com/financeapi/forcetrigger?t=ahisfr&amp;q=XNSE%3aLUPIN&amp;form=skydnc</v>
    <v>Learn more on Bing</v>
  </rv>
  <rv s="1">
    <v>en-IN</v>
    <v>ahisfr</v>
    <v>268435456</v>
    <v>1</v>
    <v>Powered by Refinitiv</v>
    <v>0</v>
    <v>LUPIN LIMITED (XNSE:LUPIN)</v>
    <v>2</v>
    <v>3</v>
    <v>Finance</v>
    <v>4</v>
    <v>2494</v>
    <v>1836.8</v>
    <v>0.51429999999999998</v>
    <v>20</v>
    <v>8.7980000000000003E-3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2297.1</v>
    <v>Pharmaceuticals</v>
    <v>Stock</v>
    <v>46185.472060185188</v>
    <v>183</v>
    <v>2269.5</v>
    <v>995364600000</v>
    <v>LUPIN LIMITED</v>
    <v>LUPIN LIMITED</v>
    <v>2282</v>
    <v>18.495799999999999</v>
    <v>2273.3000000000002</v>
    <v>2293.3000000000002</v>
    <v>457232500</v>
    <v>LUPIN</v>
    <v>LUPIN LIMITED (XNSE:LUPIN)</v>
    <v>613853</v>
    <v>1045210</v>
    <v>1983</v>
  </rv>
  <rv s="2">
    <v>184</v>
  </rv>
  <rv s="0">
    <v>https://www.bing.com/financeapi/forcetrigger?t=ahhffr&amp;q=XNSE%3aCONTROLPR&amp;form=skydnc</v>
    <v>Learn more on Bing</v>
  </rv>
  <rv s="1">
    <v>en-IN</v>
    <v>ahhffr</v>
    <v>268435456</v>
    <v>1</v>
    <v>Powered by Refinitiv</v>
    <v>0</v>
    <v>CONTROL PRINT LIMITED (XNSE:CONTROLPR)</v>
    <v>2</v>
    <v>3</v>
    <v>Finance</v>
    <v>4</v>
    <v>917.5</v>
    <v>517</v>
    <v>0.72740000000000005</v>
    <v>9.5</v>
    <v>1.5944E-2</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608.75</v>
    <v>Machinery, Equipment &amp; Components</v>
    <v>Stock</v>
    <v>46185.472071759257</v>
    <v>186</v>
    <v>597.65</v>
    <v>10676140000</v>
    <v>CONTROL PRINT LIMITED</v>
    <v>CONTROL PRINT LIMITED</v>
    <v>599</v>
    <v>22.206499999999998</v>
    <v>595.85</v>
    <v>605.35</v>
    <v>15994210</v>
    <v>CONTROLPR</v>
    <v>CONTROL PRINT LIMITED (XNSE:CONTROLPR)</v>
    <v>29196</v>
    <v>17200</v>
    <v>1991</v>
  </rv>
  <rv s="2">
    <v>187</v>
  </rv>
  <rv s="0">
    <v>https://www.bing.com/financeapi/forcetrigger?t=ays3k2&amp;q=XNSE%3aNEWGEN&amp;form=skydnc</v>
    <v>Learn more on Bing</v>
  </rv>
  <rv s="1">
    <v>en-IN</v>
    <v>ays3k2</v>
    <v>268435456</v>
    <v>1</v>
    <v>Powered by Refinitiv</v>
    <v>0</v>
    <v>NEWGEN SOFTWARE TECHNOLOGIES LIMITED (XNSE:NEWGEN)</v>
    <v>2</v>
    <v>3</v>
    <v>Finance</v>
    <v>4</v>
    <v>1267.8</v>
    <v>401.05</v>
    <v>1.3918999999999999</v>
    <v>9</v>
    <v>1.9769000000000002E-2</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468.85</v>
    <v>Software &amp; IT Services</v>
    <v>Stock</v>
    <v>46185.472037037034</v>
    <v>189</v>
    <v>458.15</v>
    <v>110114900000</v>
    <v>NEWGEN SOFTWARE TECHNOLOGIES LIMITED</v>
    <v>NEWGEN SOFTWARE TECHNOLOGIES LIMITED</v>
    <v>460.95</v>
    <v>21.28</v>
    <v>455.25</v>
    <v>464.25</v>
    <v>141351700</v>
    <v>NEWGEN</v>
    <v>NEWGEN SOFTWARE TECHNOLOGIES LIMITED (XNSE:NEWGEN)</v>
    <v>695859</v>
    <v>6211760</v>
    <v>1992</v>
  </rv>
  <rv s="2">
    <v>190</v>
  </rv>
  <rv s="0">
    <v>https://www.bing.com/financeapi/forcetrigger?t=ahkeu2&amp;q=XNSE%3aTRENT&amp;form=skydnc</v>
    <v>Learn more on Bing</v>
  </rv>
  <rv s="1">
    <v>en-IN</v>
    <v>ahkeu2</v>
    <v>268435456</v>
    <v>1</v>
    <v>Powered by Refinitiv</v>
    <v>0</v>
    <v>TRENT LIMITED (XNSE:TRENT)</v>
    <v>2</v>
    <v>3</v>
    <v>Finance</v>
    <v>4</v>
    <v>4174</v>
    <v>2183.67</v>
    <v>1.6</v>
    <v>44.4</v>
    <v>1.6378E-2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2783.9</v>
    <v>Diversified Retail</v>
    <v>Stock</v>
    <v>46185.472037037034</v>
    <v>192</v>
    <v>2720.4</v>
    <v>1394186000000</v>
    <v>TRENT LIMITED</v>
    <v>TRENT LIMITED</v>
    <v>2758</v>
    <v>92.626599999999996</v>
    <v>2710.9</v>
    <v>2755.3</v>
    <v>533232300</v>
    <v>TRENT</v>
    <v>TRENT LIMITED (XNSE:TRENT)</v>
    <v>583327</v>
    <v>1263700</v>
    <v>1952</v>
  </rv>
  <rv s="2">
    <v>193</v>
  </rv>
  <rv s="0">
    <v>https://www.bing.com/financeapi/forcetrigger?t=ahgqzr&amp;q=XNSE%3aACE&amp;form=skydnc</v>
    <v>Learn more on Bing</v>
  </rv>
  <rv s="1">
    <v>en-IN</v>
    <v>ahgqzr</v>
    <v>268435456</v>
    <v>1</v>
    <v>Powered by Refinitiv</v>
    <v>0</v>
    <v>ACTION CONSTRUCTION EQUIPMENT LIMITED (XNSE:ACE)</v>
    <v>2</v>
    <v>3</v>
    <v>Finance</v>
    <v>4</v>
    <v>1271.5</v>
    <v>745.1</v>
    <v>0.97030000000000005</v>
    <v>39.1</v>
    <v>4.3837000000000001E-2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934.85</v>
    <v>Machinery, Equipment &amp; Components</v>
    <v>Stock</v>
    <v>46185.472060185188</v>
    <v>195</v>
    <v>896.45</v>
    <v>105501000000</v>
    <v>ACTION CONSTRUCTION EQUIPMENT LIMITED</v>
    <v>ACTION CONSTRUCTION EQUIPMENT LIMITED</v>
    <v>904</v>
    <v>26.692900000000002</v>
    <v>891.95</v>
    <v>931.05</v>
    <v>119020100</v>
    <v>ACE</v>
    <v>ACTION CONSTRUCTION EQUIPMENT LIMITED (XNSE:ACE)</v>
    <v>691582</v>
    <v>305520</v>
    <v>1995</v>
  </rv>
  <rv s="2">
    <v>196</v>
  </rv>
  <rv s="0">
    <v>https://www.bing.com/financeapi/forcetrigger?t=ahjh1h&amp;q=XNSE%3aPOLYMED&amp;form=skydnc</v>
    <v>Learn more on Bing</v>
  </rv>
  <rv s="1">
    <v>en-IN</v>
    <v>ahjh1h</v>
    <v>268435456</v>
    <v>1</v>
    <v>Powered by Refinitiv</v>
    <v>0</v>
    <v>POLY MEDICURE LIMITED (XNSE:POLYMED)</v>
    <v>2</v>
    <v>3</v>
    <v>Finance</v>
    <v>4</v>
    <v>2316.6</v>
    <v>1182</v>
    <v>0.73419999999999996</v>
    <v>53.5</v>
    <v>3.6176E-2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1537</v>
    <v>Healthcare Equipment &amp; Supplies</v>
    <v>Stock</v>
    <v>46185.472094907411</v>
    <v>198</v>
    <v>1462.3</v>
    <v>173679500000</v>
    <v>POLY MEDICURE LIMITED</v>
    <v>POLY MEDICURE LIMITED</v>
    <v>1496.9</v>
    <v>48.203800000000001</v>
    <v>1478.9</v>
    <v>1532.4</v>
    <v>101359500</v>
    <v>POLYMED</v>
    <v>POLY MEDICURE LIMITED (XNSE:POLYMED)</v>
    <v>232269</v>
    <v>274520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0.4763</v>
    <v>22.05</v>
    <v>4.9606000000000004E-2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468.5</v>
    <v>Machinery, Equipment &amp; Components</v>
    <v>Stock</v>
    <v>46185.472060185188</v>
    <v>201</v>
    <v>444.4</v>
    <v>25291000000</v>
    <v>JASH ENGINEERING LTD</v>
    <v>JASH ENGINEERING LTD</v>
    <v>445.9</v>
    <v>38.879199999999997</v>
    <v>444.5</v>
    <v>466.55</v>
    <v>62905120</v>
    <v>JASH</v>
    <v>JASH ENGINEERING LTD (XNSE:JASH)</v>
    <v>179663</v>
    <v>177590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1.2212000000000001</v>
    <v>50.4</v>
    <v>2.4845000000000002E-2</v>
    <v>INR</v>
    <v>Colgate-Palmolive (India) Limited is primarily focused on development and manufacture of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New MaxFresh Range, Lemon Fresh, CST New Formula with New Flavor and Colgate Visible White Purple. The Colgate brand includes Colgate Total, Colgate Visible White and Colgate Strong Teeth, Peppermint Mouthwash and others. Its products include White Purple Toothpaste, Kids Premium Toothpaste Baby Natural Fruit.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2082.5</v>
    <v>Personal &amp; Household Products &amp; Services</v>
    <v>Stock</v>
    <v>46185.472071759257</v>
    <v>204</v>
    <v>2042</v>
    <v>572992100000</v>
    <v>COLGATE-PALMOLIVE (INDIA) LIMITED</v>
    <v>COLGATE-PALMOLIVE (INDIA) LIMITED</v>
    <v>2042</v>
    <v>41.63</v>
    <v>2028.6</v>
    <v>2079</v>
    <v>271985600</v>
    <v>COLPAL</v>
    <v>COLGATE-PALMOLIVE (INDIA) LIMITED (XNSE:COLPAL)</v>
    <v>262833</v>
    <v>494770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0.81820000000000004</v>
    <v>47.6</v>
    <v>1.0177E-2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4745.8999999999996</v>
    <v>Chemicals</v>
    <v>Stock</v>
    <v>46185.472037037034</v>
    <v>207</v>
    <v>4659.8</v>
    <v>129072400000</v>
    <v>FINE ORGANIC INDUSTRIES LIMITED</v>
    <v>FINE ORGANIC INDUSTRIES LIMITED</v>
    <v>4680</v>
    <v>34.735300000000002</v>
    <v>4677.1000000000004</v>
    <v>4724.7</v>
    <v>30659980</v>
    <v>FINEORG</v>
    <v>FINE ORGANIC INDUSTRIES LIMITED (XNSE:FINEORG)</v>
    <v>4522</v>
    <v>8600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0.1249</v>
    <v>215</v>
    <v>8.2489999999999994E-3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26435</v>
    <v>Pharmaceuticals</v>
    <v>Stock</v>
    <v>46185.472071759257</v>
    <v>210</v>
    <v>25960</v>
    <v>596892900000</v>
    <v>ABBOTT INDIA LIMITED</v>
    <v>ABBOTT INDIA LIMITED</v>
    <v>26195</v>
    <v>35.69</v>
    <v>26065</v>
    <v>26280</v>
    <v>21249300</v>
    <v>ABBOTINDIA</v>
    <v>ABBOTT INDIA LIMITED (XNSE:ABBOTINDIA)</v>
    <v>9732</v>
    <v>7360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1.4904999999999999</v>
    <v>-0.8</v>
    <v>-3.1390000000000003E-3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262.8</v>
    <v>Software &amp; IT Services</v>
    <v>Stock</v>
    <v>46185.472048611111</v>
    <v>213</v>
    <v>251.4</v>
    <v>97506620000</v>
    <v>SONATA SOFTWARE LIMITED</v>
    <v>SONATA SOFTWARE LIMITED</v>
    <v>256.2</v>
    <v>15.22</v>
    <v>254.85</v>
    <v>254.05</v>
    <v>276794500</v>
    <v>SONATSOFTW</v>
    <v>SONATA SOFTWARE LIMITED (XNSE:SONATSOFTW)</v>
    <v>1049398</v>
    <v>2194830</v>
    <v>1994</v>
  </rv>
  <rv s="2">
    <v>214</v>
  </rv>
  <rv s="0">
    <v>https://www.bing.com/financeapi/forcetrigger?t=bplj52&amp;q=XNSE%3aMSTCLTD&amp;form=skydnc</v>
    <v>Learn more on Bing</v>
  </rv>
  <rv s="1">
    <v>en-IN</v>
    <v>bplj52</v>
    <v>268435456</v>
    <v>1</v>
    <v>Powered by Refinitiv</v>
    <v>0</v>
    <v>MSTC LIMITED (XNSE:MSTCLTD)</v>
    <v>2</v>
    <v>3</v>
    <v>Finance</v>
    <v>4</v>
    <v>576.79999999999995</v>
    <v>362.15</v>
    <v>1.8573999999999999</v>
    <v>7.8</v>
    <v>1.391E-2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574</v>
    <v>Software &amp; IT Services</v>
    <v>Stock</v>
    <v>46185.472048611111</v>
    <v>216</v>
    <v>560</v>
    <v>33482240000</v>
    <v>MSTC LIMITED</v>
    <v>MSTC LIMITED</v>
    <v>568</v>
    <v>18.07</v>
    <v>560.75</v>
    <v>568.54999999999995</v>
    <v>70400000</v>
    <v>MSTCLTD</v>
    <v>MSTC LIMITED (XNSE:MSTCLTD)</v>
    <v>919737</v>
    <v>3452220</v>
    <v>1964</v>
  </rv>
  <rv s="2">
    <v>217</v>
  </rv>
  <rv s="0">
    <v>https://www.bing.com/financeapi/forcetrigger?t=ahh3oc&amp;q=XNSE%3aBALAMINES&amp;form=skydnc</v>
    <v>Learn more on Bing</v>
  </rv>
  <rv s="1">
    <v>en-IN</v>
    <v>ahh3oc</v>
    <v>268435456</v>
    <v>1</v>
    <v>Powered by Refinitiv</v>
    <v>0</v>
    <v>BALAJI AMINES LIMITED (XNSE:BALAMINES)</v>
    <v>2</v>
    <v>3</v>
    <v>Finance</v>
    <v>4</v>
    <v>2262.5</v>
    <v>968.1</v>
    <v>1.7471000000000001</v>
    <v>79</v>
    <v>3.8462000000000003E-2</v>
    <v>INR</v>
    <v>Balaji Amines Limited is an India-based company, which is engaged in the business of manufacturing of Aliphatic Amines. The Company specializes in manufacturing Methyl Amines, Ethyl Amines, Derivatives of Aliphatic Amines and Specialty Chemicals. The Company's segments include Chemicals and Hotel.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N-ETHYL-2-PYRROLIDONE, GAMMA-BUTYROLACTONE, ACETONITRILE (ACN) and others. Its derivative products include Di-Methyl Acetamide (DMAC); Di-Methyl Amine Hydrochloride (DMA HCL); Tri-Methyl Amine Hydrochloride (TMA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2148</v>
    <v>Chemicals</v>
    <v>Stock</v>
    <v>46185.472060185188</v>
    <v>219</v>
    <v>2078.8000000000002</v>
    <v>39717140000</v>
    <v>BALAJI AMINES LIMITED</v>
    <v>BALAJI AMINES LIMITED</v>
    <v>2091.1</v>
    <v>39.590000000000003</v>
    <v>2054</v>
    <v>2133</v>
    <v>32401000</v>
    <v>BALAMINES</v>
    <v>BALAJI AMINES LIMITED (XNSE:BALAMINES)</v>
    <v>212251</v>
    <v>930390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0.75639999999999996</v>
    <v>1</v>
    <v>2.271E-3</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443</v>
    <v>Machinery, Equipment &amp; Components</v>
    <v>Stock</v>
    <v>46185.472037037034</v>
    <v>222</v>
    <v>440</v>
    <v>32174630000</v>
    <v>SHANTHI GEARS LIMITED</v>
    <v>SHANTHI GEARS LIMITED</v>
    <v>440.45</v>
    <v>44.169199999999996</v>
    <v>440.25</v>
    <v>441.25</v>
    <v>76715850</v>
    <v>SHANTIGEAR</v>
    <v>SHANTHI GEARS LIMITED (XNSE:SHANTIGEAR)</v>
    <v>12424</v>
    <v>9390</v>
    <v>1972</v>
  </rv>
  <rv s="2">
    <v>223</v>
  </rv>
  <rv s="0">
    <v>https://www.bing.com/financeapi/forcetrigger?t=ahj75r&amp;q=XNSE%3aCOFORGE&amp;form=skydnc</v>
    <v>Learn more on Bing</v>
  </rv>
  <rv s="1">
    <v>en-IN</v>
    <v>ahj75r</v>
    <v>268435456</v>
    <v>1</v>
    <v>Powered by Refinitiv</v>
    <v>0</v>
    <v>COFORGE LIMITED (XNSE:COFORGE)</v>
    <v>2</v>
    <v>3</v>
    <v>Finance</v>
    <v>4</v>
    <v>1994</v>
    <v>1008.1</v>
    <v>0.89459999999999995</v>
    <v>-26.6</v>
    <v>-1.9085000000000001E-2</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1410.4</v>
    <v>Software &amp; IT Services</v>
    <v>Stock</v>
    <v>46185.472060185188</v>
    <v>225</v>
    <v>1364</v>
    <v>572418900000</v>
    <v>COFORGE LIMITED</v>
    <v>COFORGE LIMITED</v>
    <v>1410</v>
    <v>32.909999999999997</v>
    <v>1393.8</v>
    <v>1367.2</v>
    <v>442671500</v>
    <v>COFORGE</v>
    <v>COFORGE LIMITED (XNSE:COFORGE)</v>
    <v>2484998</v>
    <v>3637240</v>
    <v>1992</v>
  </rv>
  <rv s="2">
    <v>226</v>
  </rv>
  <rv s="0">
    <v>https://www.bing.com/financeapi/forcetrigger?t=ahior7&amp;q=XNSE%3aKSB&amp;form=skydnc</v>
    <v>Learn more on Bing</v>
  </rv>
  <rv s="1">
    <v>en-IN</v>
    <v>ahior7</v>
    <v>268435456</v>
    <v>1</v>
    <v>Powered by Refinitiv</v>
    <v>0</v>
    <v>KSB LIMITED (XNSE:KSB)</v>
    <v>2</v>
    <v>3</v>
    <v>Finance</v>
    <v>4</v>
    <v>1028.3</v>
    <v>666.65</v>
    <v>0.6865</v>
    <v>27.5</v>
    <v>3.4064000000000004E-2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844.8</v>
    <v>Machinery, Equipment &amp; Components</v>
    <v>Stock</v>
    <v>46185.472037037034</v>
    <v>228</v>
    <v>810.4</v>
    <v>127727400000</v>
    <v>KSB LIMITED</v>
    <v>KSB LIMITED</v>
    <v>813.1</v>
    <v>54.36</v>
    <v>807.3</v>
    <v>834.8</v>
    <v>174039200</v>
    <v>KSB</v>
    <v>KSB LIMITED (XNSE:KSB)</v>
    <v>233451</v>
    <v>227950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168.6</v>
    <v>0.8679</v>
    <v>4.1900000000000004</v>
    <v>2.3611E-2</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183.5</v>
    <v>Food &amp; Tobacco</v>
    <v>Stock</v>
    <v>46185.472037037034</v>
    <v>231</v>
    <v>177.14</v>
    <v>70988510000</v>
    <v>MRS.BECTORS FOOD SPECIALITIES LIMITED</v>
    <v>MRS.BECTORS FOOD SPECIALITIES LIMITED</v>
    <v>179</v>
    <v>39.609699999999997</v>
    <v>177.46</v>
    <v>181.65</v>
    <v>306990600</v>
    <v>BECTORFOOD</v>
    <v>MRS.BECTORS FOOD SPECIALITIES LIMITED (XNSE:BECTORFOOD)</v>
    <v>535360</v>
    <v>899090</v>
    <v>1995</v>
  </rv>
  <rv s="2">
    <v>232</v>
  </rv>
  <rv s="0">
    <v>https://www.bing.com/financeapi/forcetrigger?t=ahhedm&amp;q=XNSE%3aCIPLA&amp;form=skydnc</v>
    <v>Learn more on Bing</v>
  </rv>
  <rv s="1">
    <v>en-IN</v>
    <v>ahhedm</v>
    <v>268435456</v>
    <v>1</v>
    <v>Powered by Refinitiv</v>
    <v>0</v>
    <v>CIPLA LIMITED (XNSE:CIPLA)</v>
    <v>2</v>
    <v>3</v>
    <v>Finance</v>
    <v>4</v>
    <v>1673</v>
    <v>1165.7</v>
    <v>0.621</v>
    <v>6.1</v>
    <v>4.4099999999999999E-3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1396.1</v>
    <v>Pharmaceuticals</v>
    <v>Stock</v>
    <v>46185.472037037034</v>
    <v>234</v>
    <v>1382.2</v>
    <v>1169896000000</v>
    <v>CIPLA LIMITED</v>
    <v>CIPLA LIMITED</v>
    <v>1393.9</v>
    <v>28.8</v>
    <v>1383.3</v>
    <v>1389.4</v>
    <v>807845300</v>
    <v>CIPLA</v>
    <v>CIPLA LIMITED (XNSE:CIPLA)</v>
    <v>805612</v>
    <v>2037240</v>
    <v>1935</v>
  </rv>
  <rv s="2">
    <v>235</v>
  </rv>
  <rv s="0">
    <v>https://www.bing.com/financeapi/forcetrigger?t=ahh9sm&amp;q=XNSE%3aBRITANNIA&amp;form=skydnc</v>
    <v>Learn more on Bing</v>
  </rv>
  <rv s="1">
    <v>en-IN</v>
    <v>ahh9sm</v>
    <v>268435456</v>
    <v>1</v>
    <v>Powered by Refinitiv</v>
    <v>0</v>
    <v>BRITANNIA INDUSTRIES LTD (XNSE:BRITANNIA)</v>
    <v>2</v>
    <v>3</v>
    <v>Finance</v>
    <v>4</v>
    <v>6336</v>
    <v>5035</v>
    <v>0.98560000000000003</v>
    <v>52.5</v>
    <v>1.0267999999999999E-2</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5178.5</v>
    <v>Food &amp; Tobacco</v>
    <v>Stock</v>
    <v>46185.472037037034</v>
    <v>237</v>
    <v>5115</v>
    <v>1425459000000</v>
    <v>BRITANNIA INDUSTRIES LTD</v>
    <v>BRITANNIA INDUSTRIES LTD</v>
    <v>5128.5</v>
    <v>49.110999999999997</v>
    <v>5113</v>
    <v>5165.5</v>
    <v>240868300</v>
    <v>BRITANNIA</v>
    <v>BRITANNIA INDUSTRIES LTD (XNSE:BRITANNIA)</v>
    <v>242017</v>
    <v>443600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0.45550000000000002</v>
    <v>57.5</v>
    <v>7.4980000000000003E-3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7930</v>
    <v>Personal &amp; Household Products &amp; Services</v>
    <v>Stock</v>
    <v>46185.472037037034</v>
    <v>240</v>
    <v>7679</v>
    <v>263744800000</v>
    <v>GILLETTE INDIA LIMITED</v>
    <v>GILLETTE INDIA LIMITED</v>
    <v>7728</v>
    <v>38.19</v>
    <v>7668.5</v>
    <v>7726</v>
    <v>32585220</v>
    <v>GILLETTE</v>
    <v>GILLETTE INDIA LIMITED (XNSE:GILLETTE)</v>
    <v>26695</v>
    <v>25080</v>
    <v>1984</v>
  </rv>
  <rv s="2">
    <v>241</v>
  </rv>
  <rv s="0">
    <v>https://www.bing.com/financeapi/forcetrigger?t=br7hhw&amp;q=XNSE%3aAFFLE&amp;form=skydnc</v>
    <v>Learn more on Bing</v>
  </rv>
  <rv s="1">
    <v>en-IN</v>
    <v>br7hhw</v>
    <v>268435456</v>
    <v>1</v>
    <v>Powered by Refinitiv</v>
    <v>0</v>
    <v>Affle 3i Limited (XNSE:AFFLE)</v>
    <v>2</v>
    <v>3</v>
    <v>Finance</v>
    <v>4</v>
    <v>2185.9</v>
    <v>1251.3</v>
    <v>0.87660000000000005</v>
    <v>10.1</v>
    <v>7.0320000000000001E-3</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1469.5</v>
    <v>Media &amp; Publishing</v>
    <v>Stock</v>
    <v>46185.472060185188</v>
    <v>243</v>
    <v>1401.3</v>
    <v>243763300000</v>
    <v>Affle 3i Limited</v>
    <v>Affle 3i Limited</v>
    <v>1450.9</v>
    <v>44.625100000000003</v>
    <v>1436.2</v>
    <v>1446.3</v>
    <v>140645400</v>
    <v>AFFLE</v>
    <v>Affle 3i Limited (XNSE:AFFLE)</v>
    <v>314618</v>
    <v>178590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1.0831</v>
    <v>56.5</v>
    <v>2.0996999999999998E-2</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11162</v>
    <v>National Stock Exchange of India</v>
    <v>XNSE</v>
    <v>XNSE</v>
    <v>6A &amp; 6B, Shantinagar, Santacruz (East), MUMBAI, MAHARASHTRA, 400055 IN</v>
    <v>2753</v>
    <v>Chemicals</v>
    <v>Stock</v>
    <v>46185.472037037034</v>
    <v>246</v>
    <v>2709.4</v>
    <v>2766744000000</v>
    <v>ASIAN PAINTS LIMITED</v>
    <v>ASIAN PAINTS LIMITED</v>
    <v>2725.7</v>
    <v>59.63</v>
    <v>2690.9</v>
    <v>2747.4</v>
    <v>958644300</v>
    <v>ASIANPAINT</v>
    <v>ASIAN PAINTS LIMITED (XNSE:ASIANPAINT)</v>
    <v>1078025</v>
    <v>1359000</v>
    <v>1945</v>
  </rv>
  <rv s="2">
    <v>247</v>
  </rv>
  <rv s="0">
    <v>https://www.bing.com/financeapi/forcetrigger?t=ahgzkr&amp;q=XNSE%3aASTEC&amp;form=skydnc</v>
    <v>Learn more on Bing</v>
  </rv>
  <rv s="1">
    <v>en-IN</v>
    <v>ahgzkr</v>
    <v>268435456</v>
    <v>1</v>
    <v>Powered by Refinitiv</v>
    <v>0</v>
    <v>ASTEC LIFESCIENCES LIMITED (XNSE:ASTEC)</v>
    <v>2</v>
    <v>3</v>
    <v>Finance</v>
    <v>4</v>
    <v>990.82</v>
    <v>513.4</v>
    <v>1.0007999999999999</v>
    <v>-1.9</v>
    <v>-2.4629999999999999E-3</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791.45</v>
    <v>Chemicals</v>
    <v>Stock</v>
    <v>46185.472071759257</v>
    <v>249</v>
    <v>768.05</v>
    <v>15983100000</v>
    <v>ASTEC LIFESCIENCES LIMITED</v>
    <v>ASTEC LIFESCIENCES LIMITED</v>
    <v>787.7</v>
    <v>0</v>
    <v>771.5</v>
    <v>769.6</v>
    <v>22282820</v>
    <v>ASTEC</v>
    <v>ASTEC LIFESCIENCES LIMITED (XNSE:ASTEC)</v>
    <v>27813</v>
    <v>192080</v>
    <v>1994</v>
  </rv>
  <rv s="2">
    <v>250</v>
  </rv>
  <rv s="0">
    <v>https://www.bing.com/financeapi/forcetrigger?t=ahgznm&amp;q=XNSE%3aASTRAL&amp;form=skydnc</v>
    <v>Learn more on Bing</v>
  </rv>
  <rv s="1">
    <v>en-IN</v>
    <v>ahgznm</v>
    <v>268435456</v>
    <v>1</v>
    <v>Powered by Refinitiv</v>
    <v>0</v>
    <v>ASTRAL LIMITED (XNSE:ASTRAL)</v>
    <v>2</v>
    <v>3</v>
    <v>Finance</v>
    <v>4</v>
    <v>1768.7</v>
    <v>1263.7</v>
    <v>0.59179999999999999</v>
    <v>18.399999999999999</v>
    <v>1.2346999999999999E-2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1531.6</v>
    <v>Homebuilding &amp; Construction Supplies</v>
    <v>Stock</v>
    <v>46185.472060185188</v>
    <v>252</v>
    <v>1498</v>
    <v>386453300000</v>
    <v>ASTRAL LIMITED</v>
    <v>ASTRAL LIMITED</v>
    <v>1514</v>
    <v>74.58</v>
    <v>1490.2</v>
    <v>1508.6</v>
    <v>268634700</v>
    <v>ASTRAL</v>
    <v>ASTRAL LIMITED (XNSE:ASTRAL)</v>
    <v>833425</v>
    <v>752010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1970</v>
    <v>0.74680000000000002</v>
    <v>39.1</v>
    <v>1.9806999999999998E-2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2027</v>
    <v>Automobiles &amp; Auto Parts</v>
    <v>Stock</v>
    <v>46185.472037037034</v>
    <v>255</v>
    <v>1990</v>
    <v>463168700000</v>
    <v>BALKRISHNA INDUSTRIES LIMITED</v>
    <v>BALKRISHNA INDUSTRIES LIMITED</v>
    <v>2010</v>
    <v>30.7</v>
    <v>1974</v>
    <v>2013.1</v>
    <v>193317200</v>
    <v>BALKRISIND</v>
    <v>BALKRISHNA INDUSTRIES LIMITED (XNSE:BALKRISIND)</v>
    <v>158591</v>
    <v>290380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1.4003000000000001</v>
    <v>113.2</v>
    <v>7.7806E-2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1577.6</v>
    <v>Banking Services</v>
    <v>Stock</v>
    <v>46185.472037037034</v>
    <v>258</v>
    <v>1485</v>
    <v>1435758000000</v>
    <v>CHOLAMANDALAM INVESTMENT AND FINANCE COMPANY LIMITED</v>
    <v>CHOLAMANDALAM INVESTMENT AND FINANCE COMPANY LIMITED</v>
    <v>1489.4</v>
    <v>25.320499999999999</v>
    <v>1454.9</v>
    <v>1568.1</v>
    <v>852441100</v>
    <v>CHOLAFIN</v>
    <v>CHOLAMANDALAM INVESTMENT AND FINANCE COMPANY LIMITED (XNSE:CHOLAFIN)</v>
    <v>3265447</v>
    <v>1593710</v>
    <v>1978</v>
  </rv>
  <rv s="2">
    <v>259</v>
  </rv>
  <rv s="0">
    <v>https://www.bing.com/financeapi/forcetrigger?t=ahhiur&amp;q=XNSE%3aDEEPAKNTR&amp;form=skydnc</v>
    <v>Learn more on Bing</v>
  </rv>
  <rv s="1">
    <v>en-IN</v>
    <v>ahhiur</v>
    <v>268435456</v>
    <v>1</v>
    <v>Powered by Refinitiv</v>
    <v>0</v>
    <v>DEEPAK NITRITE LIMITED (XNSE:DEEPAKNTR)</v>
    <v>2</v>
    <v>3</v>
    <v>Finance</v>
    <v>4</v>
    <v>2012</v>
    <v>1280</v>
    <v>1.7707999999999999</v>
    <v>57.5</v>
    <v>3.5660999999999998E-2</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1685.3</v>
    <v>Chemicals</v>
    <v>Stock</v>
    <v>46185.472083333334</v>
    <v>261</v>
    <v>1629.9</v>
    <v>214300800000</v>
    <v>DEEPAK NITRITE LIMITED</v>
    <v>DEEPAK NITRITE LIMITED</v>
    <v>1630</v>
    <v>39.950000000000003</v>
    <v>1612.4</v>
    <v>1669.9</v>
    <v>136393000</v>
    <v>DEEPAKNTR</v>
    <v>DEEPAK NITRITE LIMITED (XNSE:DEEPAKNTR)</v>
    <v>121379</v>
    <v>75890</v>
    <v>1970</v>
  </rv>
  <rv s="2">
    <v>262</v>
  </rv>
  <rv s="0">
    <v>https://www.bing.com/financeapi/forcetrigger?t=az8ysm&amp;q=XNSE%3aGMMPFAUDLR&amp;form=skydnc</v>
    <v>Learn more on Bing</v>
  </rv>
  <rv s="1">
    <v>en-IN</v>
    <v>az8ysm</v>
    <v>268435456</v>
    <v>1</v>
    <v>Powered by Refinitiv</v>
    <v>0</v>
    <v>GMM PFAUDLER LIMITED (XNSE:GMMPFAUDLR)</v>
    <v>2</v>
    <v>3</v>
    <v>Finance</v>
    <v>4</v>
    <v>1418</v>
    <v>735</v>
    <v>0.80489999999999995</v>
    <v>21.9</v>
    <v>2.9666999999999999E-2</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765.85</v>
    <v>Machinery, Equipment &amp; Components</v>
    <v>Stock</v>
    <v>46185.472037037034</v>
    <v>264</v>
    <v>741.1</v>
    <v>46067670000</v>
    <v>GMM PFAUDLER LIMITED</v>
    <v>GMM PFAUDLER LIMITED</v>
    <v>745.95</v>
    <v>53.73</v>
    <v>738.2</v>
    <v>760.1</v>
    <v>44957220</v>
    <v>GMMPFAUDLR</v>
    <v>GMM PFAUDLER LIMITED (XNSE:GMMPFAUDLR)</v>
    <v>87069</v>
    <v>124650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0.50760000000000005</v>
    <v>18.05</v>
    <v>5.1104000000000004E-2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374.9</v>
    <v>Pharmaceuticals</v>
    <v>Stock</v>
    <v>46185.472060185188</v>
    <v>267</v>
    <v>352.6</v>
    <v>32080370000</v>
    <v>GUFIC BIOSCIENCES LIMITED</v>
    <v>GUFIC BIOSCIENCES LIMITED</v>
    <v>355.2</v>
    <v>58.007800000000003</v>
    <v>353.2</v>
    <v>371.25</v>
    <v>100282500</v>
    <v>GUFICBIO</v>
    <v>GUFIC BIOSCIENCES LIMITED (XNSE:GUFICBIO)</v>
    <v>161321</v>
    <v>254570</v>
    <v>1984</v>
  </rv>
  <rv s="2">
    <v>268</v>
  </rv>
  <rv s="0">
    <v>https://www.bing.com/financeapi/forcetrigger?t=azjfim&amp;q=XNSE%3aHAL&amp;form=skydnc</v>
    <v>Learn more on Bing</v>
  </rv>
  <rv s="1">
    <v>en-IN</v>
    <v>azjfim</v>
    <v>268435456</v>
    <v>1</v>
    <v>Powered by Refinitiv</v>
    <v>0</v>
    <v>HINDUSTAN AERONAUTICS LIMITED (XNSE:HAL)</v>
    <v>2</v>
    <v>3</v>
    <v>Finance</v>
    <v>4</v>
    <v>5147</v>
    <v>3479.1</v>
    <v>1.6648000000000001</v>
    <v>20</v>
    <v>4.7939999999999997E-3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4224</v>
    <v>Aerospace &amp; Defense</v>
    <v>Stock</v>
    <v>46185.472037037034</v>
    <v>270</v>
    <v>4166.5</v>
    <v>2977654000000</v>
    <v>HINDUSTAN AERONAUTICS LIMITED</v>
    <v>HINDUSTAN AERONAUTICS LIMITED</v>
    <v>4216</v>
    <v>30.61</v>
    <v>4172.3</v>
    <v>4192.3</v>
    <v>668775000</v>
    <v>HAL</v>
    <v>HINDUSTAN AERONAUTICS LIMITED (XNSE:HAL)</v>
    <v>693290</v>
    <v>759710</v>
    <v>1963</v>
  </rv>
  <rv s="2">
    <v>271</v>
  </rv>
  <rv s="0">
    <v>https://www.bing.com/financeapi/forcetrigger?t=bra83m&amp;q=XNSE%3aHNDFDS&amp;form=skydnc</v>
    <v>Learn more on Bing</v>
  </rv>
  <rv s="1">
    <v>en-IN</v>
    <v>bra83m</v>
    <v>268435456</v>
    <v>1</v>
    <v>Powered by Refinitiv</v>
    <v>0</v>
    <v>HINDUSTAN FOODS LIMITED (XNSE:HNDFDS)</v>
    <v>2</v>
    <v>3</v>
    <v>Finance</v>
    <v>4</v>
    <v>584.9</v>
    <v>442</v>
    <v>0.80379999999999996</v>
    <v>0.4</v>
    <v>7.5569999999999999E-4</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539</v>
    <v>Food &amp; Tobacco</v>
    <v>Stock</v>
    <v>46185.472060185188</v>
    <v>273</v>
    <v>527.54999999999995</v>
    <v>59902180000</v>
    <v>HINDUSTAN FOODS LIMITED</v>
    <v>HINDUSTAN FOODS LIMITED</v>
    <v>534.5</v>
    <v>43.78</v>
    <v>529.29999999999995</v>
    <v>529.70000000000005</v>
    <v>121162700</v>
    <v>HNDFDS</v>
    <v>HINDUSTAN FOODS LIMITED (XNSE:HNDFDS)</v>
    <v>39133</v>
    <v>50700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0.87829999999999997</v>
    <v>16</v>
    <v>4.8544000000000004E-2</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347.3</v>
    <v>Professional &amp; Commercial Services</v>
    <v>Stock</v>
    <v>46185.472037037034</v>
    <v>276</v>
    <v>333</v>
    <v>43007220000</v>
    <v>ION EXCHANGE (INDIA) LIMITED</v>
    <v>ION EXCHANGE (INDIA) LIMITED</v>
    <v>333</v>
    <v>28.718599999999999</v>
    <v>329.6</v>
    <v>345.6</v>
    <v>122930500</v>
    <v>IONEXCHANG</v>
    <v>ION EXCHANGE (INDIA) LIMITED (XNSE:IONEXCHANG)</v>
    <v>375317</v>
    <v>245990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1.0042</v>
    <v>12.1</v>
    <v>1.6420000000000001E-2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752</v>
    <v>Software &amp; IT Services</v>
    <v>Stock</v>
    <v>46185.472048611111</v>
    <v>279</v>
    <v>736.3</v>
    <v>319290400000</v>
    <v>KPIT TECHNOLOGIES LIMITED</v>
    <v>KPIT TECHNOLOGIES LIMITED</v>
    <v>742.1</v>
    <v>31.45</v>
    <v>736.9</v>
    <v>749</v>
    <v>272227200</v>
    <v>KPITTECH</v>
    <v>KPIT TECHNOLOGIES LIMITED (XNSE:KPITTECH)</v>
    <v>675160</v>
    <v>1365950</v>
    <v>2018</v>
  </rv>
  <rv s="2">
    <v>280</v>
  </rv>
  <rv s="0">
    <v>https://www.bing.com/financeapi/forcetrigger?t=ahis4c&amp;q=XNSE%3aLTI&amp;form=skydnc</v>
    <v>Learn more on Bing</v>
  </rv>
  <rv s="1">
    <v>en-IN</v>
    <v>ahis4c</v>
    <v>268435456</v>
    <v>1</v>
    <v>Powered by Refinitiv</v>
    <v>0</v>
    <v>LTM Limited (XNSE:LTM)</v>
    <v>2</v>
    <v>3</v>
    <v>Finance</v>
    <v>4</v>
    <v>6429.5</v>
    <v>3803.7</v>
    <v>1.4731000000000001</v>
    <v>19.8</v>
    <v>5.1770000000000002E-3</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3888</v>
    <v>Software &amp; IT Services</v>
    <v>Stock</v>
    <v>46185.472071759257</v>
    <v>282</v>
    <v>3803.7</v>
    <v>1808606000000</v>
    <v>LTM Limited</v>
    <v>LTM Limited</v>
    <v>3855</v>
    <v>22.706</v>
    <v>3824.9</v>
    <v>3844.7</v>
    <v>296589200</v>
    <v>LTM</v>
    <v>LTM Limited (XNSE:LTM)</v>
    <v>361579</v>
    <v>579590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0.86990000000000001</v>
    <v>4</v>
    <v>5.9509999999999997E-3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682.5</v>
    <v>Containers &amp; Packaging</v>
    <v>Stock</v>
    <v>46185.472048611111</v>
    <v>285</v>
    <v>660.05</v>
    <v>19241200000</v>
    <v>MOLD-TEK PACKAGING LIMITED</v>
    <v>MOLD-TEK PACKAGING LIMITED</v>
    <v>673.15</v>
    <v>30.65</v>
    <v>672.1</v>
    <v>676.1</v>
    <v>33228910</v>
    <v>MOLDTKPAC</v>
    <v>MOLD-TEK PACKAGING LIMITED (XNSE:MOLDTKPAC)</v>
    <v>84248</v>
    <v>124600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0.70269999999999999</v>
    <v>885</v>
    <v>2.3450000000000002E-2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38850</v>
    <v>Textiles &amp; Apparel</v>
    <v>Stock</v>
    <v>46185.472060185188</v>
    <v>288</v>
    <v>37955</v>
    <v>386426000000</v>
    <v>PAGE INDUSTRIES LIMITED</v>
    <v>PAGE INDUSTRIES LIMITED</v>
    <v>37955</v>
    <v>55.11</v>
    <v>37740</v>
    <v>38625</v>
    <v>11153870</v>
    <v>PAGEIND</v>
    <v>PAGE INDUSTRIES LIMITED (XNSE:PAGEIND)</v>
    <v>13311</v>
    <v>28750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1.0722</v>
    <v>-63</v>
    <v>-1.2926E-2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4945.5</v>
    <v>Software &amp; IT Services</v>
    <v>Stock</v>
    <v>46185.472071759257</v>
    <v>291</v>
    <v>4794</v>
    <v>989862700000</v>
    <v>PERSISTENT SYSTEMS LIMITED</v>
    <v>PERSISTENT SYSTEMS LIMITED</v>
    <v>4920</v>
    <v>40.700000000000003</v>
    <v>4874</v>
    <v>4811</v>
    <v>156231000</v>
    <v>PERSISTENT</v>
    <v>PERSISTENT SYSTEMS LIMITED (XNSE:PERSISTENT)</v>
    <v>410246</v>
    <v>718780</v>
    <v>1990</v>
  </rv>
  <rv s="2">
    <v>292</v>
  </rv>
  <rv s="0">
    <v>https://www.bing.com/financeapi/forcetrigger?t=ahjfec&amp;q=XNSE%3aPIIND&amp;form=skydnc</v>
    <v>Learn more on Bing</v>
  </rv>
  <rv s="1">
    <v>en-IN</v>
    <v>ahjfec</v>
    <v>268435456</v>
    <v>1</v>
    <v>Powered by Refinitiv</v>
    <v>0</v>
    <v>PI INDUSTRIES LIMITED (XNSE:PIIND)</v>
    <v>2</v>
    <v>3</v>
    <v>Finance</v>
    <v>4</v>
    <v>4330</v>
    <v>2657.2</v>
    <v>1.476</v>
    <v>40.5</v>
    <v>1.4458E-2</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2859.4</v>
    <v>Chemicals</v>
    <v>Stock</v>
    <v>46185.472083333334</v>
    <v>294</v>
    <v>2811.6</v>
    <v>495614400000</v>
    <v>PI INDUSTRIES LIMITED</v>
    <v>PI INDUSTRIES LIMITED</v>
    <v>2815</v>
    <v>32.17</v>
    <v>2801.2</v>
    <v>2841.7</v>
    <v>151703200</v>
    <v>PIIND</v>
    <v>PI INDUSTRIES LIMITED (XNSE:PIIND)</v>
    <v>415063</v>
    <v>528200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0.98209999999999997</v>
    <v>36.700000000000003</v>
    <v>2.4485999999999997E-2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1553.9</v>
    <v>Chemicals</v>
    <v>Stock</v>
    <v>46185.472037037034</v>
    <v>297</v>
    <v>1515.1</v>
    <v>1525452000000</v>
    <v>PIDILITE INDUSTRIES LIMITED</v>
    <v>PIDILITE INDUSTRIES LIMITED</v>
    <v>1518</v>
    <v>63.846200000000003</v>
    <v>1498.8</v>
    <v>1535.5</v>
    <v>1017775000</v>
    <v>PIDILITIND</v>
    <v>PIDILITE INDUSTRIES LIMITED (XNSE:PIDILITIND)</v>
    <v>1254231</v>
    <v>1148330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1.365</v>
    <v>21.7</v>
    <v>4.9599999999999998E-2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465.9</v>
    <v>Metals &amp; Mining</v>
    <v>Stock</v>
    <v>46185.472071759257</v>
    <v>300</v>
    <v>436</v>
    <v>26710620000</v>
    <v>RAJRATAN GLOBAL WIRE LIMITED</v>
    <v>RAJRATAN GLOBAL WIRE LIMITED</v>
    <v>436</v>
    <v>31.63</v>
    <v>437.5</v>
    <v>459.2</v>
    <v>50771000</v>
    <v>RAJRATAN</v>
    <v>RAJRATAN GLOBAL WIRE LIMITED (XNSE:RAJRATAN)</v>
    <v>155486</v>
    <v>78100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0.95699999999999996</v>
    <v>9.6</v>
    <v>2.6800999999999998E-2</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369.45</v>
    <v>Construction Materials</v>
    <v>Stock</v>
    <v>46185.47210648148</v>
    <v>303</v>
    <v>359.95</v>
    <v>92430040000</v>
    <v>RHI MAGNESITA INDIA LIMITED</v>
    <v>RHI MAGNESITA INDIA LIMITED</v>
    <v>362.7</v>
    <v>0</v>
    <v>358.2</v>
    <v>367.8</v>
    <v>206501400</v>
    <v>RHIM</v>
    <v>RHI MAGNESITA INDIA LIMITED (XNSE:RHIM)</v>
    <v>118660</v>
    <v>1735280</v>
    <v>2010</v>
  </rv>
  <rv s="2">
    <v>304</v>
  </rv>
  <rv s="0">
    <v>https://www.bing.com/financeapi/forcetrigger?t=ahjs52&amp;q=XNSE%3aSAKSOFT&amp;form=skydnc</v>
    <v>Learn more on Bing</v>
  </rv>
  <rv s="1">
    <v>en-IN</v>
    <v>ahjs52</v>
    <v>268435456</v>
    <v>1</v>
    <v>Powered by Refinitiv</v>
    <v>0</v>
    <v>SAKSOFT LIMITED (XNSE:SAKSOFT)</v>
    <v>2</v>
    <v>3</v>
    <v>Finance</v>
    <v>4</v>
    <v>253.99</v>
    <v>107.59</v>
    <v>1.6886000000000001</v>
    <v>-0.32</v>
    <v>-2.3159999999999999E-3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141</v>
    <v>Software &amp; IT Services</v>
    <v>Stock</v>
    <v>46185.472060185188</v>
    <v>306</v>
    <v>135.19999999999999</v>
    <v>23879740000</v>
    <v>SAKSOFT LIMITED</v>
    <v>SAKSOFT LIMITED</v>
    <v>139</v>
    <v>14.322800000000001</v>
    <v>138.16999999999999</v>
    <v>137.85</v>
    <v>132551300</v>
    <v>SAKSOFT</v>
    <v>SAKSOFT LIMITED (XNSE:SAKSOFT)</v>
    <v>298197</v>
    <v>359060</v>
    <v>1999</v>
  </rv>
  <rv s="2">
    <v>307</v>
  </rv>
  <rv s="0">
    <v>https://www.bing.com/financeapi/forcetrigger?t=ahk3nm&amp;q=XNSE%3aSRF&amp;form=skydnc</v>
    <v>Learn more on Bing</v>
  </rv>
  <rv s="1">
    <v>en-IN</v>
    <v>ahk3nm</v>
    <v>268435456</v>
    <v>1</v>
    <v>Powered by Refinitiv</v>
    <v>0</v>
    <v>SRF LIMITED (XNSE:SRF)</v>
    <v>2</v>
    <v>3</v>
    <v>Finance</v>
    <v>4</v>
    <v>3325</v>
    <v>2355</v>
    <v>0.90810000000000002</v>
    <v>84.6</v>
    <v>3.1823999999999998E-2</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9640</v>
    <v>National Stock Exchange of India</v>
    <v>XNSE</v>
    <v>XNSE</v>
    <v>THE GALLERIA, DLF MAYUR VIHAR, UNIT NO. 236 &amp; 237 2ND FLOOR, MAYUR PLACE, MAYUR VIHAR PHASE I EXTN. NEW DELHI EAST DELHI DL, DELHI, 110091 IN</v>
    <v>2748</v>
    <v>Chemicals</v>
    <v>Stock</v>
    <v>46185.472037037034</v>
    <v>309</v>
    <v>2681.3</v>
    <v>901012900000</v>
    <v>SRF LIMITED</v>
    <v>SRF LIMITED</v>
    <v>2696.7</v>
    <v>44.305900000000001</v>
    <v>2658.4</v>
    <v>2743</v>
    <v>296406000</v>
    <v>SRF</v>
    <v>SRF LIMITED (XNSE:SRF)</v>
    <v>245864</v>
    <v>606840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0.57820000000000005</v>
    <v>13.35</v>
    <v>2.9766000000000001E-2</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464.75</v>
    <v>Chemicals</v>
    <v>Stock</v>
    <v>46185.472071759257</v>
    <v>312</v>
    <v>451</v>
    <v>220572500000</v>
    <v>SUMITOMO CHEMICAL INDIA LIMITED</v>
    <v>SUMITOMO CHEMICAL INDIA LIMITED</v>
    <v>451</v>
    <v>41.22</v>
    <v>448.5</v>
    <v>461.85</v>
    <v>499145800</v>
    <v>SUMICHEM</v>
    <v>SUMITOMO CHEMICAL INDIA LIMITED (XNSE:SUMICHEM)</v>
    <v>129653</v>
    <v>121550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0.62649999999999995</v>
    <v>41.2</v>
    <v>1.1963999999999999E-2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3520</v>
    <v>Chemicals</v>
    <v>Stock</v>
    <v>46185.472037037034</v>
    <v>315</v>
    <v>3434</v>
    <v>440122700000</v>
    <v>THE SUPREME INDUSTRIES LIMITED</v>
    <v>THE SUPREME INDUSTRIES LIMITED</v>
    <v>3460.6</v>
    <v>46.405799999999999</v>
    <v>3443.8</v>
    <v>3485</v>
    <v>127026900</v>
    <v>SUPREMEIND</v>
    <v>THE SUPREME INDUSTRIES LIMITED (XNSE:SUPREMEIND)</v>
    <v>110844</v>
    <v>177130</v>
    <v>1942</v>
  </rv>
  <rv s="2">
    <v>316</v>
  </rv>
  <rv s="0">
    <v>https://www.bing.com/financeapi/forcetrigger?t=ahk9m7&amp;q=XNSE%3aTATAELXSI&amp;form=skydnc</v>
    <v>Learn more on Bing</v>
  </rv>
  <rv s="1">
    <v>en-IN</v>
    <v>ahk9m7</v>
    <v>268435456</v>
    <v>1</v>
    <v>Powered by Refinitiv</v>
    <v>0</v>
    <v>TATA ELXSI LIMITED (XNSE:TATAELXSI)</v>
    <v>2</v>
    <v>3</v>
    <v>Finance</v>
    <v>4</v>
    <v>6735</v>
    <v>3945</v>
    <v>1.0125999999999999</v>
    <v>55.8</v>
    <v>1.3918E-2</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4075</v>
    <v>Software &amp; IT Services</v>
    <v>Stock</v>
    <v>46185.472037037034</v>
    <v>318</v>
    <v>4012.1</v>
    <v>360876300000</v>
    <v>TATA ELXSI LIMITED</v>
    <v>TATA ELXSI LIMITED</v>
    <v>4050.4</v>
    <v>39.74</v>
    <v>4009.1</v>
    <v>4064.9</v>
    <v>62297060</v>
    <v>TATAELXSI</v>
    <v>TATA ELXSI LIMITED (XNSE:TATAELXSI)</v>
    <v>133157</v>
    <v>321810</v>
    <v>1989</v>
  </rv>
  <rv s="2">
    <v>319</v>
  </rv>
  <rv s="0">
    <v>https://www.bing.com/financeapi/forcetrigger?t=ahkalh&amp;q=XNSE%3aTCIEXP&amp;form=skydnc</v>
    <v>Learn more on Bing</v>
  </rv>
  <rv s="1">
    <v>en-IN</v>
    <v>ahkalh</v>
    <v>268435456</v>
    <v>1</v>
    <v>Powered by Refinitiv</v>
    <v>0</v>
    <v>TCI EXPRESS LIMITED (XNSE:TCIEXP)</v>
    <v>2</v>
    <v>3</v>
    <v>Finance</v>
    <v>4</v>
    <v>825.9</v>
    <v>447.55</v>
    <v>0.75980000000000003</v>
    <v>9.15</v>
    <v>1.8148999999999998E-2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519.29999999999995</v>
    <v>Freight &amp; Logistics Services</v>
    <v>Stock</v>
    <v>46185.472071759257</v>
    <v>321</v>
    <v>500.4</v>
    <v>20433140000</v>
    <v>TCI EXPRESS LIMITED</v>
    <v>TCI EXPRESS LIMITED</v>
    <v>519.29999999999995</v>
    <v>23.05</v>
    <v>504.15</v>
    <v>513.29999999999995</v>
    <v>38418990</v>
    <v>TCIEXP</v>
    <v>TCI EXPRESS LIMITED (XNSE:TCIEXP)</v>
    <v>7041</v>
    <v>17430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0.95489999999999997</v>
    <v>166.5</v>
    <v>5.5960999999999997E-2</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3172.2</v>
    <v>Automobiles &amp; Auto Parts</v>
    <v>Stock</v>
    <v>46185.472037037034</v>
    <v>324</v>
    <v>3000</v>
    <v>461965600000</v>
    <v>TUBE INVESTMENTS OF INDIA LIMITED</v>
    <v>TUBE INVESTMENTS OF INDIA LIMITED</v>
    <v>3000</v>
    <v>95.715699999999998</v>
    <v>2975.3</v>
    <v>3141.8</v>
    <v>193562300</v>
    <v>TIINDIA</v>
    <v>TUBE INVESTMENTS OF INDIA LIMITED (XNSE:TIINDIA)</v>
    <v>260594</v>
    <v>402390</v>
    <v>2008</v>
  </rv>
  <rv s="2">
    <v>325</v>
  </rv>
  <rv s="0">
    <v>https://www.bing.com/financeapi/forcetrigger?t=ahkk5r&amp;q=XNSE%3aVGUARD&amp;form=skydnc</v>
    <v>Learn more on Bing</v>
  </rv>
  <rv s="1">
    <v>en-IN</v>
    <v>ahkk5r</v>
    <v>268435456</v>
    <v>1</v>
    <v>Powered by Refinitiv</v>
    <v>0</v>
    <v>V GUARD INDUSTRIES LIMITED (XNSE:VGUARD)</v>
    <v>2</v>
    <v>3</v>
    <v>Finance</v>
    <v>4</v>
    <v>409.75</v>
    <v>290</v>
    <v>0.4869</v>
    <v>5.7</v>
    <v>1.9424E-2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299.85000000000002</v>
    <v>Machinery, Equipment &amp; Components</v>
    <v>Stock</v>
    <v>46185.472071759257</v>
    <v>327</v>
    <v>295.05</v>
    <v>136597700000</v>
    <v>V GUARD INDUSTRIES LIMITED</v>
    <v>V GUARD INDUSTRIES LIMITED</v>
    <v>299</v>
    <v>41.68</v>
    <v>293.45</v>
    <v>299.14999999999998</v>
    <v>436891100</v>
    <v>VGUARD</v>
    <v>V GUARD INDUSTRIES LIMITED (XNSE:VGUARD)</v>
    <v>99155</v>
    <v>184040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0.68149999999999999</v>
    <v>-2.2000000000000002</v>
    <v>-1.6850000000000001E-3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1322.5</v>
    <v>Chemicals</v>
    <v>Stock</v>
    <v>46185.472071759257</v>
    <v>330</v>
    <v>1297.4000000000001</v>
    <v>163698400000</v>
    <v>VINATI ORGANICS LIMITED</v>
    <v>VINATI ORGANICS LIMITED</v>
    <v>1306.4000000000001</v>
    <v>30.441500000000001</v>
    <v>1305.4000000000001</v>
    <v>1303.2</v>
    <v>103665600</v>
    <v>VINATIORGA</v>
    <v>VINATI ORGANICS LIMITED (XNSE:VINATIORGA)</v>
    <v>72758</v>
    <v>81140</v>
    <v>1989</v>
  </rv>
  <rv s="2">
    <v>331</v>
  </rv>
  <rv s="0">
    <v>https://www.bing.com/financeapi/forcetrigger?t=ahjtlh&amp;q=XNSE%3aSAREGAMA&amp;form=skydnc</v>
    <v>Learn more on Bing</v>
  </rv>
  <rv s="1">
    <v>en-IN</v>
    <v>ahjtlh</v>
    <v>268435456</v>
    <v>1</v>
    <v>Powered by Refinitiv</v>
    <v>0</v>
    <v>SAREGAMA INDIA LIMITED (XNSE:SAREGAMA)</v>
    <v>2</v>
    <v>3</v>
    <v>Finance</v>
    <v>4</v>
    <v>579.54999999999995</v>
    <v>307.05</v>
    <v>1.0880000000000001</v>
    <v>3.55</v>
    <v>7.8490000000000001E-3</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469</v>
    <v>Media &amp; Publishing</v>
    <v>Stock</v>
    <v>46185.472048611111</v>
    <v>333</v>
    <v>449</v>
    <v>67631700000</v>
    <v>SAREGAMA INDIA LIMITED</v>
    <v>SAREGAMA INDIA LIMITED</v>
    <v>459</v>
    <v>42.23</v>
    <v>452.3</v>
    <v>455.85</v>
    <v>191959500</v>
    <v>SAREGAMA</v>
    <v>SAREGAMA INDIA LIMITED (XNSE:SAREGAMA)</v>
    <v>1394362</v>
    <v>3462560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1.0904</v>
    <v>4.04</v>
    <v>1.7756000000000001E-2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233.53</v>
    <v>Construction &amp; Engineering</v>
    <v>Stock</v>
    <v>46185.472037037034</v>
    <v>336</v>
    <v>230.01</v>
    <v>6743978000</v>
    <v>Likhitha Infrastructure Ltd</v>
    <v>Likhitha Infrastructure Ltd</v>
    <v>232.8</v>
    <v>22.89</v>
    <v>227.53</v>
    <v>231.57</v>
    <v>39450000</v>
    <v>LIKHITHA</v>
    <v>Likhitha Infrastructure Ltd (XNSE:LIKHITHA)</v>
    <v>51489</v>
    <v>50890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0.90880000000000005</v>
    <v>23.8</v>
    <v>1.8071E-2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1344.3</v>
    <v>342</v>
    <v>Banking Services</v>
    <v>Stock</v>
    <v>46185.472048611111</v>
    <v>343</v>
    <v>1318.7</v>
    <v>10272960000000</v>
    <v>ICICI BANK LIMITED</v>
    <v>ICICI BANK LIMITED</v>
    <v>1330</v>
    <v>17.6677</v>
    <v>1317</v>
    <v>1340.8</v>
    <v>7171991000</v>
    <v>ICICIBANK</v>
    <v>ICICI BANK LIMITED (XNSE:ICICIBANK)</v>
    <v>18339846</v>
    <v>19735720</v>
    <v>1994</v>
  </rv>
  <rv s="2">
    <v>344</v>
  </rv>
  <rv s="0">
    <v>https://www.bing.com/financeapi/forcetrigger?t=ahgpjc&amp;q=XNSE%3a3MINDIA&amp;form=skydnc</v>
    <v>Learn more on Bing</v>
  </rv>
  <rv s="1">
    <v>en-IN</v>
    <v>ahgpjc</v>
    <v>268435456</v>
    <v>1</v>
    <v>Powered by Refinitiv</v>
    <v>0</v>
    <v>3M INDIA LIMITED (XNSE:3MINDIA)</v>
    <v>2</v>
    <v>3</v>
    <v>Finance</v>
    <v>4</v>
    <v>38030</v>
    <v>27940.31</v>
    <v>0.77</v>
    <v>385</v>
    <v>1.2354E-2</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31695</v>
    <v>Consumer Goods Conglomerates</v>
    <v>Stock</v>
    <v>46185.472037037034</v>
    <v>346</v>
    <v>31255</v>
    <v>394221100000</v>
    <v>3M INDIA LIMITED</v>
    <v>3M INDIA LIMITED</v>
    <v>31550</v>
    <v>67.22</v>
    <v>31165</v>
    <v>31550</v>
    <v>11265070</v>
    <v>3MINDIA</v>
    <v>3M INDIA LIMITED (XNSE:3MINDIA)</v>
    <v>1149</v>
    <v>1890</v>
    <v>1987</v>
  </rv>
  <rv s="2">
    <v>347</v>
  </rv>
  <rv s="0">
    <v>https://www.bing.com/financeapi/forcetrigger?t=ahgq1h&amp;q=XNSE%3aAARTIIND&amp;form=skydnc</v>
    <v>Learn more on Bing</v>
  </rv>
  <rv s="1">
    <v>en-IN</v>
    <v>ahgq1h</v>
    <v>268435456</v>
    <v>1</v>
    <v>Powered by Refinitiv</v>
    <v>0</v>
    <v>AARTI INDUSTRIES LTD (XNSE:AARTIIND)</v>
    <v>2</v>
    <v>3</v>
    <v>Finance</v>
    <v>4</v>
    <v>523.1</v>
    <v>338.05</v>
    <v>1.5470999999999999</v>
    <v>12.75</v>
    <v>2.98E-2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443.95</v>
    <v>Chemicals</v>
    <v>Stock</v>
    <v>46185.472037037034</v>
    <v>349</v>
    <v>427.8</v>
    <v>131621600000</v>
    <v>AARTI INDUSTRIES LTD</v>
    <v>AARTI INDUSTRIES LTD</v>
    <v>430.9</v>
    <v>37.01</v>
    <v>427.85</v>
    <v>440.6</v>
    <v>362648000</v>
    <v>AARTIIND</v>
    <v>AARTI INDUSTRIES LTD (XNSE:AARTIIND)</v>
    <v>492977</v>
    <v>503130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1.2451000000000001</v>
    <v>22.9</v>
    <v>1.2659999999999999E-2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697</v>
    <v>National Stock Exchange of India</v>
    <v>XNSE</v>
    <v>XNSE</v>
    <v>NIRMAN VYAPAR KENDRA 401-407PLOT NO 10 SECTOR-17DBC, VASHI NEW MUMBAI, MAHARASHTRA, 400703 IN</v>
    <v>1842.2</v>
    <v>Chemicals</v>
    <v>Stock</v>
    <v>46185.472048611111</v>
    <v>352</v>
    <v>1811.1</v>
    <v>82387950000</v>
    <v>ALKYL AMINES CHEMICALS LIMITED</v>
    <v>ALKYL AMINES CHEMICALS LIMITED</v>
    <v>1823.4</v>
    <v>51.39</v>
    <v>1808.9</v>
    <v>1831.8</v>
    <v>51144050</v>
    <v>ALKYLAMINE</v>
    <v>ALKYL AMINES CHEMICALS LIMITED (XNSE:ALKYLAMINE)</v>
    <v>49615</v>
    <v>379310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1.3167</v>
    <v>47.75</v>
    <v>5.4850000000000003E-2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921</v>
    <v>Banking Services</v>
    <v>Stock</v>
    <v>46185.472037037034</v>
    <v>355</v>
    <v>881.1</v>
    <v>5898163000000</v>
    <v>BAJAJ FINANCE LIMITED</v>
    <v>BAJAJ FINANCE LIMITED</v>
    <v>881.2</v>
    <v>30</v>
    <v>870.55</v>
    <v>918.3</v>
    <v>6221349000</v>
    <v>BAJFINANCE</v>
    <v>BAJAJ FINANCE LIMITED (XNSE:BAJFINANCE)</v>
    <v>11729668</v>
    <v>9953120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0.87660000000000005</v>
    <v>36.5</v>
    <v>2.6669999999999999E-2</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1409</v>
    <v>Chemicals</v>
    <v>Stock</v>
    <v>46185.472037037034</v>
    <v>358</v>
    <v>1376</v>
    <v>36408460000</v>
    <v>BHARAT RASAYAN LIMITED</v>
    <v>BHARAT RASAYAN LIMITED</v>
    <v>1376</v>
    <v>16.0276</v>
    <v>1368.6</v>
    <v>1405.1</v>
    <v>16621070</v>
    <v>BHARATRAS</v>
    <v>BHARAT RASAYAN LIMITED (XNSE:BHARATRAS)</v>
    <v>3333</v>
    <v>9380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0.79390000000000005</v>
    <v>289.5</v>
    <v>4.9448999999999993E-2</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6196.5</v>
    <v>Homebuilding &amp; Construction Supplies</v>
    <v>Stock</v>
    <v>46185.472071759257</v>
    <v>361</v>
    <v>5874.5</v>
    <v>65435870000</v>
    <v>CERA SANITARYWARE LIMITED</v>
    <v>CERA SANITARYWARE LIMITED</v>
    <v>5920</v>
    <v>36.979999999999997</v>
    <v>5854.5</v>
    <v>6144</v>
    <v>12892970</v>
    <v>CERA</v>
    <v>CERA SANITARYWARE LIMITED (XNSE:CERA)</v>
    <v>37391</v>
    <v>48530</v>
    <v>1998</v>
  </rv>
  <rv s="2">
    <v>362</v>
  </rv>
  <rv s="0">
    <v>https://www.bing.com/financeapi/forcetrigger?t=ahhgf2&amp;q=XNSE%3aCRISIL&amp;form=skydnc</v>
    <v>Learn more on Bing</v>
  </rv>
  <rv s="1">
    <v>en-IN</v>
    <v>ahhgf2</v>
    <v>268435456</v>
    <v>1</v>
    <v>Powered by Refinitiv</v>
    <v>0</v>
    <v>CRISIL LIMITED (XNSE:CRISIL)</v>
    <v>2</v>
    <v>3</v>
    <v>Finance</v>
    <v>4</v>
    <v>6139</v>
    <v>3686</v>
    <v>0.37869999999999998</v>
    <v>-4.0999999999999996</v>
    <v>-1.052E-3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3960</v>
    <v>Professional &amp; Commercial Services</v>
    <v>Stock</v>
    <v>46185.472037037034</v>
    <v>364</v>
    <v>3852</v>
    <v>352164900000</v>
    <v>CRISIL LIMITED</v>
    <v>CRISIL LIMITED</v>
    <v>3960</v>
    <v>33.96</v>
    <v>3898</v>
    <v>3893.9</v>
    <v>73130020</v>
    <v>CRISIL</v>
    <v>CRISIL LIMITED (XNSE:CRISIL)</v>
    <v>45625</v>
    <v>47010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0.99350000000000005</v>
    <v>175</v>
    <v>1.5389999999999999E-2</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EMS &amp; others. Its consumer electronics include light-emitting diode (LED) televisions (TVs) and refrigerators. Its home appliances include washing machines. Its lighting products include LED bulbs, outdoor lighting, smart lights, battens, and downlighters. Its mobile phones, EMS &amp; others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11571</v>
    <v>Computers, Phones &amp; Household Electronics</v>
    <v>Stock</v>
    <v>46185.472083333334</v>
    <v>367</v>
    <v>11389</v>
    <v>681986400000</v>
    <v>DIXON TECHNOLOGIES (INDIA) LIMITED</v>
    <v>DIXON TECHNOLOGIES (INDIA) LIMITED</v>
    <v>11545</v>
    <v>42.512599999999999</v>
    <v>11371</v>
    <v>11546</v>
    <v>61085920</v>
    <v>DIXON</v>
    <v>DIXON TECHNOLOGIES (INDIA) LIMITED (XNSE:DIXON)</v>
    <v>304468</v>
    <v>417870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1.4488000000000001</v>
    <v>22.3</v>
    <v>3.9129999999999998E-2</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595.4</v>
    <v>Chemicals</v>
    <v>Stock</v>
    <v>46185.472037037034</v>
    <v>370</v>
    <v>570.04999999999995</v>
    <v>9240283000</v>
    <v>FAIRCHEM ORGANICS LIMITED</v>
    <v>FAIRCHEM ORGANICS LIMITED</v>
    <v>572.20000000000005</v>
    <v>133.47</v>
    <v>569.9</v>
    <v>592.20000000000005</v>
    <v>12595900</v>
    <v>FAIRCHEMOR</v>
    <v>FAIRCHEM ORGANICS LIMITED (XNSE:FAIRCHEMOR)</v>
    <v>6914</v>
    <v>7030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1.0936999999999999</v>
    <v>28.3</v>
    <v>1.6886999999999999E-2</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1719</v>
    <v>Chemicals</v>
    <v>Stock</v>
    <v>46185.472037037034</v>
    <v>373</v>
    <v>1642.6</v>
    <v>66459930000</v>
    <v>GALAXY SURFACTANTS LTD</v>
    <v>GALAXY SURFACTANTS LTD</v>
    <v>1692.9</v>
    <v>22.23</v>
    <v>1675.8</v>
    <v>1704.1</v>
    <v>35454750</v>
    <v>GALAXYSURF</v>
    <v>GALAXY SURFACTANTS LTD (XNSE:GALAXYSURF)</v>
    <v>17535</v>
    <v>15260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1.1649</v>
    <v>11.2</v>
    <v>2.9724E-2</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391.55</v>
    <v>Natural Gas Utilities</v>
    <v>Stock</v>
    <v>46185.472060185188</v>
    <v>376</v>
    <v>376.2</v>
    <v>281310600000</v>
    <v>GUJARAT ENERGY LIMITED</v>
    <v>GUJARAT ENERGY LIMITED</v>
    <v>382</v>
    <v>22.91</v>
    <v>376.8</v>
    <v>388</v>
    <v>938230800</v>
    <v>GUJGASLTD</v>
    <v>GUJARAT ENERGY LIMITED (XNSE:GUJGASLTD)</v>
    <v>480224</v>
    <v>910720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0.91610000000000003</v>
    <v>25.1</v>
    <v>2.2231999999999998E-2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1156.9000000000001</v>
    <v>Machinery, Equipment &amp; Components</v>
    <v>Stock</v>
    <v>46185.472048611111</v>
    <v>379</v>
    <v>1134.5</v>
    <v>898043600000</v>
    <v>HAVELLS INDIA LIMITED</v>
    <v>HAVELLS INDIA LIMITED</v>
    <v>1147</v>
    <v>41.88</v>
    <v>1129</v>
    <v>1154.0999999999999</v>
    <v>627561600</v>
    <v>HAVELLS</v>
    <v>HAVELLS INDIA LIMITED (XNSE:HAVELLS)</v>
    <v>458490</v>
    <v>1169570</v>
    <v>1983</v>
  </rv>
  <rv s="2">
    <v>380</v>
  </rv>
  <rv s="0">
    <v>https://www.bing.com/financeapi/forcetrigger?t=ahi3jc&amp;q=XNSE%3aHDFCBANK&amp;form=skydnc</v>
    <v>Learn more on Bing</v>
  </rv>
  <rv s="1">
    <v>en-IN</v>
    <v>ahi3jc</v>
    <v>268435456</v>
    <v>1</v>
    <v>Powered by Refinitiv</v>
    <v>0</v>
    <v>HDFC BANK LIMITED (XNSE:HDFCBANK)</v>
    <v>2</v>
    <v>3</v>
    <v>Finance</v>
    <v>4</v>
    <v>1020.5</v>
    <v>726.65</v>
    <v>0.99480000000000002</v>
    <v>27.85</v>
    <v>3.7402999999999999E-2</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774.45</v>
    <v>Banking Services</v>
    <v>Stock</v>
    <v>46185.472037037034</v>
    <v>382</v>
    <v>753.1</v>
    <v>14420670000000</v>
    <v>HDFC BANK LIMITED</v>
    <v>HDFC BANK LIMITED</v>
    <v>754.7</v>
    <v>15.6066</v>
    <v>744.6</v>
    <v>772.45</v>
    <v>15397540000</v>
    <v>HDFCBANK</v>
    <v>HDFC BANK LIMITED (XNSE:HDFCBANK)</v>
    <v>36088159</v>
    <v>43469030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543</v>
    <v>0.97889999999999999</v>
    <v>10.1</v>
    <v>1.8523999999999999E-2</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557.85</v>
    <v>Insurance</v>
    <v>Stock</v>
    <v>46185.472037037034</v>
    <v>385</v>
    <v>545.70000000000005</v>
    <v>1614571000000</v>
    <v>HDFC LIFE INSURANCE COMPANY LIMITED</v>
    <v>HDFC LIFE INSURANCE COMPANY LIMITED</v>
    <v>552</v>
    <v>61.4</v>
    <v>545.25</v>
    <v>555.35</v>
    <v>2157411000</v>
    <v>HDFCLIFE</v>
    <v>HDFC LIFE INSURANCE COMPANY LIMITED (XNSE:HDFCLIFE)</v>
    <v>2966637</v>
    <v>3123560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1.1093999999999999</v>
    <v>-16.7</v>
    <v>-9.7520000000000003E-3</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1721</v>
    <v>Insurance</v>
    <v>Stock</v>
    <v>46185.472083333334</v>
    <v>388</v>
    <v>1671.8</v>
    <v>939092900000</v>
    <v>ICICI LOMBARD GENERAL INSURANCE COMPANY LIMITED</v>
    <v>ICICI LOMBARD GENERAL INSURANCE COMPANY LIMITED</v>
    <v>1721</v>
    <v>30.71</v>
    <v>1712.4</v>
    <v>1695.7</v>
    <v>499107700</v>
    <v>ICICIGI</v>
    <v>ICICI LOMBARD GENERAL INSURANCE COMPANY LIMITED (XNSE:ICICIGI)</v>
    <v>702448</v>
    <v>656620</v>
    <v>2000</v>
  </rv>
  <rv s="2">
    <v>389</v>
  </rv>
  <rv s="0">
    <v>https://www.bing.com/financeapi/forcetrigger?t=ahi96h&amp;q=XNSE%3aIEX&amp;form=skydnc</v>
    <v>Learn more on Bing</v>
  </rv>
  <rv s="1">
    <v>en-IN</v>
    <v>ahi96h</v>
    <v>268435456</v>
    <v>1</v>
    <v>Powered by Refinitiv</v>
    <v>0</v>
    <v>INDIAN ENERGY EXCHANGE LIMITED (XNSE:IEX)</v>
    <v>2</v>
    <v>3</v>
    <v>Finance</v>
    <v>4</v>
    <v>215.4</v>
    <v>114.6</v>
    <v>1.5408999999999999</v>
    <v>3.77</v>
    <v>3.2203000000000002E-2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121.1</v>
    <v>Investment Banking &amp; Investment Services</v>
    <v>Stock</v>
    <v>46185.472037037034</v>
    <v>391</v>
    <v>118.12</v>
    <v>125667000000</v>
    <v>INDIAN ENERGY EXCHANGE LIMITED</v>
    <v>INDIAN ENERGY EXCHANGE LIMITED</v>
    <v>118.12</v>
    <v>21.8123</v>
    <v>117.07</v>
    <v>120.84</v>
    <v>891692700</v>
    <v>IEX</v>
    <v>INDIAN ENERGY EXCHANGE LIMITED (XNSE:IEX)</v>
    <v>3751542</v>
    <v>5464590</v>
    <v>2007</v>
  </rv>
  <rv s="2">
    <v>392</v>
  </rv>
  <rv s="0">
    <v>https://www.bing.com/financeapi/forcetrigger?t=ahi9kr&amp;q=XNSE%3aIGL&amp;form=skydnc</v>
    <v>Learn more on Bing</v>
  </rv>
  <rv s="1">
    <v>en-IN</v>
    <v>ahi9kr</v>
    <v>268435456</v>
    <v>1</v>
    <v>Powered by Refinitiv</v>
    <v>0</v>
    <v>INDRAPRASTHA GAS LIMITED (XNSE:IGL)</v>
    <v>2</v>
    <v>3</v>
    <v>Finance</v>
    <v>4</v>
    <v>229</v>
    <v>141.74</v>
    <v>1.0954999999999999</v>
    <v>2.72</v>
    <v>1.6914999999999999E-2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165.75</v>
    <v>Natural Gas Utilities</v>
    <v>Stock</v>
    <v>46185.472060185188</v>
    <v>394</v>
    <v>161.04</v>
    <v>253596300000</v>
    <v>INDRAPRASTHA GAS LIMITED</v>
    <v>INDRAPRASTHA GAS LIMITED</v>
    <v>161.1</v>
    <v>14.784800000000001</v>
    <v>160.80000000000001</v>
    <v>163.52000000000001</v>
    <v>1400002000</v>
    <v>IGL</v>
    <v>INDRAPRASTHA GAS LIMITED (XNSE:IGL)</v>
    <v>4504652</v>
    <v>2425240</v>
    <v>1998</v>
  </rv>
  <rv s="2">
    <v>395</v>
  </rv>
  <rv s="0">
    <v>https://www.bing.com/financeapi/forcetrigger?t=ahj4p2&amp;q=XNSE%3aNAUKRI&amp;form=skydnc</v>
    <v>Learn more on Bing</v>
  </rv>
  <rv s="1">
    <v>en-IN</v>
    <v>ahj4p2</v>
    <v>268435456</v>
    <v>1</v>
    <v>Powered by Refinitiv</v>
    <v>0</v>
    <v>INFO EDGE (INDIA) LIMITED (XNSE:NAUKRI)</v>
    <v>2</v>
    <v>3</v>
    <v>Finance</v>
    <v>4</v>
    <v>1550</v>
    <v>908.3</v>
    <v>1.3426</v>
    <v>8.4</v>
    <v>8.7159999999999998E-3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983.9</v>
    <v>Software &amp; IT Services</v>
    <v>Stock</v>
    <v>46185.472060185188</v>
    <v>397</v>
    <v>962</v>
    <v>862635900000</v>
    <v>INFO EDGE (INDIA) LIMITED</v>
    <v>INFO EDGE (INDIA) LIMITED</v>
    <v>970</v>
    <v>43.05</v>
    <v>963.8</v>
    <v>972.2</v>
    <v>647737400</v>
    <v>NAUKRI</v>
    <v>INFO EDGE (INDIA) LIMITED (XNSE:NAUKRI)</v>
    <v>1035001</v>
    <v>2174320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1.5461</v>
    <v>0.3</v>
    <v>5.7580000000000001E-4</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525.65</v>
    <v>Passenger Transportation Services</v>
    <v>Stock</v>
    <v>46185.472060185188</v>
    <v>400</v>
    <v>520.04999999999995</v>
    <v>504160000000</v>
    <v>INDIAN RAILWAY CATERING AND TOURISM CORPORATION LIMITED</v>
    <v>INDIAN RAILWAY CATERING AND TOURISM CORPORATION LIMITED</v>
    <v>524.29999999999995</v>
    <v>29.9282</v>
    <v>521.04999999999995</v>
    <v>521.35</v>
    <v>800000000</v>
    <v>IRCTC</v>
    <v>INDIAN RAILWAY CATERING AND TOURISM CORPORATION LIMITED (XNSE:IRCTC)</v>
    <v>591021</v>
    <v>874000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1.2901</v>
    <v>5.3</v>
    <v>4.921E-3</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1089.7</v>
    <v>Homebuilding &amp; Construction Supplies</v>
    <v>Stock</v>
    <v>46185.472037037034</v>
    <v>403</v>
    <v>1071.5999999999999</v>
    <v>158404300000</v>
    <v>KAJARIA CERAMICS LIMITED</v>
    <v>KAJARIA CERAMICS LIMITED</v>
    <v>1089.2</v>
    <v>35.286099999999998</v>
    <v>1077</v>
    <v>1082.3</v>
    <v>159272300</v>
    <v>KAJARIACER</v>
    <v>KAJARIA CERAMICS LIMITED (XNSE:KAJARIACER)</v>
    <v>77056</v>
    <v>181080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0.95140000000000002</v>
    <v>9.9499999999999993</v>
    <v>2.5295999999999999E-2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404.5</v>
    <v>Banking Services</v>
    <v>Stock</v>
    <v>46185.472037037034</v>
    <v>406</v>
    <v>394.95</v>
    <v>4241952000000</v>
    <v>KOTAK MAHINDRA BANK LIMITED</v>
    <v>KOTAK MAHINDRA BANK LIMITED</v>
    <v>397.75</v>
    <v>20.7972</v>
    <v>393.35</v>
    <v>403.3</v>
    <v>10946510000</v>
    <v>KOTAKBANK</v>
    <v>KOTAK MAHINDRA BANK LIMITED (XNSE:KOTAKBANK)</v>
    <v>17227481</v>
    <v>14927250</v>
    <v>1985</v>
  </rv>
  <rv s="2">
    <v>407</v>
  </rv>
  <rv s="0">
    <v>https://www.bing.com/financeapi/forcetrigger?t=ahiwfr&amp;q=XNSE%3aMASTEK&amp;form=skydnc</v>
    <v>Learn more on Bing</v>
  </rv>
  <rv s="1">
    <v>en-IN</v>
    <v>ahiwfr</v>
    <v>268435456</v>
    <v>1</v>
    <v>Powered by Refinitiv</v>
    <v>0</v>
    <v>MASTEK LIMITED (XNSE:MASTEK)</v>
    <v>2</v>
    <v>3</v>
    <v>Finance</v>
    <v>4</v>
    <v>2818</v>
    <v>1334.2</v>
    <v>1.1632</v>
    <v>2.9</v>
    <v>1.8420000000000001E-3</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1608</v>
    <v>Software &amp; IT Services</v>
    <v>Stock</v>
    <v>46185.472037037034</v>
    <v>409</v>
    <v>1560.9</v>
    <v>63057740000</v>
    <v>MASTEK LIMITED</v>
    <v>MASTEK LIMITED</v>
    <v>1591</v>
    <v>12.07</v>
    <v>1574.5</v>
    <v>1577.4</v>
    <v>31000780</v>
    <v>MASTEK</v>
    <v>MASTEK LIMITED (XNSE:MASTEK)</v>
    <v>28401</v>
    <v>85100</v>
    <v>1982</v>
  </rv>
  <rv s="2">
    <v>410</v>
  </rv>
  <rv s="0">
    <v>https://www.bing.com/financeapi/forcetrigger?t=ahiyh7&amp;q=XNSE%3aMGL&amp;form=skydnc</v>
    <v>Learn more on Bing</v>
  </rv>
  <rv s="1">
    <v>en-IN</v>
    <v>ahiyh7</v>
    <v>268435456</v>
    <v>1</v>
    <v>Powered by Refinitiv</v>
    <v>0</v>
    <v>MAHANAGAR GAS LIMITED (XNSE:MGL)</v>
    <v>2</v>
    <v>3</v>
    <v>Finance</v>
    <v>4</v>
    <v>1586.9</v>
    <v>900</v>
    <v>1.4383999999999999</v>
    <v>33.9</v>
    <v>3.1951E-2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1104.5</v>
    <v>Natural Gas Utilities</v>
    <v>Stock</v>
    <v>46185.472071759257</v>
    <v>412</v>
    <v>1066.0999999999999</v>
    <v>105099600000</v>
    <v>MAHANAGAR GAS LIMITED</v>
    <v>MAHANAGAR GAS LIMITED</v>
    <v>1076.4000000000001</v>
    <v>12.47</v>
    <v>1061</v>
    <v>1094.9000000000001</v>
    <v>98777780</v>
    <v>MGL</v>
    <v>MAHANAGAR GAS LIMITED (XNSE:MGL)</v>
    <v>269195</v>
    <v>245130</v>
    <v>1995</v>
  </rv>
  <rv s="2">
    <v>413</v>
  </rv>
  <rv s="0">
    <v>https://www.bing.com/financeapi/forcetrigger?t=ahj29c&amp;q=XNSE%3aMRF&amp;form=skydnc</v>
    <v>Learn more on Bing</v>
  </rv>
  <rv s="1">
    <v>en-IN</v>
    <v>ahj29c</v>
    <v>268435456</v>
    <v>1</v>
    <v>Powered by Refinitiv</v>
    <v>0</v>
    <v>MRF LIMITED (XNSE:MRF)</v>
    <v>2</v>
    <v>3</v>
    <v>Finance</v>
    <v>4</v>
    <v>163600</v>
    <v>122000</v>
    <v>1.0145</v>
    <v>2580</v>
    <v>2.0986999999999999E-2</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125700</v>
    <v>Automobiles &amp; Auto Parts</v>
    <v>Stock</v>
    <v>46185.472037037034</v>
    <v>415</v>
    <v>123540</v>
    <v>626459300000</v>
    <v>MRF LIMITED</v>
    <v>MRF LIMITED</v>
    <v>123590</v>
    <v>21.9953</v>
    <v>122935</v>
    <v>125515</v>
    <v>4241140</v>
    <v>MRF</v>
    <v>MRF LIMITED (XNSE:MRF)</v>
    <v>4679</v>
    <v>5880</v>
    <v>1960</v>
  </rv>
  <rv s="2">
    <v>416</v>
  </rv>
  <rv s="0">
    <v>https://www.bing.com/financeapi/forcetrigger?t=ahjnmw&amp;q=XNSE%3aRELAXO&amp;form=skydnc</v>
    <v>Learn more on Bing</v>
  </rv>
  <rv s="1">
    <v>en-IN</v>
    <v>ahjnmw</v>
    <v>268435456</v>
    <v>1</v>
    <v>Powered by Refinitiv</v>
    <v>0</v>
    <v>RELAXO FOOTWEARS LIMITED (XNSE:RELAXO)</v>
    <v>2</v>
    <v>3</v>
    <v>Finance</v>
    <v>4</v>
    <v>526</v>
    <v>236.5</v>
    <v>0.91739999999999999</v>
    <v>5.95</v>
    <v>1.7672E-2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346</v>
    <v>Textiles &amp; Apparel</v>
    <v>Stock</v>
    <v>46185.472083333334</v>
    <v>418</v>
    <v>339.35</v>
    <v>98492550000</v>
    <v>RELAXO FOOTWEARS LIMITED</v>
    <v>RELAXO FOOTWEARS LIMITED</v>
    <v>339.35</v>
    <v>46.76</v>
    <v>336.7</v>
    <v>342.65</v>
    <v>248938600</v>
    <v>RELAXO</v>
    <v>RELAXO FOOTWEARS LIMITED (XNSE:RELAXO)</v>
    <v>159462</v>
    <v>496250</v>
    <v>1984</v>
  </rv>
  <rv s="2">
    <v>419</v>
  </rv>
  <rv s="0">
    <v>https://www.bing.com/financeapi/forcetrigger?t=ahkau2&amp;q=XNSE%3aTCS&amp;form=skydnc</v>
    <v>Learn more on Bing</v>
  </rv>
  <rv s="1">
    <v>en-IN</v>
    <v>ahkau2</v>
    <v>268435456</v>
    <v>1</v>
    <v>Powered by Refinitiv</v>
    <v>0</v>
    <v>TATA CONSULTANCY SERVICES LIMITED (XNSE:TCS)</v>
    <v>2</v>
    <v>3</v>
    <v>Finance</v>
    <v>4</v>
    <v>3487.02</v>
    <v>2110</v>
    <v>1.0869</v>
    <v>25.8</v>
    <v>1.2081E-2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2168</v>
    <v>Software &amp; IT Services</v>
    <v>Stock</v>
    <v>46185.472060185188</v>
    <v>421</v>
    <v>2138</v>
    <v>11823910000000</v>
    <v>TATA CONSULTANCY SERVICES LIMITED</v>
    <v>TATA CONSULTANCY SERVICES LIMITED</v>
    <v>2150</v>
    <v>15.891400000000001</v>
    <v>2135.6</v>
    <v>2161.4</v>
    <v>3618087000</v>
    <v>TCS</v>
    <v>TATA CONSULTANCY SERVICES LIMITED (XNSE:TCS)</v>
    <v>2124656</v>
    <v>7730370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0.9375</v>
    <v>48.2</v>
    <v>2.4489E-2</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6222</v>
    <v>National Stock Exchange of India</v>
    <v>XNSE</v>
    <v>XNSE</v>
    <v>6th floor, Tower 2, Assotech Business Cresterra, Plot No.22, Sec 135, NOIDA, UTTAR PRADESH, 201305 IN</v>
    <v>2019.5</v>
    <v>Software &amp; IT Services</v>
    <v>Stock</v>
    <v>46185.472060185188</v>
    <v>424</v>
    <v>1978.1</v>
    <v>129551000000</v>
    <v>INDIAMART INTERMESH LIMITED</v>
    <v>INDIAMART INTERMESH LIMITED</v>
    <v>1978.1</v>
    <v>24.89</v>
    <v>1968.2</v>
    <v>2016.4</v>
    <v>60138660</v>
    <v>INDIAMART</v>
    <v>INDIAMART INTERMESH LIMITED (XNSE:INDIAMART)</v>
    <v>30991</v>
    <v>46040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0.84199999999999997</v>
    <v>17.5</v>
    <v>1.1531E-2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1574</v>
    <v>Textiles &amp; Apparel</v>
    <v>Stock</v>
    <v>46185.472060185188</v>
    <v>427</v>
    <v>1515.8</v>
    <v>104049800000</v>
    <v>SAFARI INDUSTRIES (INDIA) LIMITED</v>
    <v>SAFARI INDUSTRIES (INDIA) LIMITED</v>
    <v>1527.2</v>
    <v>44.781199999999998</v>
    <v>1517.6</v>
    <v>1535.1</v>
    <v>48995550</v>
    <v>SAFARI</v>
    <v>SAFARI INDUSTRIES (INDIA) LIMITED (XNSE:SAFARI)</v>
    <v>66663</v>
    <v>202840</v>
    <v>1980</v>
  </rv>
  <rv s="2">
    <v>428</v>
  </rv>
  <rv s="0">
    <v>https://www.bing.com/financeapi/forcetrigger?t=ahkldm&amp;q=XNSE%3aVIPIND&amp;form=skydnc</v>
    <v>Learn more on Bing</v>
  </rv>
  <rv s="1">
    <v>en-IN</v>
    <v>ahkldm</v>
    <v>268435456</v>
    <v>1</v>
    <v>Powered by Refinitiv</v>
    <v>0</v>
    <v>V I P INDUSTRIES LIMITED (XNSE:VIPIND)</v>
    <v>2</v>
    <v>3</v>
    <v>Finance</v>
    <v>4</v>
    <v>492.3</v>
    <v>278.25</v>
    <v>0.71179999999999999</v>
    <v>17</v>
    <v>5.7057000000000004E-2</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318.95</v>
    <v>Textiles &amp; Apparel</v>
    <v>Stock</v>
    <v>46185.472037037034</v>
    <v>430</v>
    <v>301.5</v>
    <v>53247980000</v>
    <v>V I P INDUSTRIES LIMITED</v>
    <v>V I P INDUSTRIES LIMITED</v>
    <v>301.5</v>
    <v>0</v>
    <v>297.95</v>
    <v>314.95</v>
    <v>142051800</v>
    <v>VIPIND</v>
    <v>V I P INDUSTRIES LIMITED (XNSE:VIPIND)</v>
    <v>581330</v>
    <v>3598890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0.7056</v>
    <v>10.4</v>
    <v>1.7524999999999999E-2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608.65</v>
    <v>Machinery, Equipment &amp; Components</v>
    <v>Stock</v>
    <v>46185.472037037034</v>
    <v>433</v>
    <v>595.1</v>
    <v>138971900000</v>
    <v>ELGI EQUIPMENTS LIMITED</v>
    <v>ELGI EQUIPMENTS LIMITED</v>
    <v>599.29999999999995</v>
    <v>44.324800000000003</v>
    <v>593.45000000000005</v>
    <v>603.85</v>
    <v>315241500</v>
    <v>ELGIEQUIP</v>
    <v>ELGI EQUIPMENTS LIMITED (XNSE:ELGIEQUIP)</v>
    <v>358767</v>
    <v>1260430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1.1317999999999999</v>
    <v>55.3</v>
    <v>5.5421999999999999E-2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1060</v>
    <v>Construction Materials</v>
    <v>Stock</v>
    <v>46185.472037037034</v>
    <v>436</v>
    <v>996</v>
    <v>154339000000</v>
    <v>CARBORUNDUM UNIVERSAL LIMITED</v>
    <v>CARBORUNDUM UNIVERSAL LIMITED</v>
    <v>1002</v>
    <v>96.78</v>
    <v>997.8</v>
    <v>1053.0999999999999</v>
    <v>190493500</v>
    <v>CARBORUNIV</v>
    <v>CARBORUNDUM UNIVERSAL LIMITED (XNSE:CARBORUNIV)</v>
    <v>367180</v>
    <v>253450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1.4676</v>
    <v>44</v>
    <v>2.6745999999999999E-2</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1692</v>
    <v>Banking Services</v>
    <v>Stock</v>
    <v>46185.472071759257</v>
    <v>439</v>
    <v>1649.2</v>
    <v>3211215000000</v>
    <v>BAJAJ FINSERV LIMITED</v>
    <v>BAJAJ FINSERV LIMITED</v>
    <v>1669</v>
    <v>26.75</v>
    <v>1645.1</v>
    <v>1689.1</v>
    <v>1598508000</v>
    <v>BAJAJFINSV</v>
    <v>BAJAJ FINSERV LIMITED (XNSE:BAJAJFINSV)</v>
    <v>1486234</v>
    <v>803280</v>
    <v>2007</v>
  </rv>
  <rv s="2">
    <v>440</v>
  </rv>
  <rv s="0">
    <v>https://www.bing.com/financeapi/forcetrigger?t=ahh8nm&amp;q=XNSE%3aBLS&amp;form=skydnc</v>
    <v>Learn more on Bing</v>
  </rv>
  <rv s="1">
    <v>en-IN</v>
    <v>ahh8nm</v>
    <v>268435456</v>
    <v>1</v>
    <v>Powered by Refinitiv</v>
    <v>0</v>
    <v>BLS INTERNATIONAL SERVICES LIMITED (XNSE:BLS)</v>
    <v>2</v>
    <v>3</v>
    <v>Finance</v>
    <v>4</v>
    <v>414.9</v>
    <v>218.9</v>
    <v>1.3971</v>
    <v>11.25</v>
    <v>4.4847999999999999E-2</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263.8</v>
    <v>Professional &amp; Commercial Services</v>
    <v>Stock</v>
    <v>46185.472071759257</v>
    <v>442</v>
    <v>253.05</v>
    <v>122416300000</v>
    <v>BLS INTERNATIONAL SERVICES LIMITED</v>
    <v>BLS INTERNATIONAL SERVICES LIMITED</v>
    <v>256</v>
    <v>15.04</v>
    <v>250.85</v>
    <v>262.10000000000002</v>
    <v>411522200</v>
    <v>BLS</v>
    <v>BLS INTERNATIONAL SERVICES LIMITED (XNSE:BLS)</v>
    <v>1265103</v>
    <v>1553690</v>
    <v>1983</v>
  </rv>
  <rv s="2">
    <v>443</v>
  </rv>
  <rv s="0">
    <v>https://www.bing.com/financeapi/forcetrigger?t=ahh92w&amp;q=XNSE%3aBLUESTARCO&amp;form=skydnc</v>
    <v>Learn more on Bing</v>
  </rv>
  <rv s="1">
    <v>en-IN</v>
    <v>ahh92w</v>
    <v>268435456</v>
    <v>1</v>
    <v>Powered by Refinitiv</v>
    <v>0</v>
    <v>BLUE STAR LIMITED (XNSE:BLUESTARCO)</v>
    <v>2</v>
    <v>3</v>
    <v>Finance</v>
    <v>4</v>
    <v>2040</v>
    <v>1450</v>
    <v>0.55079999999999996</v>
    <v>27</v>
    <v>1.7343000000000001E-2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1587.9</v>
    <v>Machinery, Equipment &amp; Components</v>
    <v>Stock</v>
    <v>46185.472048611111</v>
    <v>445</v>
    <v>1556.2</v>
    <v>368663600000</v>
    <v>BLUE STAR LIMITED</v>
    <v>BLUE STAR LIMITED</v>
    <v>1569.9</v>
    <v>60.69</v>
    <v>1556.8</v>
    <v>1583.8</v>
    <v>205592600</v>
    <v>BLUESTARCO</v>
    <v>BLUE STAR LIMITED (XNSE:BLUESTARCO)</v>
    <v>141096</v>
    <v>458050</v>
    <v>1949</v>
  </rv>
  <rv s="2">
    <v>446</v>
  </rv>
  <rv s="7">
    <v>12</v>
    <v>Industry</v>
    <v>0</v>
  </rv>
  <rv s="0">
    <v>https://www.bing.com/financeapi/forcetrigger?t=bp8hh7&amp;q=XNSE%3aANUP&amp;form=skydnc</v>
    <v>Learn more on Bing</v>
  </rv>
  <rv s="1">
    <v>en-IN</v>
    <v>bp8hh7</v>
    <v>268435456</v>
    <v>1</v>
    <v>Powered by Refinitiv</v>
    <v>0</v>
    <v>THE ANUP ENGINEERING LIMITED (XNSE:ANUP)</v>
    <v>2</v>
    <v>3</v>
    <v>Finance</v>
    <v>4</v>
    <v>2954.9</v>
    <v>1422.3</v>
    <v>0.57789999999999997</v>
    <v>102.4</v>
    <v>5.6929999999999994E-2</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1917</v>
    <v>Machinery, Equipment &amp; Components</v>
    <v>Stock</v>
    <v>46185.472048611111</v>
    <v>449</v>
    <v>1798.7</v>
    <v>41192710000</v>
    <v>THE ANUP ENGINEERING LIMITED</v>
    <v>THE ANUP ENGINEERING LIMITED</v>
    <v>1834.5</v>
    <v>32.630000000000003</v>
    <v>1798.7</v>
    <v>1901.1</v>
    <v>20031470</v>
    <v>ANUP</v>
    <v>THE ANUP ENGINEERING LIMITED (XNSE:ANUP)</v>
    <v>35627</v>
    <v>34000</v>
    <v>2017</v>
  </rv>
  <rv s="2">
    <v>450</v>
  </rv>
  <rv s="3">
    <v>en-IN</v>
    <v>c839c7</v>
    <v>268435456</v>
    <v>1</v>
    <v>Powered by Refinitiv</v>
    <v>5</v>
    <v>BIKAJI FOODS INTERNATIONAL LIMITED (XNSE:BIKAJI)</v>
    <v>6</v>
    <v>3</v>
    <v>Finance</v>
    <v>4</v>
    <v>818.7</v>
    <v>592.54999999999995</v>
    <v>0.96430000000000005</v>
    <v>2.15</v>
    <v>3.2009999999999999E-3</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680</v>
    <v>Food &amp; Tobacco</v>
    <v>Stock</v>
    <v>46185.472060185188</v>
    <v>667.6</v>
    <v>175790800000</v>
    <v>BIKAJI FOODS INTERNATIONAL LIMITED</v>
    <v>BIKAJI FOODS INTERNATIONAL LIMITED</v>
    <v>674</v>
    <v>65.353999999999999</v>
    <v>671.65</v>
    <v>673.8</v>
    <v>250736400</v>
    <v>BIKAJI</v>
    <v>BIKAJI FOODS INTERNATIONAL LIMITED (XNSE:BIKAJI)</v>
    <v>403915</v>
    <v>187250</v>
    <v>1995</v>
  </rv>
  <rv s="2">
    <v>452</v>
  </rv>
  <rv s="0">
    <v>https://www.bing.com/financeapi/forcetrigger?t=bwd9u2&amp;q=XNSE%3aANGELONE&amp;form=skydnc</v>
    <v>Learn more on Bing</v>
  </rv>
  <rv s="1">
    <v>en-IN</v>
    <v>bwd9u2</v>
    <v>268435456</v>
    <v>1</v>
    <v>Powered by Refinitiv</v>
    <v>0</v>
    <v>ANGEL ONE LIMITED (XNSE:ANGELONE)</v>
    <v>2</v>
    <v>3</v>
    <v>Finance</v>
    <v>4</v>
    <v>351</v>
    <v>208.63</v>
    <v>1.0935999999999999</v>
    <v>15.75</v>
    <v>4.8648999999999998E-2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340.3</v>
    <v>Investment Banking &amp; Investment Services</v>
    <v>Stock</v>
    <v>46185.472037037034</v>
    <v>454</v>
    <v>325.05</v>
    <v>221623800000</v>
    <v>ANGEL ONE LIMITED</v>
    <v>ANGEL ONE LIMITED</v>
    <v>329</v>
    <v>33.654499999999999</v>
    <v>323.75</v>
    <v>339.5</v>
    <v>913349400</v>
    <v>ANGELONE</v>
    <v>ANGEL ONE LIMITED (XNSE:ANGELONE)</v>
    <v>7318502</v>
    <v>6180180</v>
    <v>1996</v>
  </rv>
  <rv s="2">
    <v>455</v>
  </rv>
  <rv s="0">
    <v>https://www.bing.com/financeapi/forcetrigger?t=ahhcf2&amp;q=XNSE%3aCDSL&amp;form=skydnc</v>
    <v>Learn more on Bing</v>
  </rv>
  <rv s="1">
    <v>en-IN</v>
    <v>ahhcf2</v>
    <v>268435456</v>
    <v>1</v>
    <v>Powered by Refinitiv</v>
    <v>0</v>
    <v>CENTRAL DEPOSITORY SERVICES (INDIA) LIMITED (XNSE:CDSL)</v>
    <v>2</v>
    <v>3</v>
    <v>Finance</v>
    <v>4</v>
    <v>1828.9</v>
    <v>1116.3</v>
    <v>1.1987000000000001</v>
    <v>37.700000000000003</v>
    <v>3.1675000000000002E-2</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1230.4000000000001</v>
    <v>Investment Banking &amp; Investment Services</v>
    <v>Stock</v>
    <v>46185.472083333334</v>
    <v>457</v>
    <v>1202.5</v>
    <v>296759100000</v>
    <v>CENTRAL DEPOSITORY SERVICES (INDIA) LIMITED</v>
    <v>CENTRAL DEPOSITORY SERVICES (INDIA) LIMITED</v>
    <v>1210</v>
    <v>56.2483</v>
    <v>1190.2</v>
    <v>1227.9000000000001</v>
    <v>209000000</v>
    <v>CDSL</v>
    <v>CENTRAL DEPOSITORY SERVICES (INDIA) LIMITED (XNSE:CDSL)</v>
    <v>1479892</v>
    <v>1211660</v>
    <v>1997</v>
  </rv>
  <rv s="2">
    <v>458</v>
  </rv>
  <rv s="0">
    <v>https://www.bing.com/financeapi/forcetrigger?t=bwd9im&amp;q=XNSE%3aCAMS&amp;form=skydnc</v>
    <v>Learn more on Bing</v>
  </rv>
  <rv s="1">
    <v>en-IN</v>
    <v>bwd9im</v>
    <v>268435456</v>
    <v>1</v>
    <v>Powered by Refinitiv</v>
    <v>0</v>
    <v>COMPUTER AGE MANAGEMENT SERVICES LIMITED (XNSE:CAMS)</v>
    <v>2</v>
    <v>3</v>
    <v>Finance</v>
    <v>4</v>
    <v>875</v>
    <v>611.4</v>
    <v>0.89300000000000002</v>
    <v>34.9</v>
    <v>4.8293999999999997E-2</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760</v>
    <v>Professional &amp; Commercial Services</v>
    <v>Stock</v>
    <v>46185.472037037034</v>
    <v>460</v>
    <v>732.7</v>
    <v>176248600000</v>
    <v>COMPUTER AGE MANAGEMENT SERVICES LIMITED</v>
    <v>COMPUTER AGE MANAGEMENT SERVICES LIMITED</v>
    <v>734</v>
    <v>39.394199999999998</v>
    <v>722.65</v>
    <v>757.55</v>
    <v>247984500</v>
    <v>CAMS</v>
    <v>COMPUTER AGE MANAGEMENT SERVICES LIMITED (XNSE:CAMS)</v>
    <v>910431</v>
    <v>885090</v>
    <v>1988</v>
  </rv>
  <rv s="2">
    <v>461</v>
  </rv>
  <rv s="0">
    <v>https://www.bing.com/financeapi/forcetrigger?t=ahha27&amp;q=XNSE%3aBSE&amp;form=skydnc</v>
    <v>Learn more on Bing</v>
  </rv>
  <rv s="1">
    <v>en-IN</v>
    <v>ahha27</v>
    <v>268435456</v>
    <v>1</v>
    <v>Powered by Refinitiv</v>
    <v>0</v>
    <v>BSE Limited (XNSE:BSE)</v>
    <v>2</v>
    <v>3</v>
    <v>Finance</v>
    <v>4</v>
    <v>4446.8</v>
    <v>2021.5</v>
    <v>0.98240000000000005</v>
    <v>152.80000000000001</v>
    <v>3.9296999999999999E-2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4055.5</v>
    <v>Investment Banking &amp; Investment Services</v>
    <v>Stock</v>
    <v>46185.472071759257</v>
    <v>463</v>
    <v>3906.9</v>
    <v>1153471000000</v>
    <v>BSE Limited</v>
    <v>BSE Limited</v>
    <v>3950</v>
    <v>66.994399999999999</v>
    <v>3888.3</v>
    <v>4041.1</v>
    <v>407299100</v>
    <v>BSE</v>
    <v>BSE Limited (XNSE:BSE)</v>
    <v>2887848</v>
    <v>4211380</v>
    <v>2005</v>
  </rv>
  <rv s="2">
    <v>464</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0.4844</v>
    <v>56.85</v>
    <v>6.8361999999999992E-2</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890.6</v>
    <v>Investment Banking &amp; Investment Services</v>
    <v>Stock</v>
    <v>46185.472071759257</v>
    <v>466</v>
    <v>854.45</v>
    <v>503297100000</v>
    <v>MOTILAL OSWAL FINANCIAL SERVICES LIMITED</v>
    <v>MOTILAL OSWAL FINANCIAL SERVICES LIMITED</v>
    <v>854.7</v>
    <v>26.69</v>
    <v>831.6</v>
    <v>888.45</v>
    <v>601860000</v>
    <v>MOTILALOFS</v>
    <v>MOTILAL OSWAL FINANCIAL SERVICES LIMITED (XNSE:MOTILALOFS)</v>
    <v>3169428</v>
    <v>764620</v>
    <v>2005</v>
  </rv>
  <rv s="2">
    <v>467</v>
  </rv>
  <rv s="3">
    <v>en-IN</v>
    <v>c8gy3m</v>
    <v>268435456</v>
    <v>1</v>
    <v>Powered by Refinitiv</v>
    <v>5</v>
    <v>KFIN TECHNOLOGIES LIMITED (XNSE:KFINTECH)</v>
    <v>6</v>
    <v>3</v>
    <v>Finance</v>
    <v>4</v>
    <v>1388.5</v>
    <v>784.95</v>
    <v>1.2243999999999999</v>
    <v>21.1</v>
    <v>2.6192000000000003E-2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828.35</v>
    <v>Financial Technology (Fintech) &amp; Infrastructure</v>
    <v>Stock</v>
    <v>46185.472060185188</v>
    <v>808</v>
    <v>181913300000</v>
    <v>KFIN TECHNOLOGIES LIMITED</v>
    <v>KFIN TECHNOLOGIES LIMITED</v>
    <v>816.8</v>
    <v>40.46</v>
    <v>805.6</v>
    <v>826.7</v>
    <v>172827600</v>
    <v>KFINTECH</v>
    <v>KFIN TECHNOLOGIES LIMITED (XNSE:KFINTECH)</v>
    <v>693963</v>
    <v>908570</v>
    <v>2017</v>
  </rv>
  <rv s="2">
    <v>469</v>
  </rv>
  <rv s="3">
    <v>en-IN</v>
    <v>ca9dw7</v>
    <v>268435456</v>
    <v>1</v>
    <v>Powered by Refinitiv</v>
    <v>5</v>
    <v>IDEAFORGE TECHNOLOGY LIMITED (XNSE:IDEAFORGE)</v>
    <v>6</v>
    <v>3</v>
    <v>Finance</v>
    <v>4</v>
    <v>992.25</v>
    <v>366</v>
    <v>1.458</v>
    <v>-1.8</v>
    <v>-2.0669999999999998E-3</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900</v>
    <v>Aerospace &amp; Defense</v>
    <v>Stock</v>
    <v>46185.472071759257</v>
    <v>852.3</v>
    <v>20236240000</v>
    <v>IDEAFORGE TECHNOLOGY LIMITED</v>
    <v>IDEAFORGE TECHNOLOGY LIMITED</v>
    <v>880.2</v>
    <v>0</v>
    <v>870.9</v>
    <v>869.1</v>
    <v>43388900</v>
    <v>IDEAFORGE</v>
    <v>IDEAFORGE TECHNOLOGY LIMITED (XNSE:IDEAFORGE)</v>
    <v>335109</v>
    <v>423980</v>
    <v>2007</v>
  </rv>
  <rv s="2">
    <v>471</v>
  </rv>
  <rv s="0">
    <v>http://en.wikipedia.org/wiki/Oil_India</v>
    <v>Wikipedia</v>
  </rv>
  <rv s="4">
    <v>339</v>
    <v>473</v>
  </rv>
  <rv s="5">
    <v>11</v>
    <v>https://www.bing.com/th?id=AMMS_c95bda5ece615d354bb4f1ba57fc6de6&amp;qlt=95</v>
    <v>474</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0.85050000000000003</v>
    <v>-11.55</v>
    <v>-2.6901000000000001E-2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426.95</v>
    <v>475</v>
    <v>Oil &amp; Gas</v>
    <v>Stock</v>
    <v>46185.472071759257</v>
    <v>476</v>
    <v>414.5</v>
    <v>728557600000</v>
    <v>OIL INDIA LIMITED</v>
    <v>OIL INDIA LIMITED</v>
    <v>426.85</v>
    <v>10.55</v>
    <v>429.35</v>
    <v>417.8</v>
    <v>1626608000</v>
    <v>OIL</v>
    <v>OIL INDIA LIMITED (XNSE:OIL)</v>
    <v>6568325</v>
    <v>5806430</v>
    <v>1959</v>
  </rv>
  <rv s="2">
    <v>477</v>
  </rv>
  <rv s="0">
    <v>https://www.bing.com/financeapi/forcetrigger?t=ahhzcw&amp;q=XNSE%3aGRINDWELL&amp;form=skydnc</v>
    <v>Learn more on Bing</v>
  </rv>
  <rv s="1">
    <v>en-IN</v>
    <v>ahhzcw</v>
    <v>268435456</v>
    <v>1</v>
    <v>Powered by Refinitiv</v>
    <v>0</v>
    <v>GRINDWELL NORTON LIMITED (XNSE:GRINDWELL)</v>
    <v>2</v>
    <v>3</v>
    <v>Finance</v>
    <v>4</v>
    <v>2002.7</v>
    <v>1329</v>
    <v>1.1480999999999999</v>
    <v>25.8</v>
    <v>1.3613E-2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1930</v>
    <v>Machinery, Equipment &amp; Components</v>
    <v>Stock</v>
    <v>46185.472060185188</v>
    <v>479</v>
    <v>1898.1</v>
    <v>174682900000</v>
    <v>GRINDWELL NORTON LIMITED</v>
    <v>GRINDWELL NORTON LIMITED</v>
    <v>1924</v>
    <v>51.226700000000001</v>
    <v>1895.2</v>
    <v>1921</v>
    <v>110720000</v>
    <v>GRINDWELL</v>
    <v>GRINDWELL NORTON LIMITED (XNSE:GRINDWELL)</v>
    <v>26485</v>
    <v>75980</v>
    <v>1950</v>
  </rv>
  <rv s="2">
    <v>480</v>
  </rv>
  <rv s="0">
    <v>https://www.bing.com/financeapi/forcetrigger?t=ahj9zr&amp;q=XNSE%3aONGC&amp;form=skydnc</v>
    <v>Learn more on Bing</v>
  </rv>
  <rv s="1">
    <v>en-IN</v>
    <v>ahj9zr</v>
    <v>268435456</v>
    <v>1</v>
    <v>Powered by Refinitiv</v>
    <v>0</v>
    <v>OIL AND NATURAL GAS CORPORATION LIMITED (XNSE:ONGC)</v>
    <v>2</v>
    <v>3</v>
    <v>Finance</v>
    <v>4</v>
    <v>307.5</v>
    <v>228.61</v>
    <v>0.60589999999999999</v>
    <v>-6.4</v>
    <v>-2.5337000000000002E-2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250.85</v>
    <v>Oil &amp; Gas</v>
    <v>Stock</v>
    <v>46185.472037037034</v>
    <v>482</v>
    <v>243.35</v>
    <v>3066821000000</v>
    <v>OIL AND NATURAL GAS CORPORATION LIMITED</v>
    <v>OIL AND NATURAL GAS CORPORATION LIMITED</v>
    <v>250.3</v>
    <v>7.4764999999999997</v>
    <v>252.6</v>
    <v>246.2</v>
    <v>12580280000</v>
    <v>ONGC</v>
    <v>OIL AND NATURAL GAS CORPORATION LIMITED (XNSE:ONGC)</v>
    <v>31112657</v>
    <v>17912360</v>
    <v>1993</v>
  </rv>
  <rv s="2">
    <v>483</v>
  </rv>
  <rv s="0">
    <v>https://www.bing.com/financeapi/forcetrigger?t=bspynm&amp;q=XNSE%3aAPOLLOPIPE&amp;form=skydnc</v>
    <v>Learn more on Bing</v>
  </rv>
  <rv s="1">
    <v>en-IN</v>
    <v>bspynm</v>
    <v>268435456</v>
    <v>1</v>
    <v>Powered by Refinitiv</v>
    <v>0</v>
    <v>APOLLO PIPES LIMITED (XNSE:APOLLOPIPE)</v>
    <v>2</v>
    <v>3</v>
    <v>Finance</v>
    <v>4</v>
    <v>554</v>
    <v>252.1</v>
    <v>0.72440000000000004</v>
    <v>16.350000000000001</v>
    <v>3.4159000000000002E-2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498.15</v>
    <v>Homebuilding &amp; Construction Supplies</v>
    <v>Stock</v>
    <v>46185.472060185188</v>
    <v>485</v>
    <v>482.05</v>
    <v>12778790000</v>
    <v>APOLLO PIPES LIMITED</v>
    <v>APOLLO PIPES LIMITED</v>
    <v>483</v>
    <v>291.08</v>
    <v>478.65</v>
    <v>495</v>
    <v>43919360</v>
    <v>APOLLOPIPE</v>
    <v>APOLLO PIPES LIMITED (XNSE:APOLLOPIPE)</v>
    <v>96695</v>
    <v>174840</v>
    <v>1985</v>
  </rv>
  <rv s="2">
    <v>486</v>
  </rv>
  <rv s="0">
    <v>https://www.bing.com/financeapi/forcetrigger?t=ahi5f2&amp;q=XNSE%3aHINDCOPPER&amp;form=skydnc</v>
    <v>Learn more on Bing</v>
  </rv>
  <rv s="1">
    <v>en-IN</v>
    <v>ahi5f2</v>
    <v>268435456</v>
    <v>1</v>
    <v>Powered by Refinitiv</v>
    <v>0</v>
    <v>HINDUSTAN COPPER LTD (XNSE:HINDCOPPER)</v>
    <v>2</v>
    <v>3</v>
    <v>Finance</v>
    <v>4</v>
    <v>760.05</v>
    <v>226.7</v>
    <v>1.528</v>
    <v>10.75</v>
    <v>2.1531999999999999E-2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516.85</v>
    <v>Metals &amp; Mining</v>
    <v>Stock</v>
    <v>46185.472071759257</v>
    <v>488</v>
    <v>507.5</v>
    <v>521661100000</v>
    <v>HINDUSTAN COPPER LTD</v>
    <v>HINDUSTAN COPPER LTD</v>
    <v>512.95000000000005</v>
    <v>52.61</v>
    <v>499.25</v>
    <v>510</v>
    <v>967024000</v>
    <v>HINDCOPPER</v>
    <v>HINDUSTAN COPPER LTD (XNSE:HINDCOPPER)</v>
    <v>3847391</v>
    <v>3492920</v>
    <v>1967</v>
  </rv>
  <rv s="2">
    <v>489</v>
  </rv>
  <rv s="0">
    <v>https://www.bing.com/financeapi/forcetrigger?t=ayp6zr&amp;q=XNSE%3aAPOLLO&amp;form=skydnc</v>
    <v>Learn more on Bing</v>
  </rv>
  <rv s="1">
    <v>en-IN</v>
    <v>ayp6zr</v>
    <v>268435456</v>
    <v>1</v>
    <v>Powered by Refinitiv</v>
    <v>0</v>
    <v>APOLLO MICRO SYSTEMS LIMITED (XNSE:APOLLO)</v>
    <v>2</v>
    <v>3</v>
    <v>Finance</v>
    <v>4</v>
    <v>446.9</v>
    <v>162.34</v>
    <v>1.2137</v>
    <v>27.65</v>
    <v>7.2430000000000008E-2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411</v>
    <v>Aerospace &amp; Defense</v>
    <v>Stock</v>
    <v>46185.472037037034</v>
    <v>491</v>
    <v>387.1</v>
    <v>88930090000</v>
    <v>APOLLO MICRO SYSTEMS LIMITED</v>
    <v>APOLLO MICRO SYSTEMS LIMITED</v>
    <v>389</v>
    <v>116.74</v>
    <v>381.75</v>
    <v>409.4</v>
    <v>360690800</v>
    <v>APOLLO</v>
    <v>APOLLO MICRO SYSTEMS LIMITED (XNSE:APOLLO)</v>
    <v>24583322</v>
    <v>28520970</v>
    <v>1997</v>
  </rv>
  <rv s="2">
    <v>492</v>
  </rv>
  <rv s="0">
    <v>https://www.bing.com/financeapi/forcetrigger?t=ahi4oc&amp;q=XNSE%3aHFCL&amp;form=skydnc</v>
    <v>Learn more on Bing</v>
  </rv>
  <rv s="1">
    <v>en-IN</v>
    <v>ahi4oc</v>
    <v>268435456</v>
    <v>1</v>
    <v>Powered by Refinitiv</v>
    <v>0</v>
    <v>HFCL LIMITED (XNSE:HFCL)</v>
    <v>2</v>
    <v>3</v>
    <v>Finance</v>
    <v>4</v>
    <v>208.98</v>
    <v>59.82</v>
    <v>1.5178</v>
    <v>8.18</v>
    <v>4.9976E-2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171.86</v>
    <v>Communications &amp; Networking</v>
    <v>Stock</v>
    <v>46185.472083333334</v>
    <v>494</v>
    <v>169.01</v>
    <v>90391200000</v>
    <v>HFCL LIMITED</v>
    <v>HFCL LIMITED</v>
    <v>170</v>
    <v>76.849999999999994</v>
    <v>163.68</v>
    <v>171.86</v>
    <v>1530264000</v>
    <v>HFCL</v>
    <v>HFCL LIMITED (XNSE:HFCL)</v>
    <v>9299089</v>
    <v>56463990</v>
    <v>1987</v>
  </rv>
  <rv s="2">
    <v>495</v>
  </rv>
  <rv s="0">
    <v>https://www.bing.com/financeapi/forcetrigger?t=ahh1k2&amp;q=XNSE%3aAUROPHARMA&amp;form=skydnc</v>
    <v>Learn more on Bing</v>
  </rv>
  <rv s="1">
    <v>en-IN</v>
    <v>ahh1k2</v>
    <v>268435456</v>
    <v>1</v>
    <v>Powered by Refinitiv</v>
    <v>0</v>
    <v>AUROBINDO PHARMA LTD (XNSE:AUROPHARMA)</v>
    <v>2</v>
    <v>3</v>
    <v>Finance</v>
    <v>4</v>
    <v>1550</v>
    <v>1016.1</v>
    <v>0.59750000000000003</v>
    <v>8.6999999999999993</v>
    <v>5.9419999999999994E-3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1481</v>
    <v>Pharmaceuticals</v>
    <v>Stock</v>
    <v>46185.472037037034</v>
    <v>497</v>
    <v>1462.5</v>
    <v>678202100000</v>
    <v>AUROBINDO PHARMA LTD</v>
    <v>AUROBINDO PHARMA LTD</v>
    <v>1479</v>
    <v>24.26</v>
    <v>1464.1</v>
    <v>1472.8</v>
    <v>575377900</v>
    <v>AUROPHARMA</v>
    <v>AUROBINDO PHARMA LTD (XNSE:AUROPHARMA)</v>
    <v>669347</v>
    <v>982380</v>
    <v>1986</v>
  </rv>
  <rv s="2">
    <v>498</v>
  </rv>
  <rv s="0">
    <v>https://www.bing.com/financeapi/forcetrigger?t=ahjuw7&amp;q=XNSE%3aSELAN&amp;form=skydnc</v>
    <v>Learn more on Bing</v>
  </rv>
  <rv s="1">
    <v>en-IN</v>
    <v>ahjuw7</v>
    <v>268435456</v>
    <v>1</v>
    <v>Powered by Refinitiv</v>
    <v>0</v>
    <v>ANTELOPUS SELAN ENERGY LIMITED (XNSE:ANTELOPUS)</v>
    <v>2</v>
    <v>3</v>
    <v>Finance</v>
    <v>4</v>
    <v>933.65</v>
    <v>357</v>
    <v>0.81120000000000003</v>
    <v>-23.1</v>
    <v>-2.6870999999999999E-2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883.8</v>
    <v>Oil &amp; Gas</v>
    <v>Stock</v>
    <v>46185.472060185188</v>
    <v>500</v>
    <v>826.9</v>
    <v>12932710000</v>
    <v>ANTELOPUS SELAN ENERGY LIMITED</v>
    <v>ANTELOPUS SELAN ENERGY LIMITED</v>
    <v>857.9</v>
    <v>33.74</v>
    <v>859.65</v>
    <v>836.55</v>
    <v>35162360</v>
    <v>ANTELOPUS</v>
    <v>ANTELOPUS SELAN ENERGY LIMITED (XNSE:ANTELOPUS)</v>
    <v>162842</v>
    <v>150900</v>
    <v>1985</v>
  </rv>
  <rv s="2">
    <v>501</v>
  </rv>
  <rv s="0">
    <v>https://www.bing.com/financeapi/forcetrigger?t=ahhbzr&amp;q=XNSE%3aCARERATING&amp;form=skydnc</v>
    <v>Learn more on Bing</v>
  </rv>
  <rv s="1">
    <v>en-IN</v>
    <v>ahhbzr</v>
    <v>268435456</v>
    <v>1</v>
    <v>Powered by Refinitiv</v>
    <v>0</v>
    <v>CARE RATINGS LIMITED (XNSE:CARERATING)</v>
    <v>2</v>
    <v>3</v>
    <v>Finance</v>
    <v>4</v>
    <v>1964</v>
    <v>1392.7</v>
    <v>0.35749999999999998</v>
    <v>27.1</v>
    <v>1.6949000000000002E-2</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608</v>
    <v>National Stock Exchange of India</v>
    <v>XNSE</v>
    <v>XNSE</v>
    <v>4th Floor, Godrej Coliseum, Somaiya Hospital Road, Off Eastern Express Highway, Sion (East), MUMBAI, MAHARASHTRA, 400022 IN</v>
    <v>1635</v>
    <v>Professional &amp; Commercial Services</v>
    <v>Stock</v>
    <v>46185.472094907411</v>
    <v>503</v>
    <v>1600</v>
    <v>48625760000</v>
    <v>CARE RATINGS LIMITED</v>
    <v>CARE RATINGS LIMITED</v>
    <v>1605</v>
    <v>28.4956</v>
    <v>1598.9</v>
    <v>1626</v>
    <v>30060410</v>
    <v>CARERATING</v>
    <v>CARE RATINGS LIMITED (XNSE:CARERATING)</v>
    <v>18144</v>
    <v>39360</v>
    <v>1993</v>
  </rv>
  <rv s="2">
    <v>504</v>
  </rv>
  <rv s="0">
    <v>https://www.bing.com/financeapi/forcetrigger?t=ahhaur&amp;q=XNSE%3aZYDUSLIFE&amp;form=skydnc</v>
    <v>Learn more on Bing</v>
  </rv>
  <rv s="1">
    <v>en-IN</v>
    <v>ahhaur</v>
    <v>268435456</v>
    <v>1</v>
    <v>Powered by Refinitiv</v>
    <v>0</v>
    <v>ZYDUS LIFESCIENCES LIMITED (XNSE:ZYDUSLIFE)</v>
    <v>2</v>
    <v>3</v>
    <v>Finance</v>
    <v>4</v>
    <v>1119.8</v>
    <v>835.5</v>
    <v>0.51519999999999999</v>
    <v>-1.2</v>
    <v>-1.085E-3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1118</v>
    <v>Pharmaceuticals</v>
    <v>Stock</v>
    <v>46185.472048611111</v>
    <v>506</v>
    <v>1101.7</v>
    <v>906314900000</v>
    <v>ZYDUS LIFESCIENCES LIMITED</v>
    <v>ZYDUS LIFESCIENCES LIMITED</v>
    <v>1113.2</v>
    <v>22.049900000000001</v>
    <v>1105.9000000000001</v>
    <v>1104.7</v>
    <v>1006234000</v>
    <v>ZYDUSLIFE</v>
    <v>ZYDUS LIFESCIENCES LIMITED (XNSE:ZYDUSLIFE)</v>
    <v>872151</v>
    <v>1535740</v>
    <v>1995</v>
  </rv>
  <rv s="2">
    <v>507</v>
  </rv>
  <rv s="0">
    <v>https://www.bing.com/financeapi/forcetrigger?t=ahixf2&amp;q=XNSE%3aMCLEODRUSS&amp;form=skydnc</v>
    <v>Learn more on Bing</v>
  </rv>
  <rv s="1">
    <v>en-IN</v>
    <v>ahixf2</v>
    <v>268435456</v>
    <v>1</v>
    <v>Powered by Refinitiv</v>
    <v>0</v>
    <v>MCLEOD RUSSEL INDIA LIMITED (XNSE:MCLEODRUSS)</v>
    <v>2</v>
    <v>3</v>
    <v>Finance</v>
    <v>4</v>
    <v>78.41</v>
    <v>28.5</v>
    <v>1.6652</v>
    <v>-1.3</v>
    <v>-1.9872000000000001E-2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64.12</v>
    <v>Food &amp; Tobacco</v>
    <v>Stock</v>
    <v>46185.472060185188</v>
    <v>509</v>
    <v>64.12</v>
    <v>4783028000</v>
    <v>MCLEOD RUSSEL INDIA LIMITED</v>
    <v>MCLEOD RUSSEL INDIA LIMITED</v>
    <v>64.12</v>
    <v>0</v>
    <v>65.42</v>
    <v>64.12</v>
    <v>104455700</v>
    <v>MCLEODRUSS</v>
    <v>MCLEOD RUSSEL INDIA LIMITED (XNSE:MCLEODRUSS)</v>
    <v>198727</v>
    <v>226050</v>
    <v>1998</v>
  </rv>
  <rv s="2">
    <v>510</v>
  </rv>
  <rv s="0">
    <v>https://www.bing.com/financeapi/forcetrigger?t=ahgt7w&amp;q=XNSE%3aAJANTPHARM&amp;form=skydnc</v>
    <v>Learn more on Bing</v>
  </rv>
  <rv s="1">
    <v>en-IN</v>
    <v>ahgt7w</v>
    <v>268435456</v>
    <v>1</v>
    <v>Powered by Refinitiv</v>
    <v>0</v>
    <v>AJANTA PHARMA LIMITED (XNSE:AJANTPHARM)</v>
    <v>2</v>
    <v>3</v>
    <v>Finance</v>
    <v>4</v>
    <v>3314.9</v>
    <v>2329.9</v>
    <v>0.60129999999999995</v>
    <v>-12.4</v>
    <v>-3.9450000000000006E-3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3178.9</v>
    <v>Pharmaceuticals</v>
    <v>Stock</v>
    <v>46185.472048611111</v>
    <v>512</v>
    <v>3110</v>
    <v>341149200000</v>
    <v>AJANTA PHARMA LIMITED</v>
    <v>AJANTA PHARMA LIMITED</v>
    <v>3178.9</v>
    <v>37.040100000000002</v>
    <v>3143.4</v>
    <v>3131</v>
    <v>124935600</v>
    <v>AJANTPHARM</v>
    <v>AJANTA PHARMA LIMITED (XNSE:AJANTPHARM)</v>
    <v>80576</v>
    <v>157620</v>
    <v>1979</v>
  </rv>
  <rv s="2">
    <v>513</v>
  </rv>
  <rv s="0">
    <v>https://www.bing.com/financeapi/forcetrigger?t=ahixw7&amp;q=XNSE%3aMENONBE&amp;form=skydnc</v>
    <v>Learn more on Bing</v>
  </rv>
  <rv s="1">
    <v>en-IN</v>
    <v>ahixw7</v>
    <v>268435456</v>
    <v>1</v>
    <v>Powered by Refinitiv</v>
    <v>0</v>
    <v>MENON BEARINGS LIMITED (XNSE:MENONBE)</v>
    <v>2</v>
    <v>3</v>
    <v>Finance</v>
    <v>4</v>
    <v>183</v>
    <v>101.5</v>
    <v>0.65959999999999996</v>
    <v>0.89</v>
    <v>5.3530000000000001E-3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171.37</v>
    <v>Automobiles &amp; Auto Parts</v>
    <v>Stock</v>
    <v>46185.472048611111</v>
    <v>515</v>
    <v>165.31</v>
    <v>7107553000</v>
    <v>MENON BEARINGS LIMITED</v>
    <v>MENON BEARINGS LIMITED</v>
    <v>167.8</v>
    <v>24.38</v>
    <v>166.26</v>
    <v>167.15</v>
    <v>56040000</v>
    <v>MENONBE</v>
    <v>MENON BEARINGS LIMITED (XNSE:MENONBE)</v>
    <v>296192</v>
    <v>666940</v>
    <v>1991</v>
  </rv>
  <rv s="2">
    <v>516</v>
  </rv>
  <rv s="0">
    <v>https://www.bing.com/financeapi/forcetrigger?t=ahjvmw&amp;q=XNSE%3aSFL&amp;form=skydnc</v>
    <v>Learn more on Bing</v>
  </rv>
  <rv s="1">
    <v>en-IN</v>
    <v>ahjvmw</v>
    <v>268435456</v>
    <v>1</v>
    <v>Powered by Refinitiv</v>
    <v>0</v>
    <v>SHEELA FOAM LIMITED (XNSE:SFL)</v>
    <v>2</v>
    <v>3</v>
    <v>Finance</v>
    <v>4</v>
    <v>769.9</v>
    <v>456.8</v>
    <v>0.69130000000000003</v>
    <v>23.2</v>
    <v>3.4099999999999998E-2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708.45</v>
    <v>Household Goods</v>
    <v>Stock</v>
    <v>46185.472071759257</v>
    <v>518</v>
    <v>674</v>
    <v>61927090000</v>
    <v>SHEELA FOAM LIMITED</v>
    <v>SHEELA FOAM LIMITED</v>
    <v>687.3</v>
    <v>47.893099999999997</v>
    <v>680.35</v>
    <v>703.55</v>
    <v>109203300</v>
    <v>SFL</v>
    <v>SHEELA FOAM LIMITED (XNSE:SFL)</v>
    <v>271377</v>
    <v>451400</v>
    <v>1971</v>
  </rv>
  <rv s="2">
    <v>519</v>
  </rv>
  <rv s="3">
    <v>en-IN</v>
    <v>c839hw</v>
    <v>268435456</v>
    <v>1</v>
    <v>Powered by Refinitiv</v>
    <v>5</v>
    <v>GLOBAL HEALTH LIMITED (XNSE:MEDANTA)</v>
    <v>6</v>
    <v>3</v>
    <v>Finance</v>
    <v>4</v>
    <v>1456.5</v>
    <v>956</v>
    <v>0.49459999999999998</v>
    <v>6</v>
    <v>4.8820000000000001E-3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1244.7</v>
    <v>Healthcare Providers &amp; Services</v>
    <v>Stock</v>
    <v>46185.472060185188</v>
    <v>1216.0999999999999</v>
    <v>313849100000</v>
    <v>GLOBAL HEALTH LIMITED</v>
    <v>GLOBAL HEALTH LIMITED</v>
    <v>1241</v>
    <v>59.637900000000002</v>
    <v>1229.0999999999999</v>
    <v>1235.0999999999999</v>
    <v>269070700</v>
    <v>MEDANTA</v>
    <v>GLOBAL HEALTH LIMITED (XNSE:MEDANTA)</v>
    <v>247598</v>
    <v>217480</v>
    <v>2004</v>
  </rv>
  <rv s="2">
    <v>521</v>
  </rv>
  <rv s="3">
    <v>en-IN</v>
    <v>c9qntc</v>
    <v>268435456</v>
    <v>1</v>
    <v>Powered by Refinitiv</v>
    <v>5</v>
    <v>MANKIND PHARMA LIMITED (XNSE:MANKIND)</v>
    <v>6</v>
    <v>3</v>
    <v>Finance</v>
    <v>4</v>
    <v>2716.5</v>
    <v>1909.7</v>
    <v>0.502</v>
    <v>8.4</v>
    <v>3.5399999999999997E-3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2419</v>
    <v>Pharmaceuticals</v>
    <v>Stock</v>
    <v>46185.472071759257</v>
    <v>2368.1</v>
    <v>913909100000</v>
    <v>MANKIND PHARMA LIMITED</v>
    <v>MANKIND PHARMA LIMITED</v>
    <v>2419</v>
    <v>51.372199999999999</v>
    <v>2372.6999999999998</v>
    <v>2381.1</v>
    <v>412996000</v>
    <v>MANKIND</v>
    <v>MANKIND PHARMA LIMITED (XNSE:MANKIND)</v>
    <v>286099</v>
    <v>415470</v>
    <v>1991</v>
  </rv>
  <rv s="2">
    <v>523</v>
  </rv>
  <rv s="0">
    <v>https://www.bing.com/financeapi/forcetrigger?t=ahidnm&amp;q=XNSE%3aIPCALAB&amp;form=skydnc</v>
    <v>Learn more on Bing</v>
  </rv>
  <rv s="1">
    <v>en-IN</v>
    <v>ahidnm</v>
    <v>268435456</v>
    <v>1</v>
    <v>Powered by Refinitiv</v>
    <v>0</v>
    <v>IPCA LABORATORIES LIMITED (XNSE:IPCALAB)</v>
    <v>2</v>
    <v>3</v>
    <v>Finance</v>
    <v>4</v>
    <v>1678.3</v>
    <v>1251.5999999999999</v>
    <v>0.45269999999999999</v>
    <v>-30.6</v>
    <v>-1.8964000000000002E-2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1640</v>
    <v>Pharmaceuticals</v>
    <v>Stock</v>
    <v>46185.472037037034</v>
    <v>525</v>
    <v>1568.6</v>
    <v>382535200000</v>
    <v>IPCA LABORATORIES LIMITED</v>
    <v>IPCA LABORATORIES LIMITED</v>
    <v>1629.8</v>
    <v>35.869999999999997</v>
    <v>1613.6</v>
    <v>1583</v>
    <v>253704200</v>
    <v>IPCALAB</v>
    <v>IPCA LABORATORIES LIMITED (XNSE:IPCALAB)</v>
    <v>131987</v>
    <v>384540</v>
    <v>1949</v>
  </rv>
  <rv s="2">
    <v>526</v>
  </rv>
  <rv s="0">
    <v>https://www.bing.com/financeapi/forcetrigger?t=ahj827&amp;q=XNSE%3aNLCINDIA&amp;form=skydnc</v>
    <v>Learn more on Bing</v>
  </rv>
  <rv s="1">
    <v>en-IN</v>
    <v>ahj827</v>
    <v>268435456</v>
    <v>1</v>
    <v>Powered by Refinitiv</v>
    <v>0</v>
    <v>NLC INDIA LIMITED (XNSE:NLCINDIA)</v>
    <v>2</v>
    <v>3</v>
    <v>Finance</v>
    <v>4</v>
    <v>387.8</v>
    <v>220.71</v>
    <v>1.1923999999999999</v>
    <v>5.95</v>
    <v>1.9172000000000002E-2</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319.85000000000002</v>
    <v>Electrical Utilities &amp; IPPs</v>
    <v>Stock</v>
    <v>46185.472048611111</v>
    <v>528</v>
    <v>311.60000000000002</v>
    <v>354077700000</v>
    <v>NLC INDIA LIMITED</v>
    <v>NLC INDIA LIMITED</v>
    <v>316.05</v>
    <v>11.913399999999999</v>
    <v>310.35000000000002</v>
    <v>316.3</v>
    <v>1386637000</v>
    <v>NLCINDIA</v>
    <v>NLC INDIA LIMITED (XNSE:NLCINDIA)</v>
    <v>10815654</v>
    <v>10952910</v>
    <v>1956</v>
  </rv>
  <rv s="2">
    <v>529</v>
  </rv>
  <rv s="0">
    <v>https://www.bing.com/financeapi/forcetrigger?t=ahiw77&amp;q=XNSE%3aMARKSANS&amp;form=skydnc</v>
    <v>Learn more on Bing</v>
  </rv>
  <rv s="1">
    <v>en-IN</v>
    <v>ahiw77</v>
    <v>268435456</v>
    <v>1</v>
    <v>Powered by Refinitiv</v>
    <v>0</v>
    <v>MARKSANS PHARMA LIMITED (XNSE:MARKSANS)</v>
    <v>2</v>
    <v>3</v>
    <v>Finance</v>
    <v>4</v>
    <v>270.7</v>
    <v>155</v>
    <v>1.5</v>
    <v>2.54</v>
    <v>1.0166999999999999E-2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260</v>
    <v>Pharmaceuticals</v>
    <v>Stock</v>
    <v>46185.472060185188</v>
    <v>531</v>
    <v>248.21</v>
    <v>78646570000</v>
    <v>MARKSANS PHARMA LIMITED</v>
    <v>MARKSANS PHARMA LIMITED</v>
    <v>253</v>
    <v>27.07</v>
    <v>249.83</v>
    <v>252.37</v>
    <v>453163800</v>
    <v>MARKSANS</v>
    <v>MARKSANS PHARMA LIMITED (XNSE:MARKSANS)</v>
    <v>2543587</v>
    <v>3009850</v>
    <v>1992</v>
  </rv>
  <rv s="2">
    <v>532</v>
  </rv>
  <rv s="0">
    <v>https://www.bing.com/financeapi/forcetrigger?t=b1ntur&amp;q=XNSE%3aSOLARA&amp;form=skydnc</v>
    <v>Learn more on Bing</v>
  </rv>
  <rv s="1">
    <v>en-IN</v>
    <v>b1ntur</v>
    <v>268435456</v>
    <v>1</v>
    <v>Powered by Refinitiv</v>
    <v>0</v>
    <v>SOLARA ACTIVE PHARMA SCIENCES LIMITED (XNSE:SOLARA)</v>
    <v>2</v>
    <v>3</v>
    <v>Finance</v>
    <v>4</v>
    <v>734.4</v>
    <v>422</v>
    <v>1.6069</v>
    <v>27.85</v>
    <v>4.7958999999999995E-2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619.9</v>
    <v>Pharmaceuticals</v>
    <v>Stock</v>
    <v>46185.472037037034</v>
    <v>534</v>
    <v>581.04999999999995</v>
    <v>25036230000</v>
    <v>SOLARA ACTIVE PHARMA SCIENCES LIMITED</v>
    <v>SOLARA ACTIVE PHARMA SCIENCES LIMITED</v>
    <v>581.04999999999995</v>
    <v>0</v>
    <v>580.70000000000005</v>
    <v>608.54999999999995</v>
    <v>48173760</v>
    <v>SOLARA</v>
    <v>SOLARA ACTIVE PHARMA SCIENCES LIMITED (XNSE:SOLARA)</v>
    <v>664223</v>
    <v>549050</v>
    <v>2017</v>
  </rv>
  <rv s="2">
    <v>535</v>
  </rv>
  <rv s="0">
    <v>https://www.bing.com/financeapi/forcetrigger?t=btjqa2&amp;q=XNSE%3aARTEMISMED&amp;form=skydnc</v>
    <v>Learn more on Bing</v>
  </rv>
  <rv s="1">
    <v>en-IN</v>
    <v>btjqa2</v>
    <v>268435456</v>
    <v>1</v>
    <v>Powered by Refinitiv</v>
    <v>0</v>
    <v>ARTEMIS MEDICARE SERVICES LIMITED (XNSE:ARTEMISMED)</v>
    <v>2</v>
    <v>3</v>
    <v>Finance</v>
    <v>4</v>
    <v>297.5</v>
    <v>203.35</v>
    <v>1.8808</v>
    <v>7.85</v>
    <v>3.0815000000000002E-2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265.35000000000002</v>
    <v>Healthcare Providers &amp; Services</v>
    <v>Stock</v>
    <v>46185.472071759257</v>
    <v>537</v>
    <v>258.25</v>
    <v>40550140000</v>
    <v>ARTEMIS MEDICARE SERVICES LIMITED</v>
    <v>ARTEMIS MEDICARE SERVICES LIMITED</v>
    <v>261.85000000000002</v>
    <v>40.030500000000004</v>
    <v>254.75</v>
    <v>262.60000000000002</v>
    <v>158306200</v>
    <v>ARTEMISMED</v>
    <v>ARTEMIS MEDICARE SERVICES LIMITED (XNSE:ARTEMISMED)</v>
    <v>215595</v>
    <v>131150</v>
    <v>2004</v>
  </rv>
  <rv s="2">
    <v>538</v>
  </rv>
  <rv s="0">
    <v>https://www.bing.com/financeapi/forcetrigger?t=ahjtzr&amp;q=XNSE%3aSATIN&amp;form=skydnc</v>
    <v>Learn more on Bing</v>
  </rv>
  <rv s="1">
    <v>en-IN</v>
    <v>ahjtzr</v>
    <v>268435456</v>
    <v>1</v>
    <v>Powered by Refinitiv</v>
    <v>0</v>
    <v>SATIN CREDITCARE NETWORK LIMITED (XNSE:SATIN)</v>
    <v>2</v>
    <v>3</v>
    <v>Finance</v>
    <v>4</v>
    <v>247</v>
    <v>133.01</v>
    <v>1.0702</v>
    <v>6.63</v>
    <v>3.0179000000000001E-2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230</v>
    <v>Banking Services</v>
    <v>Stock</v>
    <v>46185.472060185188</v>
    <v>540</v>
    <v>220.41</v>
    <v>16601590000</v>
    <v>SATIN CREDITCARE NETWORK LIMITED</v>
    <v>SATIN CREDITCARE NETWORK LIMITED</v>
    <v>225</v>
    <v>7.27</v>
    <v>219.69</v>
    <v>226.32</v>
    <v>110086900</v>
    <v>SATIN</v>
    <v>SATIN CREDITCARE NETWORK LIMITED (XNSE:SATIN)</v>
    <v>444134</v>
    <v>854620</v>
    <v>1990</v>
  </rv>
  <rv s="2">
    <v>541</v>
  </rv>
  <rv s="0">
    <v>https://www.bing.com/financeapi/forcetrigger?t=ahkpxm&amp;q=XNSE%3aZENTEC&amp;form=skydnc</v>
    <v>Learn more on Bing</v>
  </rv>
  <rv s="1">
    <v>en-IN</v>
    <v>ahkpxm</v>
    <v>268435456</v>
    <v>1</v>
    <v>Powered by Refinitiv</v>
    <v>0</v>
    <v>ZEN TECHNOLOGIES LIMITED (XNSE:ZENTEC)</v>
    <v>2</v>
    <v>3</v>
    <v>Finance</v>
    <v>4</v>
    <v>2105</v>
    <v>1223</v>
    <v>1.6757</v>
    <v>78.7</v>
    <v>4.5887000000000004E-2</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1817</v>
    <v>Aerospace &amp; Defense</v>
    <v>Stock</v>
    <v>46185.472048611111</v>
    <v>543</v>
    <v>1737.3</v>
    <v>111166200000</v>
    <v>ZEN TECHNOLOGIES LIMITED</v>
    <v>ZEN TECHNOLOGIES LIMITED</v>
    <v>1743</v>
    <v>83.354200000000006</v>
    <v>1715.1</v>
    <v>1793.8</v>
    <v>89931270</v>
    <v>ZENTEC</v>
    <v>ZEN TECHNOLOGIES LIMITED (XNSE:ZENTEC)</v>
    <v>900956</v>
    <v>1271930</v>
    <v>1993</v>
  </rv>
  <rv s="2">
    <v>544</v>
  </rv>
  <rv s="0">
    <v>https://www.bing.com/financeapi/forcetrigger?t=c111oc&amp;q=XNSE%3aMTARTECH&amp;form=skydnc</v>
    <v>Learn more on Bing</v>
  </rv>
  <rv s="1">
    <v>en-IN</v>
    <v>c111oc</v>
    <v>268435456</v>
    <v>1</v>
    <v>Powered by Refinitiv</v>
    <v>0</v>
    <v>MTAR TECHNOLOGIES LIMITED (XNSE:MTARTECH)</v>
    <v>2</v>
    <v>3</v>
    <v>Finance</v>
    <v>4</v>
    <v>8449.5</v>
    <v>1390.5</v>
    <v>1.0432999999999999</v>
    <v>853.5</v>
    <v>0.135347</v>
    <v>INR</v>
    <v>MTAR Technologies Limited is an India-based engineering company. The Company is engaged in the manufacture of mission-critical precision engineered systems for clean energy, civil nuclear power, fuel cells, hydro wind, space and defense sectors. It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TELANGANA, 500037 IN</v>
    <v>7250</v>
    <v>Machinery, Equipment &amp; Components</v>
    <v>Stock</v>
    <v>46185.472037037034</v>
    <v>546</v>
    <v>6625</v>
    <v>81033070000</v>
    <v>MTAR TECHNOLOGIES LIMITED</v>
    <v>MTAR TECHNOLOGIES LIMITED</v>
    <v>6666.5</v>
    <v>206.21</v>
    <v>6306</v>
    <v>7159.5</v>
    <v>30759590</v>
    <v>MTARTECH</v>
    <v>MTAR TECHNOLOGIES LIMITED (XNSE:MTARTECH)</v>
    <v>4307470</v>
    <v>2080340</v>
    <v>1999</v>
  </rv>
  <rv s="2">
    <v>547</v>
  </rv>
  <rv s="0">
    <v>https://www.bing.com/financeapi/forcetrigger?t=ahixkr&amp;q=XNSE%3aMCX&amp;form=skydnc</v>
    <v>Learn more on Bing</v>
  </rv>
  <rv s="1">
    <v>en-IN</v>
    <v>ahixkr</v>
    <v>268435456</v>
    <v>1</v>
    <v>Powered by Refinitiv</v>
    <v>0</v>
    <v>MULTI COMMODITY EXCHANGE OF INDIA LIMITED (XNSE:MCX)</v>
    <v>2</v>
    <v>3</v>
    <v>Finance</v>
    <v>4</v>
    <v>3480</v>
    <v>1460.8</v>
    <v>1.1301000000000001</v>
    <v>74.2</v>
    <v>2.6702E-2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2858</v>
    <v>Investment Banking &amp; Investment Services</v>
    <v>Stock</v>
    <v>46185.47210648148</v>
    <v>549</v>
    <v>2781.2</v>
    <v>583600800000</v>
    <v>MULTI COMMODITY EXCHANGE OF INDIA LIMITED</v>
    <v>MULTI COMMODITY EXCHANGE OF INDIA LIMITED</v>
    <v>2822</v>
    <v>70.11</v>
    <v>2778.8</v>
    <v>2853</v>
    <v>254514100</v>
    <v>MCX</v>
    <v>MULTI COMMODITY EXCHANGE OF INDIA LIMITED (XNSE:MCX)</v>
    <v>1876623</v>
    <v>4926720</v>
    <v>2002</v>
  </rv>
  <rv s="2">
    <v>550</v>
  </rv>
  <rv s="0">
    <v>https://www.bing.com/financeapi/forcetrigger?t=ahgsbh&amp;q=XNSE%3aBBOX&amp;form=skydnc</v>
    <v>Learn more on Bing</v>
  </rv>
  <rv s="1">
    <v>en-IN</v>
    <v>ahgsbh</v>
    <v>268435456</v>
    <v>1</v>
    <v>Powered by Refinitiv</v>
    <v>0</v>
    <v>BLACK BOX LIMITED (XNSE:BBOX)</v>
    <v>2</v>
    <v>3</v>
    <v>Finance</v>
    <v>4</v>
    <v>1103</v>
    <v>435.05</v>
    <v>1.1686000000000001</v>
    <v>30.1</v>
    <v>3.0449999999999998E-2</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commercial and industrial businesses.</v>
    <v>314</v>
    <v>National Stock Exchange of India</v>
    <v>XNSE</v>
    <v>XNSE</v>
    <v>501, 5TH FLOOR, BUILDING NO.9, AIROLI KNOWLEDGE PARK,, MIDC INDUSTRIAL AREA,, AIROLI, THANE, MAHARASHTRA, 400708 IN</v>
    <v>1028.8</v>
    <v>Software &amp; IT Services</v>
    <v>Stock</v>
    <v>46185.472037037034</v>
    <v>552</v>
    <v>982.7</v>
    <v>88028660000</v>
    <v>BLACK BOX LIMITED</v>
    <v>BLACK BOX LIMITED</v>
    <v>1000</v>
    <v>77.349999999999994</v>
    <v>988.5</v>
    <v>1018.6</v>
    <v>177599200</v>
    <v>BBOX</v>
    <v>BLACK BOX LIMITED (XNSE:BBOX)</v>
    <v>567032</v>
    <v>910060</v>
    <v>1986</v>
  </rv>
  <rv s="2">
    <v>553</v>
  </rv>
  <rv s="0">
    <v>https://www.bing.com/financeapi/forcetrigger?t=ahko2w&amp;q=XNSE%3aWHEELS&amp;form=skydnc</v>
    <v>Learn more on Bing</v>
  </rv>
  <rv s="1">
    <v>en-IN</v>
    <v>ahko2w</v>
    <v>268435456</v>
    <v>1</v>
    <v>Powered by Refinitiv</v>
    <v>0</v>
    <v>WHEELS INDIA LIMITED (XNSE:WHEELS)</v>
    <v>2</v>
    <v>3</v>
    <v>Finance</v>
    <v>4</v>
    <v>1744</v>
    <v>705.85</v>
    <v>0.73960000000000004</v>
    <v>12.5</v>
    <v>7.7059999999999993E-3</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2735</v>
    <v>National Stock Exchange of India</v>
    <v>XNSE</v>
    <v>XNSE</v>
    <v>PO Box No. 50, MTH Road, Padi, CHENNAI, TAMIL NADU, 600050 IN</v>
    <v>1649</v>
    <v>Automobiles &amp; Auto Parts</v>
    <v>Stock</v>
    <v>46185.472037037034</v>
    <v>555</v>
    <v>1602.5</v>
    <v>19844490000</v>
    <v>WHEELS INDIA LIMITED</v>
    <v>WHEELS INDIA LIMITED</v>
    <v>1649</v>
    <v>25.764600000000002</v>
    <v>1622.2</v>
    <v>1634.7</v>
    <v>24433010</v>
    <v>WHEELS</v>
    <v>WHEELS INDIA LIMITED (XNSE:WHEELS)</v>
    <v>84183</v>
    <v>143260</v>
    <v>1960</v>
  </rv>
  <rv s="2">
    <v>556</v>
  </rv>
  <rv s="0">
    <v>https://www.bing.com/financeapi/forcetrigger?t=ahk552&amp;q=XNSE%3aSTLTECH&amp;form=skydnc</v>
    <v>Learn more on Bing</v>
  </rv>
  <rv s="1">
    <v>en-IN</v>
    <v>ahk552</v>
    <v>268435456</v>
    <v>1</v>
    <v>Powered by Refinitiv</v>
    <v>0</v>
    <v>STERLITE TECHNOLOGIES LIMITED (XNSE:STLTECH)</v>
    <v>2</v>
    <v>3</v>
    <v>Finance</v>
    <v>4</v>
    <v>679.9</v>
    <v>74.66</v>
    <v>0.59809999999999997</v>
    <v>15.25</v>
    <v>2.683E-2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596.79999999999995</v>
    <v>Communications &amp; Networking</v>
    <v>Stock</v>
    <v>46185.472048611111</v>
    <v>558</v>
    <v>575</v>
    <v>45349750000</v>
    <v>STERLITE TECHNOLOGIES LIMITED</v>
    <v>STERLITE TECHNOLOGIES LIMITED</v>
    <v>575</v>
    <v>498.6</v>
    <v>568.4</v>
    <v>583.65</v>
    <v>488167600</v>
    <v>STLTECH</v>
    <v>STERLITE TECHNOLOGIES LIMITED (XNSE:STLTECH)</v>
    <v>2246159</v>
    <v>4197850</v>
    <v>2000</v>
  </rv>
  <rv s="2">
    <v>559</v>
  </rv>
  <rv s="0">
    <v>https://www.bing.com/financeapi/forcetrigger?t=ahhh2w&amp;q=XNSE%3aCUPID&amp;form=skydnc</v>
    <v>Learn more on Bing</v>
  </rv>
  <rv s="1">
    <v>en-IN</v>
    <v>ahhh2w</v>
    <v>268435456</v>
    <v>1</v>
    <v>Powered by Refinitiv</v>
    <v>0</v>
    <v>CUPID LIMITED (XNSE:CUPID)</v>
    <v>2</v>
    <v>3</v>
    <v>Finance</v>
    <v>4</v>
    <v>160</v>
    <v>17.68</v>
    <v>0.42880000000000001</v>
    <v>4.79</v>
    <v>3.0866999999999999E-2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160</v>
    <v>Personal &amp; Household Products &amp; Services</v>
    <v>Stock</v>
    <v>46185.472071759257</v>
    <v>561</v>
    <v>157</v>
    <v>117816800000</v>
    <v>CUPID LIMITED</v>
    <v>CUPID LIMITED</v>
    <v>157.66</v>
    <v>192.58</v>
    <v>155.18</v>
    <v>159.97</v>
    <v>268467100</v>
    <v>CUPID</v>
    <v>CUPID LIMITED (XNSE:CUPID)</v>
    <v>23033543</v>
    <v>18635540</v>
    <v>1993</v>
  </rv>
  <rv s="2">
    <v>562</v>
  </rv>
  <rv s="0">
    <v>https://www.bing.com/financeapi/forcetrigger?t=ahipz2&amp;q=XNSE%3aLAURUSLABS&amp;form=skydnc</v>
    <v>Learn more on Bing</v>
  </rv>
  <rv s="1">
    <v>en-IN</v>
    <v>ahipz2</v>
    <v>268435456</v>
    <v>1</v>
    <v>Powered by Refinitiv</v>
    <v>0</v>
    <v>LAURUS LABS LIMITED (XNSE:LAURUSLABS)</v>
    <v>2</v>
    <v>3</v>
    <v>Finance</v>
    <v>4</v>
    <v>1457</v>
    <v>641.04999999999995</v>
    <v>0.86509999999999998</v>
    <v>3.5</v>
    <v>2.5169999999999997E-3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7059</v>
    <v>National Stock Exchange of India</v>
    <v>XNSE</v>
    <v>XNSE</v>
    <v>2nd Floor, Serene Chambers,, Road No. 7, Banjara Hills,, HYDERABAD, TELANGANA, 500034 IN</v>
    <v>1410</v>
    <v>Pharmaceuticals</v>
    <v>Stock</v>
    <v>46185.472071759257</v>
    <v>564</v>
    <v>1373.8</v>
    <v>571330300000</v>
    <v>LAURUS LABS LIMITED</v>
    <v>LAURUS LABS LIMITED</v>
    <v>1408</v>
    <v>84.680599999999998</v>
    <v>1390.8</v>
    <v>1394.3</v>
    <v>540249600</v>
    <v>LAURUSLABS</v>
    <v>LAURUS LABS LIMITED (XNSE:LAURUSLABS)</v>
    <v>1207798</v>
    <v>1866500</v>
    <v>2005</v>
  </rv>
  <rv s="2">
    <v>565</v>
  </rv>
  <rv s="0">
    <v>https://www.bing.com/financeapi/forcetrigger?t=ahimh7&amp;q=XNSE%3aKIRLOSENG&amp;form=skydnc</v>
    <v>Learn more on Bing</v>
  </rv>
  <rv s="1">
    <v>en-IN</v>
    <v>ahimh7</v>
    <v>268435456</v>
    <v>1</v>
    <v>Powered by Refinitiv</v>
    <v>0</v>
    <v>KIRLOSKAR OIL ENGINES LIMITED (XNSE:KIRLOSENG)</v>
    <v>2</v>
    <v>3</v>
    <v>Finance</v>
    <v>4</v>
    <v>1990.8</v>
    <v>825.6</v>
    <v>1.3091999999999999</v>
    <v>92.6</v>
    <v>5.1505000000000002E-2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1905</v>
    <v>Machinery, Equipment &amp; Components</v>
    <v>Stock</v>
    <v>46185.472083333334</v>
    <v>567</v>
    <v>1809</v>
    <v>167243400000</v>
    <v>KIRLOSKAR OIL ENGINES LIMITED</v>
    <v>KIRLOSKAR OIL ENGINES LIMITED</v>
    <v>1809</v>
    <v>45.87</v>
    <v>1797.9</v>
    <v>1890.5</v>
    <v>145379900</v>
    <v>KIRLOSENG</v>
    <v>KIRLOSKAR OIL ENGINES LIMITED (XNSE:KIRLOSENG)</v>
    <v>238134</v>
    <v>413730</v>
    <v>2009</v>
  </rv>
  <rv s="2">
    <v>568</v>
  </rv>
  <rv s="0">
    <v>https://www.bing.com/financeapi/forcetrigger?t=ahhgz2&amp;q=XNSE%3aCUMMINSIND&amp;form=skydnc</v>
    <v>Learn more on Bing</v>
  </rv>
  <rv s="1">
    <v>en-IN</v>
    <v>ahhgz2</v>
    <v>268435456</v>
    <v>1</v>
    <v>Powered by Refinitiv</v>
    <v>0</v>
    <v>CUMMINS INDIA LIMITED (XNSE:CUMMINSIND)</v>
    <v>2</v>
    <v>3</v>
    <v>Finance</v>
    <v>4</v>
    <v>6100</v>
    <v>3212.2</v>
    <v>1.1912</v>
    <v>64.5</v>
    <v>1.1607000000000001E-2</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5663.5</v>
    <v>Automobiles &amp; Auto Parts</v>
    <v>Stock</v>
    <v>46185.472037037034</v>
    <v>570</v>
    <v>5570</v>
    <v>1102646000000</v>
    <v>CUMMINS INDIA LIMITED</v>
    <v>CUMMINS INDIA LIMITED</v>
    <v>5650</v>
    <v>65.98</v>
    <v>5557</v>
    <v>5621.5</v>
    <v>277200000</v>
    <v>CUMMINSIND</v>
    <v>CUMMINS INDIA LIMITED (XNSE:CUMMINSIND)</v>
    <v>249004</v>
    <v>608490</v>
    <v>1962</v>
  </rv>
  <rv s="2">
    <v>571</v>
  </rv>
  <rv s="0">
    <v>https://www.bing.com/financeapi/forcetrigger?t=ahgr6h&amp;q=XNSE%3aADANIPORTS&amp;form=skydnc</v>
    <v>Learn more on Bing</v>
  </rv>
  <rv s="1">
    <v>en-IN</v>
    <v>ahgr6h</v>
    <v>268435456</v>
    <v>1</v>
    <v>Powered by Refinitiv</v>
    <v>0</v>
    <v>ADANI PORTS AND SPECIAL ECONOMIC ZONE LIMITED (XNSE:ADANIPORTS)</v>
    <v>2</v>
    <v>3</v>
    <v>Finance</v>
    <v>4</v>
    <v>1857.8</v>
    <v>1290.5</v>
    <v>1.3815999999999999</v>
    <v>25.8</v>
    <v>1.4437E-2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1818</v>
    <v>Transport Infrastructure</v>
    <v>Stock</v>
    <v>46185.472071759257</v>
    <v>573</v>
    <v>1777.9</v>
    <v>3291436000000</v>
    <v>ADANI PORTS AND SPECIAL ECONOMIC ZONE LIMITED</v>
    <v>ADANI PORTS AND SPECIAL ECONOMIC ZONE LIMITED</v>
    <v>1804</v>
    <v>31.134</v>
    <v>1787.1</v>
    <v>1812.9</v>
    <v>2303959000</v>
    <v>ADANIPORTS</v>
    <v>ADANI PORTS AND SPECIAL ECONOMIC ZONE LIMITED (XNSE:ADANIPORTS)</v>
    <v>2325897</v>
    <v>2252690</v>
    <v>1998</v>
  </rv>
  <rv s="2">
    <v>574</v>
  </rv>
  <rv s="0">
    <v>https://www.bing.com/financeapi/forcetrigger?t=ahjryc&amp;q=XNSE%3aSAKAR&amp;form=skydnc</v>
    <v>Learn more on Bing</v>
  </rv>
  <rv s="1">
    <v>en-IN</v>
    <v>ahjryc</v>
    <v>268435456</v>
    <v>1</v>
    <v>Powered by Refinitiv</v>
    <v>0</v>
    <v>SAKAR HEALTHCARE LIMITED (XNSE:SAKAR)</v>
    <v>2</v>
    <v>3</v>
    <v>Finance</v>
    <v>4</v>
    <v>871.3</v>
    <v>306.35000000000002</v>
    <v>0.79379999999999995</v>
    <v>21.05</v>
    <v>2.6213E-2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841.5</v>
    <v>Pharmaceuticals</v>
    <v>Stock</v>
    <v>46185.472048611111</v>
    <v>576</v>
    <v>810</v>
    <v>8347054000</v>
    <v>SAKAR HEALTHCARE LIMITED</v>
    <v>SAKAR HEALTHCARE LIMITED</v>
    <v>810</v>
    <v>60.197200000000002</v>
    <v>803.05</v>
    <v>824.1</v>
    <v>21949910</v>
    <v>SAKAR</v>
    <v>SAKAR HEALTHCARE LIMITED (XNSE:SAKAR)</v>
    <v>104622</v>
    <v>182410</v>
    <v>2004</v>
  </rv>
  <rv s="2">
    <v>577</v>
  </rv>
  <rv s="0">
    <v>https://www.bing.com/financeapi/forcetrigger?t=ahivm7&amp;q=XNSE%3aMANINDS&amp;form=skydnc</v>
    <v>Learn more on Bing</v>
  </rv>
  <rv s="1">
    <v>en-IN</v>
    <v>ahivm7</v>
    <v>268435456</v>
    <v>1</v>
    <v>Powered by Refinitiv</v>
    <v>0</v>
    <v>MAN INDUSTRIES (INDIA) LIMITED (XNSE:MANINDS)</v>
    <v>2</v>
    <v>3</v>
    <v>Finance</v>
    <v>4</v>
    <v>606.4</v>
    <v>302.05</v>
    <v>1.9333</v>
    <v>36.9</v>
    <v>7.2487999999999997E-2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547.45000000000005</v>
    <v>Metals &amp; Mining</v>
    <v>Stock</v>
    <v>46185.472060185188</v>
    <v>579</v>
    <v>515.95000000000005</v>
    <v>25735780000</v>
    <v>MAN INDUSTRIES (INDIA) LIMITED</v>
    <v>MAN INDUSTRIES (INDIA) LIMITED</v>
    <v>515.95000000000005</v>
    <v>21.57</v>
    <v>509.05</v>
    <v>545.95000000000005</v>
    <v>75009570</v>
    <v>MANINDS</v>
    <v>MAN INDUSTRIES (INDIA) LIMITED (XNSE:MANINDS)</v>
    <v>605722</v>
    <v>1286290</v>
    <v>1988</v>
  </rv>
  <rv s="2">
    <v>580</v>
  </rv>
  <rv s="0">
    <v>https://www.bing.com/financeapi/forcetrigger?t=c3ecr7&amp;q=XNSE%3aVIJAYA&amp;form=skydnc</v>
    <v>Learn more on Bing</v>
  </rv>
  <rv s="1">
    <v>en-IN</v>
    <v>c3ecr7</v>
    <v>268435456</v>
    <v>1</v>
    <v>Powered by Refinitiv</v>
    <v>0</v>
    <v>VIJAYA DIAGNOSTIC CENTRE LIMITED (XNSE:VIJAYA)</v>
    <v>2</v>
    <v>3</v>
    <v>Finance</v>
    <v>4</v>
    <v>1427.8</v>
    <v>848</v>
    <v>0.74339999999999995</v>
    <v>8</v>
    <v>6.2539999999999991E-3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1295.9000000000001</v>
    <v>Healthcare Providers &amp; Services</v>
    <v>Stock</v>
    <v>46185.472048611111</v>
    <v>582</v>
    <v>1252</v>
    <v>102804100000</v>
    <v>VIJAYA DIAGNOSTIC CENTRE LIMITED</v>
    <v>VIJAYA DIAGNOSTIC CENTRE LIMITED</v>
    <v>1285</v>
    <v>76.05</v>
    <v>1279.2</v>
    <v>1287.2</v>
    <v>102896700</v>
    <v>VIJAYA</v>
    <v>VIJAYA DIAGNOSTIC CENTRE LIMITED (XNSE:VIJAYA)</v>
    <v>282698</v>
    <v>296510</v>
    <v>2002</v>
  </rv>
  <rv s="2">
    <v>583</v>
  </rv>
  <rv s="0">
    <v>https://www.bing.com/financeapi/forcetrigger?t=ahh6ur&amp;q=XNSE%3aBHARATFORG&amp;form=skydnc</v>
    <v>Learn more on Bing</v>
  </rv>
  <rv s="1">
    <v>en-IN</v>
    <v>ahh6ur</v>
    <v>268435456</v>
    <v>1</v>
    <v>Powered by Refinitiv</v>
    <v>0</v>
    <v>BHARAT FORGE LTD (XNSE:BHARATFORG)</v>
    <v>2</v>
    <v>3</v>
    <v>Finance</v>
    <v>4</v>
    <v>2044</v>
    <v>1100.5</v>
    <v>1.1379999999999999</v>
    <v>2.2000000000000002</v>
    <v>1.132E-3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1982.7</v>
    <v>Metals &amp; Mining</v>
    <v>Stock</v>
    <v>46185.472037037034</v>
    <v>585</v>
    <v>1912.2</v>
    <v>698152800000</v>
    <v>BHARAT FORGE LTD</v>
    <v>BHARAT FORGE LTD</v>
    <v>1952</v>
    <v>86.05</v>
    <v>1942.9</v>
    <v>1945.1</v>
    <v>478088600</v>
    <v>BHARATFORG</v>
    <v>BHARAT FORGE LTD (XNSE:BHARATFORG)</v>
    <v>893592</v>
    <v>1184760</v>
    <v>1961</v>
  </rv>
  <rv s="2">
    <v>586</v>
  </rv>
  <rv s="0">
    <v>https://www.bing.com/financeapi/forcetrigger?t=ahjkrw&amp;q=XNSE%3aRADICO&amp;form=skydnc</v>
    <v>Learn more on Bing</v>
  </rv>
  <rv s="1">
    <v>en-IN</v>
    <v>ahjkrw</v>
    <v>268435456</v>
    <v>1</v>
    <v>Powered by Refinitiv</v>
    <v>0</v>
    <v>RADICO KHAITAN LIMITED (XNSE:RADICO)</v>
    <v>2</v>
    <v>3</v>
    <v>Finance</v>
    <v>4</v>
    <v>3679</v>
    <v>2500</v>
    <v>0.8498</v>
    <v>91.8</v>
    <v>2.6608999999999997E-2</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3557.6</v>
    <v>Beverages</v>
    <v>Stock</v>
    <v>46185.472060185188</v>
    <v>588</v>
    <v>3460.2</v>
    <v>392026800000</v>
    <v>RADICO KHAITAN LIMITED</v>
    <v>RADICO KHAITAN LIMITED</v>
    <v>3484.9</v>
    <v>78.425600000000003</v>
    <v>3449.9</v>
    <v>3541.7</v>
    <v>133931400</v>
    <v>RADICO</v>
    <v>RADICO KHAITAN LIMITED (XNSE:RADICO)</v>
    <v>302638</v>
    <v>226430</v>
    <v>1983</v>
  </rv>
  <rv s="2">
    <v>589</v>
  </rv>
  <rv s="0">
    <v>https://www.bing.com/financeapi/forcetrigger?t=ahj4jc&amp;q=XNSE%3aNATIONALUM&amp;form=skydnc</v>
    <v>Learn more on Bing</v>
  </rv>
  <rv s="1">
    <v>en-IN</v>
    <v>ahj4jc</v>
    <v>268435456</v>
    <v>1</v>
    <v>Powered by Refinitiv</v>
    <v>0</v>
    <v>NATIONAL ALUMINIUM CO LTD (XNSE:NATIONALUM)</v>
    <v>2</v>
    <v>3</v>
    <v>Finance</v>
    <v>4</v>
    <v>445.15</v>
    <v>179.93</v>
    <v>0.76959999999999995</v>
    <v>6.25</v>
    <v>1.6865000000000002E-2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384.7</v>
    <v>Metals &amp; Mining</v>
    <v>Stock</v>
    <v>46185.472048611111</v>
    <v>591</v>
    <v>375.2</v>
    <v>656412200000</v>
    <v>NATIONAL ALUMINIUM CO LTD</v>
    <v>NATIONAL ALUMINIUM CO LTD</v>
    <v>380</v>
    <v>11.74</v>
    <v>370.6</v>
    <v>376.85</v>
    <v>1836632000</v>
    <v>NATIONALUM</v>
    <v>NATIONAL ALUMINIUM CO LTD (XNSE:NATIONALUM)</v>
    <v>7674222</v>
    <v>20144420</v>
    <v>1981</v>
  </rv>
  <rv s="2">
    <v>592</v>
  </rv>
  <rv s="0">
    <v>https://www.bing.com/financeapi/forcetrigger?t=ahhurw&amp;q=XNSE%3aGESHIP&amp;form=skydnc</v>
    <v>Learn more on Bing</v>
  </rv>
  <rv s="1">
    <v>en-IN</v>
    <v>ahhurw</v>
    <v>268435456</v>
    <v>1</v>
    <v>Powered by Refinitiv</v>
    <v>0</v>
    <v>THE GREAT EASTERN SHIPPING COMPANY LIMITED (XNSE:GESHIP)</v>
    <v>2</v>
    <v>3</v>
    <v>Finance</v>
    <v>4</v>
    <v>1798</v>
    <v>913.1</v>
    <v>1.0562</v>
    <v>-0.4</v>
    <v>-2.879E-4</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1417.2</v>
    <v>Oil &amp; Gas Related Equipment and Services</v>
    <v>Stock</v>
    <v>46185.472060185188</v>
    <v>594</v>
    <v>1362.1</v>
    <v>157943300000</v>
    <v>THE GREAT EASTERN SHIPPING COMPANY LIMITED</v>
    <v>THE GREAT EASTERN SHIPPING COMPANY LIMITED</v>
    <v>1404</v>
    <v>6.74</v>
    <v>1389.5</v>
    <v>1389.1</v>
    <v>142767200</v>
    <v>GESHIP</v>
    <v>THE GREAT EASTERN SHIPPING COMPANY LIMITED (XNSE:GESHIP)</v>
    <v>514034</v>
    <v>720470</v>
    <v>1948</v>
  </rv>
  <rv s="2">
    <v>595</v>
  </rv>
  <rv s="3">
    <v>en-IN</v>
    <v>cgof5r</v>
    <v>268435456</v>
    <v>1</v>
    <v>Powered by Refinitiv</v>
    <v>5</v>
    <v>ATHER ENERGY LIMITED (XNSE:ATHERENERG)</v>
    <v>6</v>
    <v>3</v>
    <v>Finance</v>
    <v>4</v>
    <v>1069</v>
    <v>306.25</v>
    <v>1.278</v>
    <v>1.3</v>
    <v>1.2650000000000001E-3</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1058</v>
    <v>Leisure Products</v>
    <v>Stock</v>
    <v>46185.472129629627</v>
    <v>1019.5</v>
    <v>249475900000</v>
    <v>ATHER ENERGY LIMITED</v>
    <v>ATHER ENERGY LIMITED</v>
    <v>1035</v>
    <v>0</v>
    <v>1027.4000000000001</v>
    <v>1028.7</v>
    <v>383121000</v>
    <v>ATHERENERG</v>
    <v>ATHER ENERGY LIMITED (XNSE:ATHERENERG)</v>
    <v>2858859</v>
    <v>4854610</v>
    <v>2013</v>
  </rv>
  <rv s="2">
    <v>597</v>
  </rv>
  <rv s="0">
    <v>https://www.bing.com/financeapi/forcetrigger?t=c4etk2&amp;q=XNSE%3aANANDRATHI&amp;form=skydnc</v>
    <v>Learn more on Bing</v>
  </rv>
  <rv s="1">
    <v>en-IN</v>
    <v>c4etk2</v>
    <v>268435456</v>
    <v>1</v>
    <v>Powered by Refinitiv</v>
    <v>0</v>
    <v>Anand Rathi Wealth Ltd (XNSE:ANANDRATHI)</v>
    <v>2</v>
    <v>3</v>
    <v>Finance</v>
    <v>4</v>
    <v>1867.5</v>
    <v>983.35</v>
    <v>0.16830000000000001</v>
    <v>21.4</v>
    <v>1.2271000000000001E-2</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1769.7</v>
    <v>Investment Banking &amp; Investment Services</v>
    <v>Stock</v>
    <v>46185.472048611111</v>
    <v>599</v>
    <v>1740.1</v>
    <v>261697600000</v>
    <v>Anand Rathi Wealth Ltd</v>
    <v>Anand Rathi Wealth Ltd</v>
    <v>1755</v>
    <v>73.16</v>
    <v>1743.9</v>
    <v>1765.3</v>
    <v>166041300</v>
    <v>ANANDRATHI</v>
    <v>Anand Rathi Wealth Ltd (XNSE:ANANDRATHI)</v>
    <v>172009</v>
    <v>730320</v>
    <v>1995</v>
  </rv>
  <rv s="2">
    <v>600</v>
  </rv>
  <rv s="0">
    <v>https://www.bing.com/financeapi/forcetrigger?t=ahkjtc&amp;q=XNSE%3aVEDL&amp;form=skydnc</v>
    <v>Learn more on Bing</v>
  </rv>
  <rv s="1">
    <v>en-IN</v>
    <v>ahkjtc</v>
    <v>268435456</v>
    <v>1</v>
    <v>Powered by Refinitiv</v>
    <v>0</v>
    <v>VEDANTA LIMITED (XNSE:VEDL)</v>
    <v>2</v>
    <v>3</v>
    <v>Finance</v>
    <v>4</v>
    <v>360</v>
    <v>157.16999999999999</v>
    <v>0.86519999999999997</v>
    <v>4.75</v>
    <v>1.5579000000000001E-2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314</v>
    <v>Metals &amp; Mining</v>
    <v>Stock</v>
    <v>46185.472037037034</v>
    <v>602</v>
    <v>303.7</v>
    <v>2488569000000</v>
    <v>VEDANTA LIMITED</v>
    <v>VEDANTA LIMITED</v>
    <v>314</v>
    <v>15.77</v>
    <v>304.89999999999998</v>
    <v>309.64999999999998</v>
    <v>3904802000</v>
    <v>VEDL</v>
    <v>VEDANTA LIMITED (XNSE:VEDL)</v>
    <v>18636477</v>
    <v>18753810</v>
    <v>1965</v>
  </rv>
  <rv s="2">
    <v>603</v>
  </rv>
  <rv s="3">
    <v>en-IN</v>
    <v>ci8lk2</v>
    <v>268435456</v>
    <v>1</v>
    <v>Powered by Refinitiv</v>
    <v>5</v>
    <v>ATLANTA ELECTRICALS LIMITED (XNSE:ATLANTAELE)</v>
    <v>6</v>
    <v>3</v>
    <v>Finance</v>
    <v>4</v>
    <v>2152.6</v>
    <v>707.6</v>
    <v>-3.883</v>
    <v>18.5</v>
    <v>1.0136000000000001E-2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1885</v>
    <v>Machinery, Equipment &amp; Components</v>
    <v>Stock</v>
    <v>46185.472129629627</v>
    <v>1775.5</v>
    <v>63020630000</v>
    <v>ATLANTA ELECTRICALS LIMITED</v>
    <v>ATLANTA ELECTRICALS LIMITED</v>
    <v>1865</v>
    <v>26.51</v>
    <v>1825.2</v>
    <v>1843.7</v>
    <v>76896630</v>
    <v>ATLANTAELE</v>
    <v>ATLANTA ELECTRICALS LIMITED (XNSE:ATLANTAELE)</v>
    <v>120812</v>
    <v>83690</v>
    <v>1988</v>
  </rv>
  <rv s="2">
    <v>605</v>
  </rv>
  <rv s="3">
    <v>en-IN</v>
    <v>ces5ec</v>
    <v>268435456</v>
    <v>1</v>
    <v>Powered by Refinitiv</v>
    <v>5</v>
    <v>KRN HEAT EXCHANGER AND REFRIGERATION LIMITED (XNSE:KRN)</v>
    <v>6</v>
    <v>3</v>
    <v>Finance</v>
    <v>4</v>
    <v>1405</v>
    <v>589.79999999999995</v>
    <v>2.2130000000000001</v>
    <v>60</v>
    <v>4.9950000000000001E-2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1261.2</v>
    <v>Machinery, Equipment &amp; Components</v>
    <v>Stock</v>
    <v>46185.472094907411</v>
    <v>1202.9000000000001</v>
    <v>44227530000</v>
    <v>KRN HEAT EXCHANGER AND REFRIGERATION LIMITED</v>
    <v>KRN HEAT EXCHANGER AND REFRIGERATION LIMITED</v>
    <v>1234</v>
    <v>97.66</v>
    <v>1201.2</v>
    <v>1261.2</v>
    <v>65458490</v>
    <v>KRN</v>
    <v>KRN HEAT EXCHANGER AND REFRIGERATION LIMITED (XNSE:KRN)</v>
    <v>150786</v>
    <v>203900</v>
    <v>2017</v>
  </rv>
  <rv s="2">
    <v>607</v>
  </rv>
  <rv s="3">
    <v>en-IN</v>
    <v>cc1w2w</v>
    <v>268435456</v>
    <v>1</v>
    <v>Powered by Refinitiv</v>
    <v>5</v>
    <v>AZAD ENGINEERING LIMITED (XNSE:AZAD)</v>
    <v>6</v>
    <v>3</v>
    <v>Finance</v>
    <v>4</v>
    <v>2350</v>
    <v>1360</v>
    <v>1.7050000000000001</v>
    <v>44.4</v>
    <v>2.1086000000000001E-2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2178.5</v>
    <v>Machinery, Equipment &amp; Components</v>
    <v>Stock</v>
    <v>46185.472083333334</v>
    <v>2106.5</v>
    <v>100999400000</v>
    <v>AZAD ENGINEERING LIMITED</v>
    <v>AZAD ENGINEERING LIMITED</v>
    <v>2145</v>
    <v>102.62</v>
    <v>2105.6999999999998</v>
    <v>2150.1</v>
    <v>64581740</v>
    <v>AZAD</v>
    <v>AZAD ENGINEERING LIMITED (XNSE:AZAD)</v>
    <v>483687</v>
    <v>445810</v>
    <v>1983</v>
  </rv>
  <rv s="2">
    <v>609</v>
  </rv>
  <rv s="0">
    <v>https://www.bing.com/financeapi/forcetrigger?t=ahk1gh&amp;q=XNSE%3aSMSPHARMA&amp;form=skydnc</v>
    <v>Learn more on Bing</v>
  </rv>
  <rv s="1">
    <v>en-IN</v>
    <v>ahk1gh</v>
    <v>268435456</v>
    <v>1</v>
    <v>Powered by Refinitiv</v>
    <v>0</v>
    <v>SMS PHARMACEUTICALS LIMITED (XNSE:SMSPHARMA)</v>
    <v>2</v>
    <v>3</v>
    <v>Finance</v>
    <v>4</v>
    <v>447.8</v>
    <v>207.7</v>
    <v>1.1483000000000001</v>
    <v>4.25</v>
    <v>1.1208000000000001E-2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389.7</v>
    <v>Pharmaceuticals</v>
    <v>Stock</v>
    <v>46185.472060185188</v>
    <v>611</v>
    <v>376.55</v>
    <v>31724630000</v>
    <v>SMS PHARMACEUTICALS LIMITED</v>
    <v>SMS PHARMACEUTICALS LIMITED</v>
    <v>383</v>
    <v>33.873699999999999</v>
    <v>379.2</v>
    <v>383.45</v>
    <v>93652030</v>
    <v>SMSPHARMA</v>
    <v>SMS PHARMACEUTICALS LIMITED (XNSE:SMSPHARMA)</v>
    <v>128095</v>
    <v>227250</v>
    <v>1987</v>
  </rv>
  <rv s="2">
    <v>612</v>
  </rv>
  <rv s="0">
    <v>https://www.bing.com/financeapi/forcetrigger?t=ahhyp2&amp;q=XNSE%3aGRAPHITE&amp;form=skydnc</v>
    <v>Learn more on Bing</v>
  </rv>
  <rv s="1">
    <v>en-IN</v>
    <v>ahhyp2</v>
    <v>268435456</v>
    <v>1</v>
    <v>Powered by Refinitiv</v>
    <v>0</v>
    <v>GRAPHITE INDIA LIMITED (XNSE:GRAPHITE)</v>
    <v>2</v>
    <v>3</v>
    <v>Finance</v>
    <v>4</v>
    <v>802.4</v>
    <v>505.8</v>
    <v>1.4177</v>
    <v>20.05</v>
    <v>3.2111000000000001E-2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647.45000000000005</v>
    <v>Machinery, Equipment &amp; Components</v>
    <v>Stock</v>
    <v>46185.472037037034</v>
    <v>614</v>
    <v>625</v>
    <v>117088600000</v>
    <v>GRAPHITE INDIA LIMITED</v>
    <v>GRAPHITE INDIA LIMITED</v>
    <v>630.6</v>
    <v>71.844999999999999</v>
    <v>624.4</v>
    <v>644.45000000000005</v>
    <v>195375600</v>
    <v>GRAPHITE</v>
    <v>GRAPHITE INDIA LIMITED (XNSE:GRAPHITE)</v>
    <v>690287</v>
    <v>1030700</v>
    <v>1974</v>
  </rv>
  <rv s="2">
    <v>615</v>
  </rv>
  <rv s="0">
    <v>https://www.bing.com/financeapi/forcetrigger?t=az66u2&amp;q=XNSE%3aASTERDM&amp;form=skydnc</v>
    <v>Learn more on Bing</v>
  </rv>
  <rv s="1">
    <v>en-IN</v>
    <v>az66u2</v>
    <v>268435456</v>
    <v>1</v>
    <v>Powered by Refinitiv</v>
    <v>0</v>
    <v>ASTER DM HEALTHCARE LIMITED (XNSE:ASTERDM)</v>
    <v>2</v>
    <v>3</v>
    <v>Finance</v>
    <v>4</v>
    <v>836.5</v>
    <v>519.1</v>
    <v>0.94779999999999998</v>
    <v>1.2</v>
    <v>1.475E-3</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836.5</v>
    <v>Healthcare Providers &amp; Services</v>
    <v>Stock</v>
    <v>46185.472037037034</v>
    <v>617</v>
    <v>806.05</v>
    <v>313382100000</v>
    <v>ASTER DM HEALTHCARE LIMITED</v>
    <v>ASTER DM HEALTHCARE LIMITED</v>
    <v>835</v>
    <v>107.92</v>
    <v>813.75</v>
    <v>814.95</v>
    <v>516918500</v>
    <v>ASTERDM</v>
    <v>ASTER DM HEALTHCARE LIMITED (XNSE:ASTERDM)</v>
    <v>1181355</v>
    <v>968450</v>
    <v>2008</v>
  </rv>
  <rv s="2">
    <v>618</v>
  </rv>
  <rv s="0">
    <v>https://www.bing.com/financeapi/forcetrigger?t=ahj8jc&amp;q=XNSE%3aNRBBEARING&amp;form=skydnc</v>
    <v>Learn more on Bing</v>
  </rv>
  <rv s="1">
    <v>en-IN</v>
    <v>ahj8jc</v>
    <v>268435456</v>
    <v>1</v>
    <v>Powered by Refinitiv</v>
    <v>0</v>
    <v>NRB BEARINGS LIMITED (XNSE:NRBBEARING)</v>
    <v>2</v>
    <v>3</v>
    <v>Finance</v>
    <v>4</v>
    <v>455.8</v>
    <v>212.55</v>
    <v>1.1153999999999999</v>
    <v>-9.85</v>
    <v>-2.2606999999999999E-2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450</v>
    <v>Machinery, Equipment &amp; Components</v>
    <v>Stock</v>
    <v>46185.472048611111</v>
    <v>620</v>
    <v>423.6</v>
    <v>24700720000</v>
    <v>NRB BEARINGS LIMITED</v>
    <v>NRB BEARINGS LIMITED</v>
    <v>440</v>
    <v>29.6</v>
    <v>435.7</v>
    <v>425.85</v>
    <v>96922600</v>
    <v>NRBBEARING</v>
    <v>NRB BEARINGS LIMITED (XNSE:NRBBEARING)</v>
    <v>605683</v>
    <v>2928890</v>
    <v>1965</v>
  </rv>
  <rv s="2">
    <v>621</v>
  </rv>
  <rv s="0">
    <v>https://www.bing.com/financeapi/forcetrigger?t=c5olz2&amp;q=XNSE%3aSHAILY&amp;form=skydnc</v>
    <v>Learn more on Bing</v>
  </rv>
  <rv s="1">
    <v>en-IN</v>
    <v>c5olz2</v>
    <v>268435456</v>
    <v>1</v>
    <v>Powered by Refinitiv</v>
    <v>0</v>
    <v>SHAILY ENGINEERING PLASTICS LIMITED (XNSE:SHAILY)</v>
    <v>2</v>
    <v>3</v>
    <v>Finance</v>
    <v>4</v>
    <v>3233.9</v>
    <v>1535.9</v>
    <v>0.3901</v>
    <v>32.700000000000003</v>
    <v>1.1125000000000001E-2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3007.9</v>
    <v>Chemicals</v>
    <v>Stock</v>
    <v>46185.472048611111</v>
    <v>623</v>
    <v>2890.3</v>
    <v>99768510000</v>
    <v>SHAILY ENGINEERING PLASTICS LIMITED</v>
    <v>SHAILY ENGINEERING PLASTICS LIMITED</v>
    <v>2979</v>
    <v>80.389499999999998</v>
    <v>2939.3</v>
    <v>2972</v>
    <v>45995250</v>
    <v>SHAILY</v>
    <v>SHAILY ENGINEERING PLASTICS LIMITED (XNSE:SHAILY)</v>
    <v>268134</v>
    <v>284600</v>
    <v>1980</v>
  </rv>
  <rv s="2">
    <v>624</v>
  </rv>
  <rv s="3">
    <v>en-IN</v>
    <v>c8zrar</v>
    <v>268435456</v>
    <v>1</v>
    <v>Powered by Refinitiv</v>
    <v>5</v>
    <v>PONDY OXIDES AND CHEMICALS LIMITED (XNSE:POCL)</v>
    <v>6</v>
    <v>3</v>
    <v>Finance</v>
    <v>4</v>
    <v>1619</v>
    <v>689</v>
    <v>1.968</v>
    <v>80.2</v>
    <v>6.7770999999999998E-2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1275.8</v>
    <v>Metals &amp; Mining</v>
    <v>Stock</v>
    <v>46185.472060185188</v>
    <v>1193.5</v>
    <v>42285580000</v>
    <v>PONDY OXIDES AND CHEMICALS LIMITED</v>
    <v>PONDY OXIDES AND CHEMICALS LIMITED</v>
    <v>1200</v>
    <v>28.731200000000001</v>
    <v>1183.4000000000001</v>
    <v>1263.5999999999999</v>
    <v>30511280</v>
    <v>POCL</v>
    <v>PONDY OXIDES AND CHEMICALS LIMITED (XNSE:POCL)</v>
    <v>385339</v>
    <v>260050</v>
    <v>1995</v>
  </rv>
  <rv s="2">
    <v>626</v>
  </rv>
  <rv s="0">
    <v>https://www.bing.com/financeapi/forcetrigger?t=ahjwur&amp;q=XNSE%3aSHILPAMED&amp;form=skydnc</v>
    <v>Learn more on Bing</v>
  </rv>
  <rv s="1">
    <v>en-IN</v>
    <v>ahjwur</v>
    <v>268435456</v>
    <v>1</v>
    <v>Powered by Refinitiv</v>
    <v>0</v>
    <v>SHILPA MEDICARE LIMITED (XNSE:SHILPAMED)</v>
    <v>2</v>
    <v>3</v>
    <v>Finance</v>
    <v>4</v>
    <v>581</v>
    <v>259.5</v>
    <v>0.42330000000000001</v>
    <v>7.9</v>
    <v>1.4661E-2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556.75</v>
    <v>Pharmaceuticals</v>
    <v>Stock</v>
    <v>46185.472071759257</v>
    <v>628</v>
    <v>538.20000000000005</v>
    <v>57677080000</v>
    <v>SHILPA MEDICARE LIMITED</v>
    <v>SHILPA MEDICARE LIMITED</v>
    <v>549.9</v>
    <v>43.05</v>
    <v>538.85</v>
    <v>546.75</v>
    <v>195581800</v>
    <v>SHILPAMED</v>
    <v>SHILPA MEDICARE LIMITED (XNSE:SHILPAMED)</v>
    <v>655163</v>
    <v>1425610</v>
    <v>1987</v>
  </rv>
  <rv s="2">
    <v>629</v>
  </rv>
  <rv s="0">
    <v>https://www.bing.com/financeapi/forcetrigger?t=ahj852&amp;q=XNSE%3aNMDC&amp;form=skydnc</v>
    <v>Learn more on Bing</v>
  </rv>
  <rv s="1">
    <v>en-IN</v>
    <v>ahj852</v>
    <v>268435456</v>
    <v>1</v>
    <v>Powered by Refinitiv</v>
    <v>0</v>
    <v>NMDC LIMITED (XNSE:NMDC)</v>
    <v>2</v>
    <v>3</v>
    <v>Finance</v>
    <v>4</v>
    <v>97.49</v>
    <v>66.8</v>
    <v>0.78959999999999997</v>
    <v>2.46</v>
    <v>2.7806000000000001E-2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91.3</v>
    <v>Metals &amp; Mining</v>
    <v>Stock</v>
    <v>46185.472071759257</v>
    <v>631</v>
    <v>89.62</v>
    <v>721984100000</v>
    <v>NMDC LIMITED</v>
    <v>NMDC LIMITED</v>
    <v>90</v>
    <v>10.7219</v>
    <v>88.47</v>
    <v>90.93</v>
    <v>8791817000</v>
    <v>NMDC</v>
    <v>NMDC LIMITED (XNSE:NMDC)</v>
    <v>17620294</v>
    <v>45478710</v>
    <v>1958</v>
  </rv>
  <rv s="2">
    <v>632</v>
  </rv>
  <rv s="0">
    <v>https://www.bing.com/financeapi/forcetrigger?t=c53jr7&amp;q=XNSE%3aGRWRHITECH&amp;form=skydnc</v>
    <v>Learn more on Bing</v>
  </rv>
  <rv s="1">
    <v>en-IN</v>
    <v>c53jr7</v>
    <v>268435456</v>
    <v>1</v>
    <v>Powered by Refinitiv</v>
    <v>0</v>
    <v>GARWARE HI-TECH FILMS LIMITED (XNSE:GRWRHITECH)</v>
    <v>2</v>
    <v>3</v>
    <v>Finance</v>
    <v>4</v>
    <v>6320</v>
    <v>2681</v>
    <v>1.1175999999999999</v>
    <v>-109.5</v>
    <v>-1.7544999999999998E-2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6306</v>
    <v>Chemicals</v>
    <v>Stock</v>
    <v>46185.472048611111</v>
    <v>634</v>
    <v>6094</v>
    <v>69866780000</v>
    <v>GARWARE HI-TECH FILMS LIMITED</v>
    <v>GARWARE HI-TECH FILMS LIMITED</v>
    <v>6250.5</v>
    <v>42.87</v>
    <v>6241</v>
    <v>6131.5</v>
    <v>23232390</v>
    <v>GRWRHITECH</v>
    <v>GARWARE HI-TECH FILMS LIMITED (XNSE:GRWRHITECH)</v>
    <v>54031</v>
    <v>80470</v>
    <v>1957</v>
  </rv>
  <rv s="2">
    <v>635</v>
  </rv>
  <rv s="0">
    <v>https://www.bing.com/financeapi/forcetrigger?t=ahhdmw&amp;q=XNSE%3aCGPOWER&amp;form=skydnc</v>
    <v>Learn more on Bing</v>
  </rv>
  <rv s="1">
    <v>en-IN</v>
    <v>ahhdmw</v>
    <v>268435456</v>
    <v>1</v>
    <v>Powered by Refinitiv</v>
    <v>0</v>
    <v>CG POWER AND INDUSTRIAL SOLUTIONS LIMITED (XNSE:CGPOWER)</v>
    <v>2</v>
    <v>3</v>
    <v>Finance</v>
    <v>4</v>
    <v>952</v>
    <v>525.5</v>
    <v>1.1759999999999999</v>
    <v>13.1</v>
    <v>1.4534E-2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919</v>
    <v>Machinery, Equipment &amp; Components</v>
    <v>Stock</v>
    <v>46185.472037037034</v>
    <v>637</v>
    <v>897.5</v>
    <v>915948800000</v>
    <v>CG POWER AND INDUSTRIAL SOLUTIONS LIMITED</v>
    <v>CG POWER AND INDUSTRIAL SOLUTIONS LIMITED</v>
    <v>919</v>
    <v>117.09</v>
    <v>901.35</v>
    <v>914.45</v>
    <v>1574958000</v>
    <v>CGPOWER</v>
    <v>CG POWER AND INDUSTRIAL SOLUTIONS LIMITED (XNSE:CGPOWER)</v>
    <v>2901434</v>
    <v>4787270</v>
    <v>1937</v>
  </rv>
  <rv s="2">
    <v>638</v>
  </rv>
  <rv s="0">
    <v>https://www.bing.com/financeapi/forcetrigger?t=c42na2&amp;q=XNSE%3aNYKAA&amp;form=skydnc</v>
    <v>Learn more on Bing</v>
  </rv>
  <rv s="1">
    <v>en-IN</v>
    <v>c42na2</v>
    <v>268435456</v>
    <v>1</v>
    <v>Powered by Refinitiv</v>
    <v>0</v>
    <v>FSN E-COMMERCE VENTURES LIMITED (XNSE:NYKAA)</v>
    <v>2</v>
    <v>3</v>
    <v>Finance</v>
    <v>4</v>
    <v>285.60000000000002</v>
    <v>191.16</v>
    <v>1.2977000000000001</v>
    <v>13.25</v>
    <v>5.0913000000000007E-2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275.64999999999998</v>
    <v>Diversified Retail</v>
    <v>Stock</v>
    <v>46185.472048611111</v>
    <v>640</v>
    <v>262.8</v>
    <v>728798600000</v>
    <v>FSN E-COMMERCE VENTURES LIMITED</v>
    <v>FSN E-COMMERCE VENTURES LIMITED</v>
    <v>264.7</v>
    <v>377.17</v>
    <v>260.25</v>
    <v>273.5</v>
    <v>2863824000</v>
    <v>NYKAA</v>
    <v>FSN E-COMMERCE VENTURES LIMITED (XNSE:NYKAA)</v>
    <v>12127542</v>
    <v>5866140</v>
    <v>2012</v>
  </rv>
  <rv s="2">
    <v>641</v>
  </rv>
  <rv s="0">
    <v>https://www.bing.com/financeapi/forcetrigger?t=ahgzqh&amp;q=XNSE%3aASTRAMICRO&amp;form=skydnc</v>
    <v>Learn more on Bing</v>
  </rv>
  <rv s="1">
    <v>en-IN</v>
    <v>ahgzqh</v>
    <v>268435456</v>
    <v>1</v>
    <v>Powered by Refinitiv</v>
    <v>0</v>
    <v>ASTRA MICROWAVE PRODUCTS LIMITED (XNSE:ASTRAMICRO)</v>
    <v>2</v>
    <v>3</v>
    <v>Finance</v>
    <v>4</v>
    <v>1478.8</v>
    <v>851</v>
    <v>1.6375999999999999</v>
    <v>47.5</v>
    <v>3.4018E-2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1461</v>
    <v>Electronic Equipment &amp; Parts</v>
    <v>Stock</v>
    <v>46185.472060185188</v>
    <v>643</v>
    <v>1418.8</v>
    <v>93630020000</v>
    <v>ASTRA MICROWAVE PRODUCTS LIMITED</v>
    <v>ASTRA MICROWAVE PRODUCTS LIMITED</v>
    <v>1419</v>
    <v>71.053100000000001</v>
    <v>1396.3</v>
    <v>1443.8</v>
    <v>94945010</v>
    <v>ASTRAMICRO</v>
    <v>ASTRA MICROWAVE PRODUCTS LIMITED (XNSE:ASTRAMICRO)</v>
    <v>573205</v>
    <v>1208530</v>
    <v>1991</v>
  </rv>
  <rv s="2">
    <v>644</v>
  </rv>
  <rv s="0">
    <v>https://www.bing.com/financeapi/forcetrigger?t=c1bvcw&amp;q=XNSE%3aANURAS&amp;form=skydnc</v>
    <v>Learn more on Bing</v>
  </rv>
  <rv s="1">
    <v>en-IN</v>
    <v>c1bvcw</v>
    <v>268435456</v>
    <v>1</v>
    <v>Powered by Refinitiv</v>
    <v>0</v>
    <v>ANUPAM RASAYAN INDIA LIMITED (XNSE:ANURAS)</v>
    <v>2</v>
    <v>3</v>
    <v>Finance</v>
    <v>4</v>
    <v>1415</v>
    <v>1044.5</v>
    <v>1.1671</v>
    <v>-7.7</v>
    <v>-6.1209999999999997E-3</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1299</v>
    <v>Chemicals</v>
    <v>Stock</v>
    <v>46185.472037037034</v>
    <v>646</v>
    <v>1208.2</v>
    <v>152294900000</v>
    <v>ANUPAM RASAYAN INDIA LIMITED</v>
    <v>ANUPAM RASAYAN INDIA LIMITED</v>
    <v>1299</v>
    <v>83.37</v>
    <v>1258</v>
    <v>1250.3</v>
    <v>113848300</v>
    <v>ANURAS</v>
    <v>ANUPAM RASAYAN INDIA LIMITED (XNSE:ANURAS)</v>
    <v>527760</v>
    <v>256480</v>
    <v>2003</v>
  </rv>
  <rv s="2">
    <v>647</v>
  </rv>
  <rv s="0">
    <v>https://www.bing.com/financeapi/forcetrigger?t=ahi7dm&amp;q=XNSE%3aHSCL&amp;form=skydnc</v>
    <v>Learn more on Bing</v>
  </rv>
  <rv s="1">
    <v>en-IN</v>
    <v>ahi7dm</v>
    <v>268435456</v>
    <v>1</v>
    <v>Powered by Refinitiv</v>
    <v>0</v>
    <v>HIMADRI SPECIALITY CHEMICAL LIMITED (XNSE:HSCL)</v>
    <v>2</v>
    <v>3</v>
    <v>Finance</v>
    <v>4</v>
    <v>707.45</v>
    <v>418.5</v>
    <v>1.7010000000000001</v>
    <v>0.45</v>
    <v>6.6170000000000009E-4</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693.5</v>
    <v>Chemicals</v>
    <v>Stock</v>
    <v>46185.472060185188</v>
    <v>649</v>
    <v>667.7</v>
    <v>239116800000</v>
    <v>HIMADRI SPECIALITY CHEMICAL LIMITED</v>
    <v>HIMADRI SPECIALITY CHEMICAL LIMITED</v>
    <v>692</v>
    <v>45.11</v>
    <v>680.05</v>
    <v>680.5</v>
    <v>504541600</v>
    <v>HSCL</v>
    <v>HIMADRI SPECIALITY CHEMICAL LIMITED (XNSE:HSCL)</v>
    <v>16776394</v>
    <v>15312040</v>
    <v>1987</v>
  </rv>
  <rv s="2">
    <v>650</v>
  </rv>
  <rv s="0">
    <v>https://www.bing.com/financeapi/forcetrigger?t=ahh7zr&amp;q=XNSE%3aBIOCON&amp;form=skydnc</v>
    <v>Learn more on Bing</v>
  </rv>
  <rv s="1">
    <v>en-IN</v>
    <v>ahh7zr</v>
    <v>268435456</v>
    <v>1</v>
    <v>Powered by Refinitiv</v>
    <v>0</v>
    <v>BIOCON LIMITED (XNSE:BIOCON)</v>
    <v>2</v>
    <v>3</v>
    <v>Finance</v>
    <v>4</v>
    <v>440.4</v>
    <v>330.9</v>
    <v>0.74790000000000001</v>
    <v>3.05</v>
    <v>7.3329999999999992E-3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422.15</v>
    <v>Biotechnology &amp; Medical Research</v>
    <v>Stock</v>
    <v>46185.472060185188</v>
    <v>652</v>
    <v>414.5</v>
    <v>568465400000</v>
    <v>BIOCON LIMITED</v>
    <v>BIOCON LIMITED</v>
    <v>419.5</v>
    <v>150.17920000000001</v>
    <v>415.95</v>
    <v>419</v>
    <v>1619507000</v>
    <v>BIOCON</v>
    <v>BIOCON LIMITED (XNSE:BIOCON)</v>
    <v>1674659</v>
    <v>3213660</v>
    <v>1978</v>
  </rv>
  <rv s="2">
    <v>653</v>
  </rv>
  <rv s="0">
    <v>https://www.bing.com/financeapi/forcetrigger?t=ahhk6h&amp;q=XNSE%3aDIAPOWER&amp;form=skydnc</v>
    <v>Learn more on Bing</v>
  </rv>
  <rv s="1">
    <v>en-IN</v>
    <v>ahhk6h</v>
    <v>268435456</v>
    <v>1</v>
    <v>Powered by Refinitiv</v>
    <v>0</v>
    <v>DIAMOND POWER INFRASTRUCTURE LIMITED (XNSE:DIACABS)</v>
    <v>2</v>
    <v>3</v>
    <v>Finance</v>
    <v>4</v>
    <v>212.4</v>
    <v>97.7</v>
    <v>1.6354</v>
    <v>8.18</v>
    <v>4.2224000000000005E-2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5/12 ESSEN HOUSE, BIDC GORWA, GUJARAT, 390016 IN</v>
    <v>203.5</v>
    <v>Machinery, Equipment &amp; Components</v>
    <v>Stock</v>
    <v>46185.472071759257</v>
    <v>655</v>
    <v>197.05</v>
    <v>69317770000</v>
    <v>DIAMOND POWER INFRASTRUCTURE LIMITED</v>
    <v>DIAMOND POWER INFRASTRUCTURE LIMITED</v>
    <v>197.5</v>
    <v>64.58</v>
    <v>193.73</v>
    <v>201.91</v>
    <v>526971100</v>
    <v>DIACABS</v>
    <v>DIAMOND POWER INFRASTRUCTURE LIMITED (XNSE:DIACABS)</v>
    <v>4513813</v>
    <v>4983790</v>
    <v>1992</v>
  </rv>
  <rv s="2">
    <v>656</v>
  </rv>
  <rv s="0">
    <v>https://www.bing.com/financeapi/forcetrigger?t=ahgr3m&amp;q=XNSE%3aADANIENT&amp;form=skydnc</v>
    <v>Learn more on Bing</v>
  </rv>
  <rv s="1">
    <v>en-IN</v>
    <v>ahgr3m</v>
    <v>268435456</v>
    <v>1</v>
    <v>Powered by Refinitiv</v>
    <v>0</v>
    <v>ADANI ENTERPRISES LIMITED (XNSE:ADANIENT)</v>
    <v>2</v>
    <v>3</v>
    <v>Finance</v>
    <v>4</v>
    <v>3059.8</v>
    <v>1753</v>
    <v>1.3915999999999999</v>
    <v>12.8</v>
    <v>4.4000000000000003E-3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2971.9</v>
    <v>Diversified Industrial Goods Wholesale</v>
    <v>Stock</v>
    <v>46185.472037037034</v>
    <v>658</v>
    <v>2886.2</v>
    <v>2677113000000</v>
    <v>ADANI ENTERPRISES LIMITED</v>
    <v>ADANI ENTERPRISES LIMITED</v>
    <v>2958.8</v>
    <v>37.738799999999998</v>
    <v>2908.8</v>
    <v>2921.6</v>
    <v>1440195000</v>
    <v>ADANIENT</v>
    <v>ADANI ENTERPRISES LIMITED (XNSE:ADANIENT)</v>
    <v>2321009</v>
    <v>2087790</v>
    <v>1993</v>
  </rv>
  <rv s="2">
    <v>659</v>
  </rv>
  <rv s="0">
    <v>https://www.bing.com/financeapi/forcetrigger?t=bmzvec&amp;q=XNSE%3aGRSE&amp;form=skydnc</v>
    <v>Learn more on Bing</v>
  </rv>
  <rv s="1">
    <v>en-IN</v>
    <v>bmzvec</v>
    <v>268435456</v>
    <v>1</v>
    <v>Powered by Refinitiv</v>
    <v>0</v>
    <v>GARDEN REACH SHIPBUILDERS &amp; ENGINEERS LIMITED (XNSE:GRSE)</v>
    <v>2</v>
    <v>3</v>
    <v>Finance</v>
    <v>4</v>
    <v>3538.4</v>
    <v>1963.7</v>
    <v>2.0747</v>
    <v>112.6</v>
    <v>4.4398999999999994E-2</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2659.3</v>
    <v>Aerospace &amp; Defense</v>
    <v>Stock</v>
    <v>46185.472048611111</v>
    <v>661</v>
    <v>2575</v>
    <v>280583700000</v>
    <v>GARDEN REACH SHIPBUILDERS &amp; ENGINEERS LIMITED</v>
    <v>GARDEN REACH SHIPBUILDERS &amp; ENGINEERS LIMITED</v>
    <v>2575</v>
    <v>38.840000000000003</v>
    <v>2536.1</v>
    <v>2648.7</v>
    <v>114552000</v>
    <v>GRSE</v>
    <v>GARDEN REACH SHIPBUILDERS &amp; ENGINEERS LIMITED (XNSE:GRSE)</v>
    <v>808526</v>
    <v>690880</v>
    <v>1934</v>
  </rv>
  <rv s="2">
    <v>662</v>
  </rv>
  <rv s="0">
    <v>https://www.bing.com/financeapi/forcetrigger?t=ahiou2&amp;q=XNSE%3aKSCL&amp;form=skydnc</v>
    <v>Learn more on Bing</v>
  </rv>
  <rv s="1">
    <v>en-IN</v>
    <v>ahiou2</v>
    <v>268435456</v>
    <v>1</v>
    <v>Powered by Refinitiv</v>
    <v>0</v>
    <v>KAVERI SEED COMPANY LTD. (XNSE:KSCL)</v>
    <v>2</v>
    <v>3</v>
    <v>Finance</v>
    <v>4</v>
    <v>1449.7</v>
    <v>705.1</v>
    <v>0.59470000000000001</v>
    <v>8.75</v>
    <v>1.0056000000000001E-2</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890</v>
    <v>Food &amp; Tobacco</v>
    <v>Stock</v>
    <v>46185.472071759257</v>
    <v>664</v>
    <v>875.15</v>
    <v>45884960000</v>
    <v>KAVERI SEED COMPANY LTD.</v>
    <v>KAVERI SEED COMPANY LTD.</v>
    <v>890</v>
    <v>15.28</v>
    <v>870.1</v>
    <v>878.85</v>
    <v>51040870</v>
    <v>KSCL</v>
    <v>KAVERI SEED COMPANY LTD. (XNSE:KSCL)</v>
    <v>34995</v>
    <v>87740</v>
    <v>1986</v>
  </rv>
  <rv s="2">
    <v>665</v>
  </rv>
  <rv s="3">
    <v>en-IN</v>
    <v>c9it27</v>
    <v>268435456</v>
    <v>1</v>
    <v>Powered by Refinitiv</v>
    <v>5</v>
    <v>Avalon Technologies Ltd (XNSE:AVALON)</v>
    <v>6</v>
    <v>3</v>
    <v>Finance</v>
    <v>4</v>
    <v>1696</v>
    <v>777.3</v>
    <v>1.409</v>
    <v>118.8</v>
    <v>7.575599999999999E-2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1696</v>
    <v>Electronic Equipment &amp; Parts</v>
    <v>Stock</v>
    <v>46185.472071759257</v>
    <v>1567</v>
    <v>59435520000</v>
    <v>Avalon Technologies Ltd</v>
    <v>Avalon Technologies Ltd</v>
    <v>1587.9</v>
    <v>92.68</v>
    <v>1568.2</v>
    <v>1687</v>
    <v>66787700</v>
    <v>AVALON</v>
    <v>Avalon Technologies Ltd (XNSE:AVALON)</v>
    <v>476593</v>
    <v>409740</v>
    <v>1999</v>
  </rv>
  <rv s="2">
    <v>667</v>
  </rv>
  <rv s="0">
    <v>https://www.bing.com/financeapi/forcetrigger?t=ahherw&amp;q=XNSE%3aCOALINDIA&amp;form=skydnc</v>
    <v>Learn more on Bing</v>
  </rv>
  <rv s="1">
    <v>en-IN</v>
    <v>ahherw</v>
    <v>268435456</v>
    <v>1</v>
    <v>Powered by Refinitiv</v>
    <v>0</v>
    <v>COAL INDIA LTD (XNSE:COALINDIA)</v>
    <v>2</v>
    <v>3</v>
    <v>Finance</v>
    <v>4</v>
    <v>491.25</v>
    <v>368.65</v>
    <v>0.6734</v>
    <v>-2.7</v>
    <v>-6.051E-3</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453.35</v>
    <v>Coal</v>
    <v>Stock</v>
    <v>46185.472083333334</v>
    <v>669</v>
    <v>439.65</v>
    <v>2643194000000</v>
    <v>COAL INDIA LTD</v>
    <v>COAL INDIA LTD</v>
    <v>453.35</v>
    <v>8.84</v>
    <v>446.2</v>
    <v>443.5</v>
    <v>6162729000</v>
    <v>COALINDIA</v>
    <v>COAL INDIA LTD (XNSE:COALINDIA)</v>
    <v>9946830</v>
    <v>15875010</v>
    <v>1973</v>
  </rv>
  <rv s="2">
    <v>670</v>
  </rv>
  <rv s="0">
    <v>https://www.bing.com/financeapi/forcetrigger?t=ahh27w&amp;q=XNSE%3aAVANTIFEED&amp;form=skydnc</v>
    <v>Learn more on Bing</v>
  </rv>
  <rv s="1">
    <v>en-IN</v>
    <v>ahh27w</v>
    <v>268435456</v>
    <v>1</v>
    <v>Powered by Refinitiv</v>
    <v>0</v>
    <v>AVANTI FEEDS LIMITED (XNSE:AVANTIFEED)</v>
    <v>2</v>
    <v>3</v>
    <v>Finance</v>
    <v>4</v>
    <v>1593.8</v>
    <v>614.25</v>
    <v>0.54420000000000002</v>
    <v>26</v>
    <v>2.5142999999999999E-2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1064</v>
    <v>Food &amp; Tobacco</v>
    <v>Stock</v>
    <v>46185.472048611111</v>
    <v>672</v>
    <v>1036.9000000000001</v>
    <v>110815400000</v>
    <v>AVANTI FEEDS LIMITED</v>
    <v>AVANTI FEEDS LIMITED</v>
    <v>1059</v>
    <v>22.73</v>
    <v>1034.0999999999999</v>
    <v>1060.0999999999999</v>
    <v>136245600</v>
    <v>AVANTIFEED</v>
    <v>AVANTI FEEDS LIMITED (XNSE:AVANTIFEED)</v>
    <v>447496</v>
    <v>780830</v>
    <v>1993</v>
  </rv>
  <rv s="2">
    <v>673</v>
  </rv>
  <rv s="0">
    <v>https://www.bing.com/financeapi/forcetrigger?t=ahkhjc&amp;q=XNSE%3aUNIONBANK&amp;form=skydnc</v>
    <v>Learn more on Bing</v>
  </rv>
  <rv s="1">
    <v>en-IN</v>
    <v>ahkhjc</v>
    <v>268435456</v>
    <v>1</v>
    <v>Powered by Refinitiv</v>
    <v>0</v>
    <v>UNION BANK OF INDIA LIMITED (XNSE:UNIONBANK)</v>
    <v>2</v>
    <v>3</v>
    <v>Finance</v>
    <v>4</v>
    <v>205.49</v>
    <v>124.64</v>
    <v>1.1024</v>
    <v>5.51</v>
    <v>3.3487000000000003E-2</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170.42</v>
    <v>Banking Services</v>
    <v>Stock</v>
    <v>46185.472060185188</v>
    <v>675</v>
    <v>166.15</v>
    <v>1268629000000</v>
    <v>UNION BANK OF INDIA LIMITED</v>
    <v>UNION BANK OF INDIA LIMITED</v>
    <v>167.5</v>
    <v>6.46</v>
    <v>164.54</v>
    <v>170.05</v>
    <v>7633605000</v>
    <v>UNIONBANK</v>
    <v>UNION BANK OF INDIA LIMITED (XNSE:UNIONBANK)</v>
    <v>13371950</v>
    <v>16327420</v>
    <v>1919</v>
  </rv>
  <rv s="2">
    <v>676</v>
  </rv>
  <rv s="0">
    <v>https://www.bing.com/financeapi/forcetrigger?t=ahh34c&amp;q=XNSE%3aBAJAJCON&amp;form=skydnc</v>
    <v>Learn more on Bing</v>
  </rv>
  <rv s="1">
    <v>en-IN</v>
    <v>ahh34c</v>
    <v>268435456</v>
    <v>1</v>
    <v>Powered by Refinitiv</v>
    <v>0</v>
    <v>BAJAJ CONSUMER CARE LIMITED (XNSE:BAJAJCON)</v>
    <v>2</v>
    <v>3</v>
    <v>Finance</v>
    <v>4</v>
    <v>595.79999999999995</v>
    <v>168.25</v>
    <v>0.75900000000000001</v>
    <v>25.4</v>
    <v>4.4856999999999994E-2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595.79999999999995</v>
    <v>Personal &amp; Household Products &amp; Services</v>
    <v>Stock</v>
    <v>46185.472071759257</v>
    <v>678</v>
    <v>572.70000000000005</v>
    <v>37030290000</v>
    <v>BAJAJ CONSUMER CARE LIMITED</v>
    <v>BAJAJ CONSUMER CARE LIMITED</v>
    <v>574.5</v>
    <v>41.79</v>
    <v>566.25</v>
    <v>591.65</v>
    <v>130618300</v>
    <v>BAJAJCON</v>
    <v>BAJAJ CONSUMER CARE LIMITED (XNSE:BAJAJCON)</v>
    <v>544779</v>
    <v>790000</v>
    <v>2006</v>
  </rv>
  <rv s="2">
    <v>679</v>
  </rv>
  <rv s="0">
    <v>https://www.bing.com/financeapi/forcetrigger?t=ahheur&amp;q=XNSE%3aCOCHINSHIP&amp;form=skydnc</v>
    <v>Learn more on Bing</v>
  </rv>
  <rv s="1">
    <v>en-IN</v>
    <v>ahheur</v>
    <v>268435456</v>
    <v>1</v>
    <v>Powered by Refinitiv</v>
    <v>0</v>
    <v>COCHIN SHIPYARD LIMITED (XNSE:COCHINSHIP)</v>
    <v>2</v>
    <v>3</v>
    <v>Finance</v>
    <v>4</v>
    <v>2418.6</v>
    <v>1187</v>
    <v>1.8032999999999999</v>
    <v>36.5</v>
    <v>2.6301000000000001E-2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1428</v>
    <v>Machinery, Equipment &amp; Components</v>
    <v>Stock</v>
    <v>46185.472083333334</v>
    <v>681</v>
    <v>1395.5</v>
    <v>407064900000</v>
    <v>COCHIN SHIPYARD LIMITED</v>
    <v>COCHIN SHIPYARD LIMITED</v>
    <v>1405.1</v>
    <v>52.287100000000002</v>
    <v>1387.8</v>
    <v>1424.3</v>
    <v>263080800</v>
    <v>COCHINSHIP</v>
    <v>COCHIN SHIPYARD LIMITED (XNSE:COCHINSHIP)</v>
    <v>837543</v>
    <v>948270</v>
    <v>1972</v>
  </rv>
  <rv s="2">
    <v>682</v>
  </rv>
  <rv s="0">
    <v>https://www.bing.com/financeapi/forcetrigger?t=b1ntp2&amp;q=XNSE%3aSOUTHWEST&amp;form=skydnc</v>
    <v>Learn more on Bing</v>
  </rv>
  <rv s="1">
    <v>en-IN</v>
    <v>b1ntp2</v>
    <v>268435456</v>
    <v>1</v>
    <v>Powered by Refinitiv</v>
    <v>0</v>
    <v>SOUTH WEST PINNACLE EXPLORATION LIMITED (XNSE:SOUTHWEST)</v>
    <v>2</v>
    <v>3</v>
    <v>Finance</v>
    <v>4</v>
    <v>275</v>
    <v>121</v>
    <v>0.65210000000000001</v>
    <v>2.35</v>
    <v>9.7859999999999996E-3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251</v>
    <v>Oil &amp; Gas Related Equipment and Services</v>
    <v>Stock</v>
    <v>46185.472048611111</v>
    <v>684</v>
    <v>231.05</v>
    <v>5328535000</v>
    <v>SOUTH WEST PINNACLE EXPLORATION LIMITED</v>
    <v>SOUTH WEST PINNACLE EXPLORATION LIMITED</v>
    <v>248.5</v>
    <v>21.81</v>
    <v>240.15</v>
    <v>242.5</v>
    <v>29830010</v>
    <v>SOUTHWEST</v>
    <v>SOUTH WEST PINNACLE EXPLORATION LIMITED (XNSE:SOUTHWEST)</v>
    <v>1157074</v>
    <v>732910</v>
    <v>2006</v>
  </rv>
  <rv s="2">
    <v>685</v>
  </rv>
  <rv s="3">
    <v>en-IN</v>
    <v>cavcsm</v>
    <v>268435456</v>
    <v>1</v>
    <v>Powered by Refinitiv</v>
    <v>5</v>
    <v>R R KABEL LIMITED (XNSE:RRKABEL)</v>
    <v>6</v>
    <v>3</v>
    <v>Finance</v>
    <v>4</v>
    <v>2239.8000000000002</v>
    <v>1165</v>
    <v>1.02</v>
    <v>40.1</v>
    <v>1.8843000000000002E-2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2216.6999999999998</v>
    <v>Machinery, Equipment &amp; Components</v>
    <v>Stock</v>
    <v>46185.472071759257</v>
    <v>2142.1</v>
    <v>169905200000</v>
    <v>R R KABEL LIMITED</v>
    <v>R R KABEL LIMITED</v>
    <v>2155</v>
    <v>48.89</v>
    <v>2128.1</v>
    <v>2168.1999999999998</v>
    <v>113105500</v>
    <v>RRKABEL</v>
    <v>R R KABEL LIMITED (XNSE:RRKABEL)</v>
    <v>467495</v>
    <v>670470</v>
    <v>1995</v>
  </rv>
  <rv s="2">
    <v>687</v>
  </rv>
  <rv s="3">
    <v>en-IN</v>
    <v>chn55r</v>
    <v>268435456</v>
    <v>1</v>
    <v>Powered by Refinitiv</v>
    <v>5</v>
    <v>ADITYA INFOTECH LIMITED (XNSE:CPPLUS)</v>
    <v>6</v>
    <v>3</v>
    <v>Finance</v>
    <v>4</v>
    <v>3714.4</v>
    <v>1015</v>
    <v>0.67800000000000005</v>
    <v>32.4</v>
    <v>9.689999999999999E-3</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3436.4</v>
    <v>Professional &amp; Commercial Services</v>
    <v>Stock</v>
    <v>46185.472129629627</v>
    <v>3266</v>
    <v>166878700000</v>
    <v>ADITYA INFOTECH LIMITED</v>
    <v>ADITYA INFOTECH LIMITED</v>
    <v>3436.4</v>
    <v>105.21</v>
    <v>3343.5</v>
    <v>3375.9</v>
    <v>117850500</v>
    <v>CPPLUS</v>
    <v>ADITYA INFOTECH LIMITED (XNSE:CPPLUS)</v>
    <v>205285</v>
    <v>607400</v>
    <v>1995</v>
  </rv>
  <rv s="2">
    <v>689</v>
  </rv>
  <rv s="8">
    <v>en-IN</v>
    <v>cfttvh</v>
    <v>268435456</v>
    <v>1</v>
    <v>Powered by Refinitiv</v>
    <v>12</v>
    <v>NIBE LIMITED (XNSE:NIBE)</v>
    <v>6</v>
    <v>13</v>
    <v>Finance</v>
    <v>4</v>
    <v>2001</v>
    <v>809.6</v>
    <v>143.5</v>
    <v>9.9992999999999999E-2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1578.6</v>
    <v>Aerospace &amp; Defense</v>
    <v>Stock</v>
    <v>46185.472094907411</v>
    <v>1467.7</v>
    <v>17537840000</v>
    <v>NIBE LIMITED</v>
    <v>NIBE LIMITED</v>
    <v>1469.8</v>
    <v>602.98</v>
    <v>1435.1</v>
    <v>1578.6</v>
    <v>15261270</v>
    <v>NIBE</v>
    <v>NIBE LIMITED (XNSE:NIBE)</v>
    <v>295217</v>
    <v>300460</v>
    <v>2005</v>
  </rv>
  <rv s="2">
    <v>691</v>
  </rv>
  <rv s="0">
    <v>https://www.bing.com/financeapi/forcetrigger?t=bwv5yc&amp;q=XNSE%3aGLAND&amp;form=skydnc</v>
    <v>Learn more on Bing</v>
  </rv>
  <rv s="1">
    <v>en-IN</v>
    <v>bwv5yc</v>
    <v>268435456</v>
    <v>1</v>
    <v>Powered by Refinitiv</v>
    <v>0</v>
    <v>GLAND PHARMA LTD (XNSE:GLAND)</v>
    <v>2</v>
    <v>3</v>
    <v>Finance</v>
    <v>4</v>
    <v>2396</v>
    <v>1573.6</v>
    <v>0.19869999999999999</v>
    <v>-44.3</v>
    <v>-1.9207000000000002E-2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2354</v>
    <v>Pharmaceuticals</v>
    <v>Stock</v>
    <v>46185.472037037034</v>
    <v>693</v>
    <v>2250</v>
    <v>283249300000</v>
    <v>GLAND PHARMA LTD</v>
    <v>GLAND PHARMA LTD</v>
    <v>2311.5</v>
    <v>36.99</v>
    <v>2306.5</v>
    <v>2262.1999999999998</v>
    <v>164959700</v>
    <v>GLAND</v>
    <v>GLAND PHARMA LTD (XNSE:GLAND)</v>
    <v>695609</v>
    <v>645460</v>
    <v>1978</v>
  </rv>
  <rv s="2">
    <v>694</v>
  </rv>
  <rv s="0">
    <v>https://www.bing.com/financeapi/forcetrigger?t=bqettc&amp;q=XNSE%3aCONFIPET&amp;form=skydnc</v>
    <v>Learn more on Bing</v>
  </rv>
  <rv s="1">
    <v>en-IN</v>
    <v>bqettc</v>
    <v>268435456</v>
    <v>1</v>
    <v>Powered by Refinitiv</v>
    <v>0</v>
    <v>CONFIDENCE PETROLEUM INDIA LIMITED (XNSE:CONFIPET)</v>
    <v>2</v>
    <v>3</v>
    <v>Finance</v>
    <v>4</v>
    <v>80.569999999999993</v>
    <v>28.06</v>
    <v>0.96530000000000005</v>
    <v>-2.14</v>
    <v>-2.9493000000000002E-2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74.900000000000006</v>
    <v>Oil &amp; Gas</v>
    <v>Stock</v>
    <v>46185.472048611111</v>
    <v>696</v>
    <v>69.510000000000005</v>
    <v>11289550000</v>
    <v>CONFIDENCE PETROLEUM INDIA LIMITED</v>
    <v>CONFIDENCE PETROLEUM INDIA LIMITED</v>
    <v>74</v>
    <v>25.15</v>
    <v>72.56</v>
    <v>70.42</v>
    <v>332241000</v>
    <v>CONFIPET</v>
    <v>CONFIDENCE PETROLEUM INDIA LIMITED (XNSE:CONFIPET)</v>
    <v>1773569</v>
    <v>4348700</v>
    <v>1994</v>
  </rv>
  <rv s="2">
    <v>697</v>
  </rv>
  <rv s="0">
    <v>https://www.bing.com/financeapi/forcetrigger?t=ahjihw&amp;q=XNSE%3aPREMEXPLN&amp;form=skydnc</v>
    <v>Learn more on Bing</v>
  </rv>
  <rv s="1">
    <v>en-IN</v>
    <v>ahjihw</v>
    <v>268435456</v>
    <v>1</v>
    <v>Powered by Refinitiv</v>
    <v>0</v>
    <v>PREMIER EXPLOSIVES LIMITED (XNSE:PREMEXPLN)</v>
    <v>2</v>
    <v>3</v>
    <v>Finance</v>
    <v>4</v>
    <v>779.5</v>
    <v>378.4</v>
    <v>1.9777</v>
    <v>37.799999999999997</v>
    <v>5.7723000000000003E-2</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696.8</v>
    <v>Chemicals</v>
    <v>Stock</v>
    <v>46185.472071759257</v>
    <v>699</v>
    <v>662</v>
    <v>27238110000</v>
    <v>PREMIER EXPLOSIVES LIMITED</v>
    <v>PREMIER EXPLOSIVES LIMITED</v>
    <v>662</v>
    <v>81.296899999999994</v>
    <v>654.85</v>
    <v>692.65</v>
    <v>53761200</v>
    <v>PREMEXPLN</v>
    <v>PREMIER EXPLOSIVES LIMITED (XNSE:PREMEXPLN)</v>
    <v>646540</v>
    <v>1027270</v>
    <v>1980</v>
  </rv>
  <rv s="2">
    <v>700</v>
  </rv>
  <rv s="0">
    <v>https://www.bing.com/financeapi/forcetrigger?t=ahjt77&amp;q=XNSE%3aSANGHVIMOV&amp;form=skydnc</v>
    <v>Learn more on Bing</v>
  </rv>
  <rv s="1">
    <v>en-IN</v>
    <v>ahjt77</v>
    <v>268435456</v>
    <v>1</v>
    <v>Powered by Refinitiv</v>
    <v>0</v>
    <v>SANGHVI MOVERS LIMITED (XNSE:SANGHVIMOV)</v>
    <v>2</v>
    <v>3</v>
    <v>Finance</v>
    <v>4</v>
    <v>411.9</v>
    <v>223.8</v>
    <v>1.0482</v>
    <v>16.649999999999999</v>
    <v>4.4842000000000007E-2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389.85</v>
    <v>Professional &amp; Commercial Services</v>
    <v>Stock</v>
    <v>46185.472060185188</v>
    <v>702</v>
    <v>375</v>
    <v>27284430000</v>
    <v>SANGHVI MOVERS LIMITED</v>
    <v>SANGHVI MOVERS LIMITED</v>
    <v>375</v>
    <v>17.440000000000001</v>
    <v>371.3</v>
    <v>387.95</v>
    <v>86576000</v>
    <v>SANGHVIMOV</v>
    <v>SANGHVI MOVERS LIMITED (XNSE:SANGHVIMOV)</v>
    <v>310635</v>
    <v>283800</v>
    <v>1989</v>
  </rv>
  <rv s="2">
    <v>703</v>
  </rv>
  <rv s="0">
    <v>https://www.bing.com/financeapi/forcetrigger?t=azjuur&amp;q=XNSE%3aSANDHAR&amp;form=skydnc</v>
    <v>Learn more on Bing</v>
  </rv>
  <rv s="1">
    <v>en-IN</v>
    <v>azjuur</v>
    <v>268435456</v>
    <v>1</v>
    <v>Powered by Refinitiv</v>
    <v>0</v>
    <v>SANDHAR TECHNOLOGIES LIMITED (XNSE:SANDHAR)</v>
    <v>2</v>
    <v>3</v>
    <v>Finance</v>
    <v>4</v>
    <v>763.2</v>
    <v>405.2</v>
    <v>1.0653999999999999</v>
    <v>-22.65</v>
    <v>-3.0831000000000001E-2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763.2</v>
    <v>Automobiles &amp; Auto Parts</v>
    <v>Stock</v>
    <v>46185.472037037034</v>
    <v>705</v>
    <v>707.4</v>
    <v>33655630000</v>
    <v>SANDHAR TECHNOLOGIES LIMITED</v>
    <v>SANDHAR TECHNOLOGIES LIMITED</v>
    <v>750</v>
    <v>22.26</v>
    <v>734.65</v>
    <v>712</v>
    <v>60190710</v>
    <v>SANDHAR</v>
    <v>SANDHAR TECHNOLOGIES LIMITED (XNSE:SANDHAR)</v>
    <v>843988</v>
    <v>749190</v>
    <v>1987</v>
  </rv>
  <rv s="2">
    <v>706</v>
  </rv>
  <rv s="0">
    <v>https://www.bing.com/financeapi/forcetrigger?t=ahigu2&amp;q=XNSE%3aJINDRILL&amp;form=skydnc</v>
    <v>Learn more on Bing</v>
  </rv>
  <rv s="1">
    <v>en-IN</v>
    <v>ahigu2</v>
    <v>268435456</v>
    <v>1</v>
    <v>Powered by Refinitiv</v>
    <v>0</v>
    <v>JINDAL DRILLING AND INDUSTRIES LIMITED (XNSE:JINDRILL)</v>
    <v>2</v>
    <v>3</v>
    <v>Finance</v>
    <v>4</v>
    <v>693.5</v>
    <v>440.1</v>
    <v>0.71879999999999999</v>
    <v>-9.65</v>
    <v>-1.5839000000000002E-2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610.4</v>
    <v>Oil &amp; Gas Related Equipment and Services</v>
    <v>Stock</v>
    <v>46185.472060185188</v>
    <v>708</v>
    <v>595.54999999999995</v>
    <v>15096260000</v>
    <v>JINDAL DRILLING AND INDUSTRIES LIMITED</v>
    <v>JINDAL DRILLING AND INDUSTRIES LIMITED</v>
    <v>606.20000000000005</v>
    <v>8.6460000000000008</v>
    <v>609.25</v>
    <v>599.6</v>
    <v>28981100</v>
    <v>JINDRILL</v>
    <v>JINDAL DRILLING AND INDUSTRIES LIMITED (XNSE:JINDRILL)</v>
    <v>321666</v>
    <v>523870</v>
    <v>2004</v>
  </rv>
  <rv s="2">
    <v>709</v>
  </rv>
  <rv s="0">
    <v>https://www.bing.com/financeapi/forcetrigger?t=c4iym7&amp;q=XNSE%3aRATEGAIN&amp;form=skydnc</v>
    <v>Learn more on Bing</v>
  </rv>
  <rv s="1">
    <v>en-IN</v>
    <v>c4iym7</v>
    <v>268435456</v>
    <v>1</v>
    <v>Powered by Refinitiv</v>
    <v>0</v>
    <v>RATEGAIN TRAVEL TECHNOLOGIES LIMITED (XNSE:RATEGAIN)</v>
    <v>2</v>
    <v>3</v>
    <v>Finance</v>
    <v>4</v>
    <v>802</v>
    <v>417.6</v>
    <v>1.464</v>
    <v>10.3</v>
    <v>1.3329000000000001E-2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797</v>
    <v>Software &amp; IT Services</v>
    <v>Stock</v>
    <v>46185.472048611111</v>
    <v>711</v>
    <v>775</v>
    <v>78109270000</v>
    <v>RATEGAIN TRAVEL TECHNOLOGIES LIMITED</v>
    <v>RATEGAIN TRAVEL TECHNOLOGIES LIMITED</v>
    <v>788</v>
    <v>46.92</v>
    <v>772.75</v>
    <v>783.05</v>
    <v>118097800</v>
    <v>RATEGAIN</v>
    <v>RATEGAIN TRAVEL TECHNOLOGIES LIMITED (XNSE:RATEGAIN)</v>
    <v>327158</v>
    <v>572290</v>
    <v>2012</v>
  </rv>
  <rv s="2">
    <v>712</v>
  </rv>
  <rv s="0">
    <v>https://www.bing.com/financeapi/forcetrigger?t=c4oac7&amp;q=XNSE%3aSUPRIYA&amp;form=skydnc</v>
    <v>Learn more on Bing</v>
  </rv>
  <rv s="1">
    <v>en-IN</v>
    <v>c4oac7</v>
    <v>268435456</v>
    <v>1</v>
    <v>Powered by Refinitiv</v>
    <v>0</v>
    <v>SUPRIYA LIFESCIENCE LIMITED (XNSE:SUPRIYA)</v>
    <v>2</v>
    <v>3</v>
    <v>Finance</v>
    <v>4</v>
    <v>1085</v>
    <v>545.5</v>
    <v>1.2479</v>
    <v>40.15</v>
    <v>4.2849999999999999E-2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995</v>
    <v>Pharmaceuticals</v>
    <v>Stock</v>
    <v>46185.472048611111</v>
    <v>714</v>
    <v>952.55</v>
    <v>59444600000</v>
    <v>SUPRIYA LIFESCIENCE LIMITED</v>
    <v>SUPRIYA LIFESCIENCE LIMITED</v>
    <v>960</v>
    <v>36.07</v>
    <v>937</v>
    <v>977.15</v>
    <v>80482800</v>
    <v>SUPRIYA</v>
    <v>SUPRIYA LIFESCIENCE LIMITED (XNSE:SUPRIYA)</v>
    <v>709530</v>
    <v>1217230</v>
    <v>2008</v>
  </rv>
  <rv s="2">
    <v>715</v>
  </rv>
  <rv s="0">
    <v>https://www.bing.com/financeapi/forcetrigger?t=ahk2lh&amp;q=XNSE%3aSPARC&amp;form=skydnc</v>
    <v>Learn more on Bing</v>
  </rv>
  <rv s="1">
    <v>en-IN</v>
    <v>ahk2lh</v>
    <v>268435456</v>
    <v>1</v>
    <v>Powered by Refinitiv</v>
    <v>0</v>
    <v>SUN PHARMA ADVANCED RESEARCH COMPANY LIMITED (XNSE:SPARC)</v>
    <v>2</v>
    <v>3</v>
    <v>Finance</v>
    <v>4</v>
    <v>248.75</v>
    <v>108</v>
    <v>1.5443</v>
    <v>19.649999999999999</v>
    <v>9.6271999999999996E-2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224.52</v>
    <v>Pharmaceuticals</v>
    <v>Stock</v>
    <v>46185.472060185188</v>
    <v>717</v>
    <v>205.81</v>
    <v>44086260000</v>
    <v>SUN PHARMA ADVANCED RESEARCH COMPANY LIMITED</v>
    <v>SUN PHARMA ADVANCED RESEARCH COMPANY LIMITED</v>
    <v>206.6</v>
    <v>4.6763000000000003</v>
    <v>204.11</v>
    <v>223.76</v>
    <v>324521600</v>
    <v>SPARC</v>
    <v>SUN PHARMA ADVANCED RESEARCH COMPANY LIMITED (XNSE:SPARC)</v>
    <v>8056789</v>
    <v>3985880</v>
    <v>2006</v>
  </rv>
  <rv s="2">
    <v>718</v>
  </rv>
  <rv s="0">
    <v>https://www.bing.com/financeapi/forcetrigger?t=ahiimw&amp;q=XNSE%3aJSWENERGY&amp;form=skydnc</v>
    <v>Learn more on Bing</v>
  </rv>
  <rv s="1">
    <v>en-IN</v>
    <v>ahiimw</v>
    <v>268435456</v>
    <v>1</v>
    <v>Powered by Refinitiv</v>
    <v>0</v>
    <v>JSW ENERGY LIMITED (XNSE:JSWENERGY)</v>
    <v>2</v>
    <v>3</v>
    <v>Finance</v>
    <v>4</v>
    <v>617.35</v>
    <v>427.75</v>
    <v>1.3754</v>
    <v>7.1</v>
    <v>1.2856000000000001E-2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566.29999999999995</v>
    <v>Electrical Utilities &amp; IPPs</v>
    <v>Stock</v>
    <v>46185.472071759257</v>
    <v>720</v>
    <v>549.29999999999995</v>
    <v>863034400000</v>
    <v>JSW ENERGY LIMITED</v>
    <v>JSW ENERGY LIMITED</v>
    <v>562</v>
    <v>43.597000000000001</v>
    <v>552.25</v>
    <v>559.35</v>
    <v>1832382000</v>
    <v>JSWENERGY</v>
    <v>JSW ENERGY LIMITED (XNSE:JSWENERGY)</v>
    <v>2727602</v>
    <v>3297180</v>
    <v>1994</v>
  </rv>
  <rv s="2">
    <v>721</v>
  </rv>
  <rv s="0">
    <v>https://www.bing.com/financeapi/forcetrigger?t=ahk7qh&amp;q=XNSE%3aSUVEN&amp;form=skydnc</v>
    <v>Learn more on Bing</v>
  </rv>
  <rv s="1">
    <v>en-IN</v>
    <v>ahk7qh</v>
    <v>268435456</v>
    <v>1</v>
    <v>Powered by Refinitiv</v>
    <v>0</v>
    <v>SUVEN LIFE SCIENCES LIMITED (XNSE:SUVEN)</v>
    <v>2</v>
    <v>3</v>
    <v>Finance</v>
    <v>4</v>
    <v>299.99</v>
    <v>124.11</v>
    <v>1.4474</v>
    <v>5.0999999999999996</v>
    <v>1.9380999999999999E-2</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273.7</v>
    <v>Biotechnology &amp; Medical Research</v>
    <v>Stock</v>
    <v>46185.472060185188</v>
    <v>723</v>
    <v>263.14999999999998</v>
    <v>34830850000</v>
    <v>SUVEN LIFE SCIENCES LIMITED</v>
    <v>SUVEN LIFE SCIENCES LIMITED</v>
    <v>265.2</v>
    <v>0</v>
    <v>263.14999999999998</v>
    <v>268.25</v>
    <v>263720600</v>
    <v>SUVEN</v>
    <v>SUVEN LIFE SCIENCES LIMITED (XNSE:SUVEN)</v>
    <v>1031465</v>
    <v>2177820</v>
    <v>1989</v>
  </rv>
  <rv s="2">
    <v>724</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1.3119000000000001</v>
    <v>53</v>
    <v>3.5296000000000001E-2</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1584</v>
    <v>Chemicals</v>
    <v>Stock</v>
    <v>46185.472037037034</v>
    <v>726</v>
    <v>1511.1</v>
    <v>154578200000</v>
    <v>DEEPAK FERTILISERS AND PETROCHEMICALS CORPORATION LTD</v>
    <v>DEEPAK FERTILISERS AND PETROCHEMICALS CORPORATION LTD</v>
    <v>1524</v>
    <v>25.71</v>
    <v>1501.6</v>
    <v>1554.6</v>
    <v>126237800</v>
    <v>DEEPAKFERT</v>
    <v>DEEPAK FERTILISERS AND PETROCHEMICALS CORPORATION LTD (XNSE:DEEPAKFERT)</v>
    <v>740484</v>
    <v>424820</v>
    <v>1979</v>
  </rv>
  <rv s="2">
    <v>727</v>
  </rv>
  <rv s="0">
    <v>https://www.bing.com/financeapi/forcetrigger?t=ahkcec&amp;q=XNSE%3aTHERMAX&amp;form=skydnc</v>
    <v>Learn more on Bing</v>
  </rv>
  <rv s="1">
    <v>en-IN</v>
    <v>ahkcec</v>
    <v>268435456</v>
    <v>1</v>
    <v>Powered by Refinitiv</v>
    <v>0</v>
    <v>THERMAX LIMITED. (XNSE:THERMAX)</v>
    <v>2</v>
    <v>3</v>
    <v>Finance</v>
    <v>4</v>
    <v>5075</v>
    <v>2742.7</v>
    <v>0.35970000000000002</v>
    <v>155</v>
    <v>3.3907E-2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4746.8999999999996</v>
    <v>Machinery, Equipment &amp; Components</v>
    <v>Stock</v>
    <v>46185.472037037034</v>
    <v>729</v>
    <v>4626.6000000000004</v>
    <v>333912500000</v>
    <v>THERMAX LIMITED.</v>
    <v>THERMAX LIMITED.</v>
    <v>4626.6000000000004</v>
    <v>73.906199999999998</v>
    <v>4571.3</v>
    <v>4726.3</v>
    <v>112648700</v>
    <v>THERMAX</v>
    <v>THERMAX LIMITED. (XNSE:THERMAX)</v>
    <v>238336</v>
    <v>415560</v>
    <v>1980</v>
  </rv>
  <rv s="2">
    <v>730</v>
  </rv>
  <rv s="0">
    <v>https://www.bing.com/financeapi/forcetrigger?t=ahip9c&amp;q=XNSE%3aKTKBANK&amp;form=skydnc</v>
    <v>Learn more on Bing</v>
  </rv>
  <rv s="1">
    <v>en-IN</v>
    <v>ahip9c</v>
    <v>268435456</v>
    <v>1</v>
    <v>Powered by Refinitiv</v>
    <v>0</v>
    <v>THE KARNATAKA BANK LIMITED (XNSE:KTKBANK)</v>
    <v>2</v>
    <v>3</v>
    <v>Finance</v>
    <v>4</v>
    <v>278.39999999999998</v>
    <v>169.12</v>
    <v>0.96870000000000001</v>
    <v>10.65</v>
    <v>4.0180999999999994E-2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277.5</v>
    <v>Banking Services</v>
    <v>Stock</v>
    <v>46185.472048611111</v>
    <v>732</v>
    <v>267.60000000000002</v>
    <v>70486410000</v>
    <v>THE KARNATAKA BANK LIMITED</v>
    <v>THE KARNATAKA BANK LIMITED</v>
    <v>267.75</v>
    <v>7.9520999999999997</v>
    <v>265.05</v>
    <v>275.7</v>
    <v>378203300</v>
    <v>KTKBANK</v>
    <v>THE KARNATAKA BANK LIMITED (XNSE:KTKBANK)</v>
    <v>3073840</v>
    <v>2425070</v>
    <v>1924</v>
  </rv>
  <rv s="2">
    <v>733</v>
  </rv>
  <rv s="0">
    <v>https://www.bing.com/financeapi/forcetrigger?t=ahgrc7&amp;q=XNSE%3aADANITRANS&amp;form=skydnc</v>
    <v>Learn more on Bing</v>
  </rv>
  <rv s="1">
    <v>en-IN</v>
    <v>ahgrc7</v>
    <v>268435456</v>
    <v>1</v>
    <v>Powered by Refinitiv</v>
    <v>0</v>
    <v>ADANI ENERGY SOLUTIONS LIMITED (XNSE:ADANIENSOL)</v>
    <v>2</v>
    <v>3</v>
    <v>Finance</v>
    <v>4</v>
    <v>1614.8</v>
    <v>744.9</v>
    <v>2.2492000000000001</v>
    <v>22.9</v>
    <v>1.5612999999999998E-2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1509</v>
    <v>Electrical Utilities &amp; IPPs</v>
    <v>Stock</v>
    <v>46185.472048611111</v>
    <v>735</v>
    <v>1477</v>
    <v>1120196000000</v>
    <v>ADANI ENERGY SOLUTIONS LIMITED</v>
    <v>ADANI ENERGY SOLUTIONS LIMITED</v>
    <v>1499</v>
    <v>77.19</v>
    <v>1466.7</v>
    <v>1489.6</v>
    <v>1201283000</v>
    <v>ADANIENSOL</v>
    <v>ADANI ENERGY SOLUTIONS LIMITED (XNSE:ADANIENSOL)</v>
    <v>1607528</v>
    <v>3340510</v>
    <v>2013</v>
  </rv>
  <rv s="2">
    <v>736</v>
  </rv>
  <rv s="0">
    <v>https://www.bing.com/financeapi/forcetrigger?t=ahgwsm&amp;q=XNSE%3aAPOLLOHOSP&amp;form=skydnc</v>
    <v>Learn more on Bing</v>
  </rv>
  <rv s="1">
    <v>en-IN</v>
    <v>ahgwsm</v>
    <v>268435456</v>
    <v>1</v>
    <v>Powered by Refinitiv</v>
    <v>0</v>
    <v>APOLLO HOSPITALS ENTERPRISE LIMITED (XNSE:APOLLOHOSP)</v>
    <v>2</v>
    <v>3</v>
    <v>Finance</v>
    <v>4</v>
    <v>8624</v>
    <v>6696.5</v>
    <v>0.72240000000000004</v>
    <v>5</v>
    <v>5.8869999999999994E-4</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8558</v>
    <v>Healthcare Providers &amp; Services</v>
    <v>Stock</v>
    <v>46185.472037037034</v>
    <v>738</v>
    <v>8440</v>
    <v>1051282000000</v>
    <v>APOLLO HOSPITALS ENTERPRISE LIMITED</v>
    <v>APOLLO HOSPITALS ENTERPRISE LIMITED</v>
    <v>8535</v>
    <v>62.89</v>
    <v>8493</v>
    <v>8498</v>
    <v>143784700</v>
    <v>APOLLOHOSP</v>
    <v>APOLLO HOSPITALS ENTERPRISE LIMITED (XNSE:APOLLOHOSP)</v>
    <v>276444</v>
    <v>523360</v>
    <v>1979</v>
  </rv>
  <rv s="2">
    <v>739</v>
  </rv>
  <rv s="0">
    <v>https://www.bing.com/financeapi/forcetrigger?t=ahjif2&amp;q=XNSE%3aPRECWIRE&amp;form=skydnc</v>
    <v>Learn more on Bing</v>
  </rv>
  <rv s="1">
    <v>en-IN</v>
    <v>ahjif2</v>
    <v>268435456</v>
    <v>1</v>
    <v>Powered by Refinitiv</v>
    <v>0</v>
    <v>PRECISION WIRES INDIA LIMITED (XNSE:PRECWIRE)</v>
    <v>2</v>
    <v>3</v>
    <v>Finance</v>
    <v>4</v>
    <v>467.5</v>
    <v>168.51</v>
    <v>1.454</v>
    <v>3.75</v>
    <v>9.665E-3</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401.4</v>
    <v>Machinery, Equipment &amp; Components</v>
    <v>Stock</v>
    <v>46185.472037037034</v>
    <v>741</v>
    <v>387</v>
    <v>41484660000</v>
    <v>PRECISION WIRES INDIA LIMITED</v>
    <v>PRECISION WIRES INDIA LIMITED</v>
    <v>393</v>
    <v>45.075400000000002</v>
    <v>388</v>
    <v>391.75</v>
    <v>182808000</v>
    <v>PRECWIRE</v>
    <v>PRECISION WIRES INDIA LIMITED (XNSE:PRECWIRE)</v>
    <v>372619</v>
    <v>462470</v>
    <v>1989</v>
  </rv>
  <rv s="2">
    <v>742</v>
  </rv>
  <rv s="0">
    <v>https://www.bing.com/financeapi/forcetrigger?t=c3jhoc&amp;q=XNSE%3aSANSERA&amp;form=skydnc</v>
    <v>Learn more on Bing</v>
  </rv>
  <rv s="1">
    <v>en-IN</v>
    <v>c3jhoc</v>
    <v>268435456</v>
    <v>1</v>
    <v>Powered by Refinitiv</v>
    <v>0</v>
    <v>SANSERA ENGINEERING LIMITED (XNSE:SANSERA)</v>
    <v>2</v>
    <v>3</v>
    <v>Finance</v>
    <v>4</v>
    <v>2995</v>
    <v>1216.3</v>
    <v>1.2909999999999999</v>
    <v>52.7</v>
    <v>1.8416999999999999E-2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2950</v>
    <v>Automobiles &amp; Auto Parts</v>
    <v>Stock</v>
    <v>46185.472048611111</v>
    <v>744</v>
    <v>2871</v>
    <v>113410000000</v>
    <v>SANSERA ENGINEERING LIMITED</v>
    <v>SANSERA ENGINEERING LIMITED</v>
    <v>2904.5</v>
    <v>55.859699999999997</v>
    <v>2861.5</v>
    <v>2914.2</v>
    <v>62332050</v>
    <v>SANSERA</v>
    <v>SANSERA ENGINEERING LIMITED (XNSE:SANSERA)</v>
    <v>233548</v>
    <v>238050</v>
    <v>1981</v>
  </rv>
  <rv s="2">
    <v>745</v>
  </rv>
  <rv s="0">
    <v>https://www.bing.com/financeapi/forcetrigger?t=ahjrvh&amp;q=XNSE%3aSAIL&amp;form=skydnc</v>
    <v>Learn more on Bing</v>
  </rv>
  <rv s="1">
    <v>en-IN</v>
    <v>ahjrvh</v>
    <v>268435456</v>
    <v>1</v>
    <v>Powered by Refinitiv</v>
    <v>0</v>
    <v>STEEL AUTHORITY OF INDIA LIMITED (XNSE:SAIL)</v>
    <v>2</v>
    <v>3</v>
    <v>Finance</v>
    <v>4</v>
    <v>209.7</v>
    <v>118.1</v>
    <v>1.1831</v>
    <v>2.73</v>
    <v>1.5053E-2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185.82</v>
    <v>Metals &amp; Mining</v>
    <v>Stock</v>
    <v>46185.472037037034</v>
    <v>747</v>
    <v>180.35</v>
    <v>610326400000</v>
    <v>STEEL AUTHORITY OF INDIA LIMITED</v>
    <v>STEEL AUTHORITY OF INDIA LIMITED</v>
    <v>184.9</v>
    <v>22.552900000000001</v>
    <v>181.36</v>
    <v>184.09</v>
    <v>4130525000</v>
    <v>SAIL</v>
    <v>STEEL AUTHORITY OF INDIA LIMITED (XNSE:SAIL)</v>
    <v>10126753</v>
    <v>19251010</v>
    <v>1973</v>
  </rv>
  <rv s="2">
    <v>748</v>
  </rv>
  <rv s="0">
    <v>https://www.bing.com/financeapi/forcetrigger?t=ahhyar&amp;q=XNSE%3aGOODLUCK&amp;form=skydnc</v>
    <v>Learn more on Bing</v>
  </rv>
  <rv s="1">
    <v>en-IN</v>
    <v>ahhyar</v>
    <v>268435456</v>
    <v>1</v>
    <v>Powered by Refinitiv</v>
    <v>0</v>
    <v>GOODLUCK INDIA LIMITED (XNSE:GOODLUCK)</v>
    <v>2</v>
    <v>3</v>
    <v>Finance</v>
    <v>4</v>
    <v>1475</v>
    <v>915</v>
    <v>1.0947</v>
    <v>24.1</v>
    <v>1.8695E-2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1324.9</v>
    <v>Metals &amp; Mining</v>
    <v>Stock</v>
    <v>46185.472048611111</v>
    <v>750</v>
    <v>1274</v>
    <v>38054770000</v>
    <v>GOODLUCK INDIA LIMITED</v>
    <v>GOODLUCK INDIA LIMITED</v>
    <v>1305</v>
    <v>22.99</v>
    <v>1289.0999999999999</v>
    <v>1313.2</v>
    <v>33238510</v>
    <v>GOODLUCK</v>
    <v>GOODLUCK INDIA LIMITED (XNSE:GOODLUCK)</v>
    <v>131409</v>
    <v>112330</v>
    <v>1986</v>
  </rv>
  <rv s="2">
    <v>751</v>
  </rv>
  <rv s="0">
    <v>https://www.bing.com/financeapi/forcetrigger?t=ahjuhw&amp;q=XNSE%3aSCHNEIDER&amp;form=skydnc</v>
    <v>Learn more on Bing</v>
  </rv>
  <rv s="1">
    <v>en-IN</v>
    <v>ahjuhw</v>
    <v>268435456</v>
    <v>1</v>
    <v>Powered by Refinitiv</v>
    <v>0</v>
    <v>SCHNEIDER ELECTRIC INFRASTRUCTURE LIMITED (XNSE:SCHNEIDER)</v>
    <v>2</v>
    <v>3</v>
    <v>Finance</v>
    <v>4</v>
    <v>1417.8</v>
    <v>571.85</v>
    <v>0.91410000000000002</v>
    <v>16.399999999999999</v>
    <v>1.5056E-2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1116.3</v>
    <v>Machinery, Equipment &amp; Components</v>
    <v>Stock</v>
    <v>46185.47210648148</v>
    <v>753</v>
    <v>1073.5</v>
    <v>150396400000</v>
    <v>SCHNEIDER ELECTRIC INFRASTRUCTURE LIMITED</v>
    <v>SCHNEIDER ELECTRIC INFRASTRUCTURE LIMITED</v>
    <v>1111.2</v>
    <v>122.53</v>
    <v>1089.3</v>
    <v>1105.7</v>
    <v>239104000</v>
    <v>SCHNEIDER</v>
    <v>SCHNEIDER ELECTRIC INFRASTRUCTURE LIMITED (XNSE:SCHNEIDER)</v>
    <v>297061</v>
    <v>715560</v>
    <v>2011</v>
  </rv>
  <rv s="2">
    <v>754</v>
  </rv>
  <rv s="0">
    <v>https://www.bing.com/financeapi/forcetrigger?t=ahgr9c&amp;q=XNSE%3aADANIPOWER&amp;form=skydnc</v>
    <v>Learn more on Bing</v>
  </rv>
  <rv s="1">
    <v>en-IN</v>
    <v>ahgr9c</v>
    <v>268435456</v>
    <v>1</v>
    <v>Powered by Refinitiv</v>
    <v>0</v>
    <v>ADANI POWER LIMITED (XNSE:ADANIPOWER)</v>
    <v>2</v>
    <v>3</v>
    <v>Finance</v>
    <v>4</v>
    <v>254.2</v>
    <v>105.42</v>
    <v>1.1811</v>
    <v>7.56</v>
    <v>3.508E-2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223.89</v>
    <v>Electrical Utilities &amp; IPPs</v>
    <v>Stock</v>
    <v>46185.472071759257</v>
    <v>756</v>
    <v>216.43</v>
    <v>2765040000000</v>
    <v>ADANI POWER LIMITED</v>
    <v>ADANI POWER LIMITED</v>
    <v>218.44</v>
    <v>33.4328</v>
    <v>215.51</v>
    <v>223.07</v>
    <v>19284700000</v>
    <v>ADANIPOWER</v>
    <v>ADANI POWER LIMITED (XNSE:ADANIPOWER)</v>
    <v>27825184</v>
    <v>34871220</v>
    <v>1996</v>
  </rv>
  <rv s="2">
    <v>757</v>
  </rv>
  <rv s="0">
    <v>https://www.bing.com/financeapi/forcetrigger?t=ahh7cw&amp;q=XNSE%3aBHEL&amp;form=skydnc</v>
    <v>Learn more on Bing</v>
  </rv>
  <rv s="1">
    <v>en-IN</v>
    <v>ahh7cw</v>
    <v>268435456</v>
    <v>1</v>
    <v>Powered by Refinitiv</v>
    <v>0</v>
    <v>BHARAT HEAVY ELECTRICALS LIMITED (XNSE:BHEL)</v>
    <v>2</v>
    <v>3</v>
    <v>Finance</v>
    <v>4</v>
    <v>424.9</v>
    <v>205.12</v>
    <v>1.8727</v>
    <v>8.1</v>
    <v>2.1853999999999998E-2</v>
    <v>INR</v>
    <v>Bharat Heavy Electricals Limited is an engineering and manufacturing company. The Company offers comprehensive portfolio of products, systems and services in the areas of power-thermal, hydro, gas, nuclear &amp; solar PV; transmission; transportation; defence &amp; aerospace; oil &amp; gas and areas like battery energy storage systems (BESS) and electric vehicle chargers. The Company operates through two business segments: Power and Industry. The Power segment comprises equipment supplies and EPC works for coal and lignite, gas, hydro and nuclear power plant businesses and spares &amp; services business. The Industry segment caters to major equipment supplies and engineering, procurement and construction (EPC) works for a number of industries, including transportation, transmission, defense, aerospace, captive power plants, process industries, renewables, upstream and downstream oil &amp; gas, and energy storage, among others. The Company's other services are construction and maintenance of power plants.</v>
    <v>41132</v>
    <v>National Stock Exchange of India</v>
    <v>XNSE</v>
    <v>XNSE</v>
    <v>BHEL HOUSE SIRI FORT, DELHI, 110049 IN</v>
    <v>380.15</v>
    <v>Machinery, Equipment &amp; Components</v>
    <v>Stock</v>
    <v>46185.472037037034</v>
    <v>759</v>
    <v>369.7</v>
    <v>924661900000</v>
    <v>BHARAT HEAVY ELECTRICALS LIMITED</v>
    <v>BHARAT HEAVY ELECTRICALS LIMITED</v>
    <v>379.6</v>
    <v>82.337000000000003</v>
    <v>370.65</v>
    <v>378.75</v>
    <v>3482063000</v>
    <v>BHEL</v>
    <v>BHARAT HEAVY ELECTRICALS LIMITED (XNSE:BHEL)</v>
    <v>9280094</v>
    <v>12773630</v>
    <v>1964</v>
  </rv>
  <rv s="2">
    <v>760</v>
  </rv>
  <rv s="0">
    <v>https://www.bing.com/financeapi/forcetrigger?t=ahhup2&amp;q=XNSE%3aGEPIL&amp;form=skydnc</v>
    <v>Learn more on Bing</v>
  </rv>
  <rv s="1">
    <v>en-IN</v>
    <v>ahhup2</v>
    <v>268435456</v>
    <v>1</v>
    <v>Powered by Refinitiv</v>
    <v>0</v>
    <v>GE POWER INDIA LIMITED (XNSE:GVPIL)</v>
    <v>2</v>
    <v>3</v>
    <v>Finance</v>
    <v>4</v>
    <v>935.95</v>
    <v>270.89999999999998</v>
    <v>1.8514999999999999</v>
    <v>44.25</v>
    <v>4.9983000000000007E-2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929.55</v>
    <v>Construction &amp; Engineering</v>
    <v>Stock</v>
    <v>46185.472048611111</v>
    <v>762</v>
    <v>908</v>
    <v>20467400000</v>
    <v>GE POWER INDIA LIMITED</v>
    <v>GE POWER INDIA LIMITED</v>
    <v>908</v>
    <v>20.167200000000001</v>
    <v>885.3</v>
    <v>929.55</v>
    <v>67227470</v>
    <v>GVPIL</v>
    <v>GE POWER INDIA LIMITED (XNSE:GVPIL)</v>
    <v>431265</v>
    <v>570750</v>
    <v>1992</v>
  </rv>
  <rv s="2">
    <v>763</v>
  </rv>
  <rv s="0">
    <v>https://www.bing.com/financeapi/forcetrigger?t=ahhlvh&amp;q=XNSE%3aDSSL&amp;form=skydnc</v>
    <v>Learn more on Bing</v>
  </rv>
  <rv s="1">
    <v>en-IN</v>
    <v>ahhlvh</v>
    <v>268435456</v>
    <v>1</v>
    <v>Powered by Refinitiv</v>
    <v>0</v>
    <v>DYNACONS SYSTEMS AND SOLUTIONS LIMITED (XNSE:DSSL)</v>
    <v>2</v>
    <v>3</v>
    <v>Finance</v>
    <v>4</v>
    <v>1924.8</v>
    <v>781</v>
    <v>0.25559999999999999</v>
    <v>-23.2</v>
    <v>-1.7746999999999999E-2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1344.8</v>
    <v>Software &amp; IT Services</v>
    <v>Stock</v>
    <v>46185.472094907411</v>
    <v>765</v>
    <v>1251</v>
    <v>12967110000</v>
    <v>DYNACONS SYSTEMS AND SOLUTIONS LIMITED</v>
    <v>DYNACONS SYSTEMS AND SOLUTIONS LIMITED</v>
    <v>1325.1</v>
    <v>19.62</v>
    <v>1307.3</v>
    <v>1284.0999999999999</v>
    <v>12737080</v>
    <v>DSSL</v>
    <v>DYNACONS SYSTEMS AND SOLUTIONS LIMITED (XNSE:DSSL)</v>
    <v>123353</v>
    <v>197930</v>
    <v>1995</v>
  </rv>
  <rv s="2">
    <v>766</v>
  </rv>
  <rv s="0">
    <v>https://www.bing.com/financeapi/forcetrigger?t=ahiwu2&amp;q=XNSE%3aMAYURUNIQ&amp;form=skydnc</v>
    <v>Learn more on Bing</v>
  </rv>
  <rv s="1">
    <v>en-IN</v>
    <v>ahiwu2</v>
    <v>268435456</v>
    <v>1</v>
    <v>Powered by Refinitiv</v>
    <v>0</v>
    <v>MAYUR UNIQUOTERS LIMITED (XNSE:MAYURUNIQ)</v>
    <v>2</v>
    <v>3</v>
    <v>Finance</v>
    <v>4</v>
    <v>849.15</v>
    <v>471.2</v>
    <v>0.54920000000000002</v>
    <v>0.1</v>
    <v>1.261E-4</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810.05</v>
    <v>Textiles &amp; Apparel</v>
    <v>Stock</v>
    <v>46185.472094907411</v>
    <v>768</v>
    <v>788</v>
    <v>21150550000</v>
    <v>MAYUR UNIQUOTERS LIMITED</v>
    <v>MAYUR UNIQUOTERS LIMITED</v>
    <v>807.4</v>
    <v>17.9742</v>
    <v>793.1</v>
    <v>793.2</v>
    <v>43452600</v>
    <v>MAYURUNIQ</v>
    <v>MAYUR UNIQUOTERS LIMITED (XNSE:MAYURUNIQ)</v>
    <v>150911</v>
    <v>367740</v>
    <v>1992</v>
  </rv>
  <rv s="2">
    <v>769</v>
  </rv>
  <rv s="9">
    <v>en-IN</v>
    <v>ccbzp2</v>
    <v>268435456</v>
    <v>1</v>
    <v>Powered by Refinitiv</v>
    <v>14</v>
    <v>GRASIM INDUSTRIES LTD (XNSE:GRASIMPP1)</v>
    <v>6</v>
    <v>15</v>
    <v>Finance</v>
    <v>4</v>
    <v>1.0447</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677400</v>
    <v>1947</v>
  </rv>
  <rv s="2">
    <v>771</v>
  </rv>
  <rv s="0">
    <v>https://www.bing.com/financeapi/forcetrigger?t=ahk8pr&amp;q=XNSE%3aTALBROAUTO&amp;form=skydnc</v>
    <v>Learn more on Bing</v>
  </rv>
  <rv s="1">
    <v>en-IN</v>
    <v>ahk8pr</v>
    <v>268435456</v>
    <v>1</v>
    <v>Powered by Refinitiv</v>
    <v>0</v>
    <v>TALBROS AUTOMOTIVE COMPONENTS LIMITED (XNSE:TALBROAUTO)</v>
    <v>2</v>
    <v>3</v>
    <v>Finance</v>
    <v>4</v>
    <v>379.7</v>
    <v>219.9</v>
    <v>0.94840000000000002</v>
    <v>2.9</v>
    <v>8.1270000000000005E-3</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362.9</v>
    <v>Automobiles &amp; Auto Parts</v>
    <v>Stock</v>
    <v>46185.472060185188</v>
    <v>773</v>
    <v>353.65</v>
    <v>16438210000</v>
    <v>TALBROS AUTOMOTIVE COMPONENTS LIMITED</v>
    <v>TALBROS AUTOMOTIVE COMPONENTS LIMITED</v>
    <v>361.95</v>
    <v>21.3248</v>
    <v>356.85</v>
    <v>359.75</v>
    <v>61728150</v>
    <v>TALBROAUTO</v>
    <v>TALBROS AUTOMOTIVE COMPONENTS LIMITED (XNSE:TALBROAUTO)</v>
    <v>124310</v>
    <v>240260</v>
    <v>1956</v>
  </rv>
  <rv s="2">
    <v>774</v>
  </rv>
  <rv s="0">
    <v>https://www.bing.com/financeapi/forcetrigger?t=ahjuqh&amp;q=XNSE%3aSEAMECLTD&amp;form=skydnc</v>
    <v>Learn more on Bing</v>
  </rv>
  <rv s="1">
    <v>en-IN</v>
    <v>ahjuqh</v>
    <v>268435456</v>
    <v>1</v>
    <v>Powered by Refinitiv</v>
    <v>0</v>
    <v>SEAMEC LIMITED (XNSE:SEAMECLTD)</v>
    <v>2</v>
    <v>3</v>
    <v>Finance</v>
    <v>4</v>
    <v>1709.2</v>
    <v>752.55</v>
    <v>1.4097</v>
    <v>-5</v>
    <v>-3.1480000000000002E-3</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1611</v>
    <v>Oil &amp; Gas Related Equipment and Services</v>
    <v>Stock</v>
    <v>46185.472037037034</v>
    <v>776</v>
    <v>1540</v>
    <v>26258940000</v>
    <v>SEAMEC LIMITED</v>
    <v>SEAMEC LIMITED</v>
    <v>1605.5</v>
    <v>16.07</v>
    <v>1588.5</v>
    <v>1583.5</v>
    <v>25425000</v>
    <v>SEAMECLTD</v>
    <v>SEAMEC LIMITED (XNSE:SEAMECLTD)</v>
    <v>45828</v>
    <v>56590</v>
    <v>1986</v>
  </rv>
  <rv s="2">
    <v>777</v>
  </rv>
  <rv s="3">
    <v>en-IN</v>
    <v>cafzc7</v>
    <v>268435456</v>
    <v>1</v>
    <v>Powered by Refinitiv</v>
    <v>5</v>
    <v>NETWEB TECHNOLOGIES INDIA LIMITED (XNSE:NETWEB)</v>
    <v>6</v>
    <v>3</v>
    <v>Finance</v>
    <v>4</v>
    <v>4965</v>
    <v>1700.1</v>
    <v>1.302</v>
    <v>396</v>
    <v>9.4479000000000007E-2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4610</v>
    <v>Software &amp; IT Services</v>
    <v>Stock</v>
    <v>46185.472071759257</v>
    <v>4315</v>
    <v>185428100000</v>
    <v>NETWEB TECHNOLOGIES INDIA LIMITED</v>
    <v>NETWEB TECHNOLOGIES INDIA LIMITED</v>
    <v>4320</v>
    <v>115.47</v>
    <v>4191.3999999999996</v>
    <v>4587.3999999999996</v>
    <v>56940690</v>
    <v>NETWEB</v>
    <v>NETWEB TECHNOLOGIES INDIA LIMITED (XNSE:NETWEB)</v>
    <v>4344896</v>
    <v>3016980</v>
    <v>1999</v>
  </rv>
  <rv s="2">
    <v>779</v>
  </rv>
  <rv s="0">
    <v>https://www.bing.com/financeapi/forcetrigger?t=c3ltyc&amp;q=XNSE%3aPARAS&amp;form=skydnc</v>
    <v>Learn more on Bing</v>
  </rv>
  <rv s="1">
    <v>en-IN</v>
    <v>c3ltyc</v>
    <v>268435456</v>
    <v>1</v>
    <v>Powered by Refinitiv</v>
    <v>0</v>
    <v>PARAS DEFENCE AND SPACE TECHNOLOGIES LIMITED (XNSE:PARAS)</v>
    <v>2</v>
    <v>3</v>
    <v>Finance</v>
    <v>4</v>
    <v>1105.2</v>
    <v>580.5</v>
    <v>1.6337999999999999</v>
    <v>108.05</v>
    <v>0.10924099999999999</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1105.2</v>
    <v>Aerospace &amp; Defense</v>
    <v>Stock</v>
    <v>46185.472048611111</v>
    <v>781</v>
    <v>1006.95</v>
    <v>54670450000</v>
    <v>PARAS DEFENCE AND SPACE TECHNOLOGIES LIMITED</v>
    <v>PARAS DEFENCE AND SPACE TECHNOLOGIES LIMITED</v>
    <v>1008</v>
    <v>90.45</v>
    <v>989.1</v>
    <v>1097.1500000000001</v>
    <v>80587330</v>
    <v>PARAS</v>
    <v>PARAS DEFENCE AND SPACE TECHNOLOGIES LIMITED (XNSE:PARAS)</v>
    <v>6088215</v>
    <v>5645590</v>
    <v>2009</v>
  </rv>
  <rv s="2">
    <v>782</v>
  </rv>
  <rv s="0">
    <v>https://www.bing.com/financeapi/forcetrigger?t=ahiwcw&amp;q=XNSE%3aMASFIN&amp;form=skydnc</v>
    <v>Learn more on Bing</v>
  </rv>
  <rv s="1">
    <v>en-IN</v>
    <v>ahiwcw</v>
    <v>268435456</v>
    <v>1</v>
    <v>Powered by Refinitiv</v>
    <v>0</v>
    <v>MAS FINANCIAL SERVICES LIMITED (XNSE:MASFIN)</v>
    <v>2</v>
    <v>3</v>
    <v>Finance</v>
    <v>4</v>
    <v>358.85</v>
    <v>277.35000000000002</v>
    <v>0.78190000000000004</v>
    <v>9.1999999999999993</v>
    <v>3.1593000000000003E-2</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302.7</v>
    <v>Banking Services</v>
    <v>Stock</v>
    <v>46185.472037037034</v>
    <v>784</v>
    <v>290.39999999999998</v>
    <v>56667890000</v>
    <v>MAS FINANCIAL SERVICES LIMITED</v>
    <v>MAS FINANCIAL SERVICES LIMITED</v>
    <v>293.10000000000002</v>
    <v>14.23</v>
    <v>291.2</v>
    <v>300.39999999999998</v>
    <v>181453400</v>
    <v>MASFIN</v>
    <v>MAS FINANCIAL SERVICES LIMITED (XNSE:MASFIN)</v>
    <v>133679</v>
    <v>80980</v>
    <v>1995</v>
  </rv>
  <rv s="2">
    <v>785</v>
  </rv>
  <rv s="0">
    <v>https://www.bing.com/financeapi/forcetrigger?t=ahh49c&amp;q=XNSE%3aBALRAMCHIN&amp;form=skydnc</v>
    <v>Learn more on Bing</v>
  </rv>
  <rv s="1">
    <v>en-IN</v>
    <v>ahh49c</v>
    <v>268435456</v>
    <v>1</v>
    <v>Powered by Refinitiv</v>
    <v>0</v>
    <v>BALRAMPUR CHINI MILLS LTD (XNSE:BALRAMCHIN)</v>
    <v>2</v>
    <v>3</v>
    <v>Finance</v>
    <v>4</v>
    <v>627.79999999999995</v>
    <v>393.55</v>
    <v>0.7661</v>
    <v>-8.6</v>
    <v>-1.5678000000000001E-2</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552</v>
    <v>Food &amp; Tobacco</v>
    <v>Stock</v>
    <v>46185.472037037034</v>
    <v>787</v>
    <v>536</v>
    <v>85909720000</v>
    <v>BALRAMPUR CHINI MILLS LTD</v>
    <v>BALRAMPUR CHINI MILLS LTD</v>
    <v>548.95000000000005</v>
    <v>28.8127</v>
    <v>548.54999999999995</v>
    <v>539.95000000000005</v>
    <v>211267200</v>
    <v>BALRAMCHIN</v>
    <v>BALRAMPUR CHINI MILLS LTD (XNSE:BALRAMCHIN)</v>
    <v>383704</v>
    <v>844590</v>
    <v>1975</v>
  </rv>
  <rv s="2">
    <v>788</v>
  </rv>
  <rv s="0">
    <v>https://www.bing.com/financeapi/forcetrigger?t=ahjcar&amp;q=XNSE%3aPANAMAPET&amp;form=skydnc</v>
    <v>Learn more on Bing</v>
  </rv>
  <rv s="1">
    <v>en-IN</v>
    <v>ahjcar</v>
    <v>268435456</v>
    <v>1</v>
    <v>Powered by Refinitiv</v>
    <v>0</v>
    <v>PANAMA PETROCHEM LIMITED (XNSE:PANAMAPET)</v>
    <v>2</v>
    <v>3</v>
    <v>Finance</v>
    <v>4</v>
    <v>408.85</v>
    <v>229</v>
    <v>0.93489999999999995</v>
    <v>1.4</v>
    <v>3.725E-3</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382.7</v>
    <v>Chemicals</v>
    <v>Stock</v>
    <v>46185.472094907411</v>
    <v>790</v>
    <v>368.9</v>
    <v>18002890000</v>
    <v>PANAMA PETROCHEM LIMITED</v>
    <v>PANAMA PETROCHEM LIMITED</v>
    <v>378.9</v>
    <v>10.7417</v>
    <v>375.85</v>
    <v>377.25</v>
    <v>60493600</v>
    <v>PANAMAPET</v>
    <v>PANAMA PETROCHEM LIMITED (XNSE:PANAMAPET)</v>
    <v>288528</v>
    <v>1889970</v>
    <v>1982</v>
  </rv>
  <rv s="2">
    <v>791</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1.3876999999999999</v>
    <v>5.98</v>
    <v>0.10097899999999999</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68.599999999999994</v>
    <v>Chemicals</v>
    <v>Stock</v>
    <v>46185.472060185188</v>
    <v>793</v>
    <v>59.75</v>
    <v>10106670000</v>
    <v>Manali Petrochemicals Limited</v>
    <v>Manali Petrochemicals Limited</v>
    <v>59.75</v>
    <v>7.83</v>
    <v>59.22</v>
    <v>65.2</v>
    <v>171999200</v>
    <v>MANALIPETC</v>
    <v>Manali Petrochemicals Limited (XNSE:MANALIPETC)</v>
    <v>9295357</v>
    <v>1495290</v>
    <v>1986</v>
  </rv>
  <rv s="2">
    <v>794</v>
  </rv>
  <rv s="0">
    <v>https://www.bing.com/financeapi/forcetrigger?t=azpojc&amp;q=XNSE%3aNARMADA&amp;form=skydnc</v>
    <v>Learn more on Bing</v>
  </rv>
  <rv s="10">
    <v>en-IN</v>
    <v>azpojc</v>
    <v>268435456</v>
    <v>1</v>
    <v>Powered by Refinitiv</v>
    <v>16</v>
    <v>NARMADA AGROBASE LIMITED (XNSE:NARMADA)</v>
    <v>2</v>
    <v>17</v>
    <v>Finance</v>
    <v>4</v>
    <v>45.17</v>
    <v>15.6</v>
    <v>0.22020000000000001</v>
    <v>1.74</v>
    <v>4.9278000000000002E-2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39</v>
    <v>Food &amp; Tobacco</v>
    <v>Stock</v>
    <v>46185.472060185188</v>
    <v>796</v>
    <v>36.200000000000003</v>
    <v>1029973000</v>
    <v>NARMADA AGROBASE LIMITED</v>
    <v>NARMADA AGROBASE LIMITED</v>
    <v>36.200000000000003</v>
    <v>36.323500000000003</v>
    <v>35.31</v>
    <v>37.049999999999997</v>
    <v>37936400</v>
    <v>NARMADA</v>
    <v>NARMADA AGROBASE LIMITED (XNSE:NARMADA)</v>
    <v>2905790</v>
    <v>1993400</v>
    <v>2013</v>
  </rv>
  <rv s="2">
    <v>797</v>
  </rv>
  <rv s="0">
    <v>https://www.bing.com/financeapi/forcetrigger?t=bmzzvh&amp;q=XNSE%3aMARINE&amp;form=skydnc</v>
    <v>Learn more on Bing</v>
  </rv>
  <rv s="1">
    <v>en-IN</v>
    <v>bmzzvh</v>
    <v>268435456</v>
    <v>1</v>
    <v>Powered by Refinitiv</v>
    <v>0</v>
    <v>MARINE ELECTRICALS (INDIA) LIMITED (XNSE:MARINE)</v>
    <v>2</v>
    <v>3</v>
    <v>Finance</v>
    <v>4</v>
    <v>282.48</v>
    <v>150.86000000000001</v>
    <v>1.8942000000000001</v>
    <v>11.25</v>
    <v>4.8324999999999993E-2</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245.65</v>
    <v>Machinery, Equipment &amp; Components</v>
    <v>Stock</v>
    <v>46185.472037037034</v>
    <v>799</v>
    <v>234.9</v>
    <v>27087730000</v>
    <v>MARINE ELECTRICALS (INDIA) LIMITED</v>
    <v>MARINE ELECTRICALS (INDIA) LIMITED</v>
    <v>234.9</v>
    <v>55.17</v>
    <v>232.8</v>
    <v>244.05</v>
    <v>139944400</v>
    <v>MARINE</v>
    <v>MARINE ELECTRICALS (INDIA) LIMITED (XNSE:MARINE)</v>
    <v>384447</v>
    <v>822210</v>
    <v>2007</v>
  </rv>
  <rv s="2">
    <v>800</v>
  </rv>
  <rv s="0">
    <v>https://www.bing.com/financeapi/forcetrigger?t=ahgqcw&amp;q=XNSE%3aABB&amp;form=skydnc</v>
    <v>Learn more on Bing</v>
  </rv>
  <rv s="1">
    <v>en-IN</v>
    <v>ahgqcw</v>
    <v>268435456</v>
    <v>1</v>
    <v>Powered by Refinitiv</v>
    <v>0</v>
    <v>ABB INDIA LIMITED (XNSE:ABB)</v>
    <v>2</v>
    <v>3</v>
    <v>Finance</v>
    <v>4</v>
    <v>7822.5</v>
    <v>4637.5</v>
    <v>1.0274000000000001</v>
    <v>51.5</v>
    <v>7.6649999999999999E-3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6854.5</v>
    <v>Machinery, Equipment &amp; Components</v>
    <v>Stock</v>
    <v>46185.472037037034</v>
    <v>802</v>
    <v>6722</v>
    <v>1052337000000</v>
    <v>ABB INDIA LIMITED</v>
    <v>ABB INDIA LIMITED</v>
    <v>6783</v>
    <v>93.335499999999996</v>
    <v>6719</v>
    <v>6770.5</v>
    <v>211908400</v>
    <v>ABB</v>
    <v>ABB INDIA LIMITED (XNSE:ABB)</v>
    <v>188800</v>
    <v>414870</v>
    <v>1949</v>
  </rv>
  <rv s="2">
    <v>803</v>
  </rv>
  <rv s="0">
    <v>https://www.bing.com/financeapi/forcetrigger?t=ahhqjc&amp;q=XNSE%3aEXIDEIND&amp;form=skydnc</v>
    <v>Learn more on Bing</v>
  </rv>
  <rv s="1">
    <v>en-IN</v>
    <v>ahhqjc</v>
    <v>268435456</v>
    <v>1</v>
    <v>Powered by Refinitiv</v>
    <v>0</v>
    <v>EXIDE INDUSTRIES LIMITED (XNSE:EXIDEIND)</v>
    <v>2</v>
    <v>3</v>
    <v>Finance</v>
    <v>4</v>
    <v>431</v>
    <v>287</v>
    <v>1.1995</v>
    <v>6.3</v>
    <v>1.6336E-2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393.9</v>
    <v>Automobiles &amp; Auto Parts</v>
    <v>Stock</v>
    <v>46185.472037037034</v>
    <v>805</v>
    <v>388</v>
    <v>294100000000</v>
    <v>EXIDE INDUSTRIES LIMITED</v>
    <v>EXIDE INDUSTRIES LIMITED</v>
    <v>391</v>
    <v>44.948399999999999</v>
    <v>385.65</v>
    <v>391.95</v>
    <v>850000000</v>
    <v>EXIDEIND</v>
    <v>EXIDE INDUSTRIES LIMITED (XNSE:EXIDEIND)</v>
    <v>1527789</v>
    <v>2930960</v>
    <v>1947</v>
  </rv>
  <rv s="2">
    <v>806</v>
  </rv>
  <rv s="0">
    <v>https://www.bing.com/financeapi/forcetrigger?t=ahhrlh&amp;q=XNSE%3aFINCABLES&amp;form=skydnc</v>
    <v>Learn more on Bing</v>
  </rv>
  <rv s="1">
    <v>en-IN</v>
    <v>ahhrlh</v>
    <v>268435456</v>
    <v>1</v>
    <v>Powered by Refinitiv</v>
    <v>0</v>
    <v>FINOLEX CABLES LIMITED (XNSE:FINCABLES)</v>
    <v>2</v>
    <v>3</v>
    <v>Finance</v>
    <v>4</v>
    <v>1184.8</v>
    <v>700.8</v>
    <v>0.92200000000000004</v>
    <v>22.9</v>
    <v>2.2608000000000003E-2</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1040</v>
    <v>Machinery, Equipment &amp; Components</v>
    <v>Stock</v>
    <v>46185.472037037034</v>
    <v>808</v>
    <v>1015</v>
    <v>116516800000</v>
    <v>FINOLEX CABLES LIMITED</v>
    <v>FINOLEX CABLES LIMITED</v>
    <v>1021.9</v>
    <v>21.71</v>
    <v>1012.9</v>
    <v>1035.8</v>
    <v>152939300</v>
    <v>FINCABLES</v>
    <v>FINOLEX CABLES LIMITED (XNSE:FINCABLES)</v>
    <v>305861</v>
    <v>692630</v>
    <v>1967</v>
  </rv>
  <rv s="2">
    <v>809</v>
  </rv>
  <rv s="0">
    <v>https://www.bing.com/financeapi/forcetrigger?t=azzujc&amp;q=XNSE%3aE2E&amp;form=skydnc</v>
    <v>Learn more on Bing</v>
  </rv>
  <rv s="1">
    <v>en-IN</v>
    <v>azzujc</v>
    <v>268435456</v>
    <v>1</v>
    <v>Powered by Refinitiv</v>
    <v>0</v>
    <v>E2E NETWORKS LIMITED (XNSE:E2E)</v>
    <v>2</v>
    <v>3</v>
    <v>Finance</v>
    <v>4</v>
    <v>453.8</v>
    <v>183.36</v>
    <v>1.0544</v>
    <v>17.399999999999999</v>
    <v>4.7154000000000001E-2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Saidabad,, NEW DELHI, DELHI, 110044 IN</v>
    <v>387.4</v>
    <v>Software &amp; IT Services</v>
    <v>Stock</v>
    <v>46185.472048611111</v>
    <v>811</v>
    <v>361.2</v>
    <v>40001870000</v>
    <v>E2E NETWORKS LIMITED</v>
    <v>E2E NETWORKS LIMITED</v>
    <v>374</v>
    <v>0</v>
    <v>369</v>
    <v>386.4</v>
    <v>205564900</v>
    <v>E2E</v>
    <v>E2E NETWORKS LIMITED (XNSE:E2E)</v>
    <v>6228077</v>
    <v>2543400</v>
    <v>2009</v>
  </rv>
  <rv s="2">
    <v>812</v>
  </rv>
  <rv s="0">
    <v>https://www.bing.com/financeapi/forcetrigger?t=ahjzvh&amp;q=XNSE%3aSKIPPER&amp;form=skydnc</v>
    <v>Learn more on Bing</v>
  </rv>
  <rv s="1">
    <v>en-IN</v>
    <v>ahjzvh</v>
    <v>268435456</v>
    <v>1</v>
    <v>Powered by Refinitiv</v>
    <v>0</v>
    <v>SKIPPER LIMITED (XNSE:SKIPPER)</v>
    <v>2</v>
    <v>3</v>
    <v>Finance</v>
    <v>4</v>
    <v>588</v>
    <v>327.05</v>
    <v>0.7903</v>
    <v>23.85</v>
    <v>4.5795000000000002E-2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KOLKATA, WEST BENGAL, 700017 IN</v>
    <v>549.6</v>
    <v>Construction &amp; Engineering</v>
    <v>Stock</v>
    <v>46185.472048611111</v>
    <v>814</v>
    <v>528.20000000000005</v>
    <v>45041610000</v>
    <v>SKIPPER LIMITED</v>
    <v>SKIPPER LIMITED</v>
    <v>535</v>
    <v>28.847999999999999</v>
    <v>520.79999999999995</v>
    <v>544.65</v>
    <v>112954300</v>
    <v>SKIPPER</v>
    <v>SKIPPER LIMITED (XNSE:SKIPPER)</v>
    <v>738660</v>
    <v>1656740</v>
    <v>1981</v>
  </rv>
  <rv s="2">
    <v>815</v>
  </rv>
  <rv s="0">
    <v>https://www.bing.com/financeapi/forcetrigger?t=ahkomw&amp;q=XNSE%3aWOCKPHARMA&amp;form=skydnc</v>
    <v>Learn more on Bing</v>
  </rv>
  <rv s="1">
    <v>en-IN</v>
    <v>ahkomw</v>
    <v>268435456</v>
    <v>1</v>
    <v>Powered by Refinitiv</v>
    <v>0</v>
    <v>WOCKHARDT LIMITED (XNSE:WOCKPHARMA)</v>
    <v>2</v>
    <v>3</v>
    <v>Finance</v>
    <v>4</v>
    <v>2422.3000000000002</v>
    <v>1086.7</v>
    <v>1.1837</v>
    <v>14.2</v>
    <v>7.3809999999999995E-3</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1976</v>
    <v>Pharmaceuticals</v>
    <v>Stock</v>
    <v>46185.472048611111</v>
    <v>817</v>
    <v>1918.5</v>
    <v>225474100000</v>
    <v>WOCKHARDT LIMITED</v>
    <v>WOCKHARDT LIMITED</v>
    <v>1949</v>
    <v>146.63</v>
    <v>1923.8</v>
    <v>1938</v>
    <v>162492200</v>
    <v>WOCKPHARMA</v>
    <v>WOCKHARDT LIMITED (XNSE:WOCKPHARMA)</v>
    <v>1273816</v>
    <v>5535770</v>
    <v>1999</v>
  </rv>
  <rv s="2">
    <v>818</v>
  </rv>
  <rv s="0">
    <v>https://www.bing.com/financeapi/forcetrigger?t=ahie8m&amp;q=XNSE%3aITDCEM&amp;form=skydnc</v>
    <v>Learn more on Bing</v>
  </rv>
  <rv s="1">
    <v>en-IN</v>
    <v>ahie8m</v>
    <v>268435456</v>
    <v>1</v>
    <v>Powered by Refinitiv</v>
    <v>0</v>
    <v>CEMINDIA PROJECTS LIMITED (XNSE:CEMPRO)</v>
    <v>2</v>
    <v>3</v>
    <v>Finance</v>
    <v>4</v>
    <v>1257.4000000000001</v>
    <v>503.3</v>
    <v>1.5744</v>
    <v>-52.9</v>
    <v>-4.5010000000000001E-2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1196</v>
    <v>Construction &amp; Engineering</v>
    <v>Stock</v>
    <v>46185.472048611111</v>
    <v>820</v>
    <v>1116.5</v>
    <v>117691700000</v>
    <v>CEMINDIA PROJECTS LIMITED</v>
    <v>CEMINDIA PROJECTS LIMITED</v>
    <v>1175.9000000000001</v>
    <v>33.770000000000003</v>
    <v>1175.3</v>
    <v>1122.4000000000001</v>
    <v>171787600</v>
    <v>CEMPRO</v>
    <v>CEMINDIA PROJECTS LIMITED (XNSE:CEMPRO)</v>
    <v>750195</v>
    <v>1179400</v>
    <v>1978</v>
  </rv>
  <rv s="2">
    <v>821</v>
  </rv>
  <rv s="0">
    <v>https://www.bing.com/financeapi/forcetrigger?t=ahknnm&amp;q=XNSE%3aWELCORP&amp;form=skydnc</v>
    <v>Learn more on Bing</v>
  </rv>
  <rv s="1">
    <v>en-IN</v>
    <v>ahknnm</v>
    <v>268435456</v>
    <v>1</v>
    <v>Powered by Refinitiv</v>
    <v>0</v>
    <v>WELSPUN CORP LIMITED (XNSE:WELCORP)</v>
    <v>2</v>
    <v>3</v>
    <v>Finance</v>
    <v>4</v>
    <v>1427</v>
    <v>710</v>
    <v>0.75570000000000004</v>
    <v>12.9</v>
    <v>9.2849999999999999E-3</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1413.5</v>
    <v>Metals &amp; Mining</v>
    <v>Stock</v>
    <v>46185.472060185188</v>
    <v>823</v>
    <v>1383.7</v>
    <v>195325500000</v>
    <v>WELSPUN CORP LIMITED</v>
    <v>WELSPUN CORP LIMITED</v>
    <v>1400</v>
    <v>23.930599999999998</v>
    <v>1389.4</v>
    <v>1402.3</v>
    <v>263703900</v>
    <v>WELCORP</v>
    <v>WELSPUN CORP LIMITED (XNSE:WELCORP)</v>
    <v>306278</v>
    <v>911090</v>
    <v>1995</v>
  </rv>
  <rv s="2">
    <v>824</v>
  </rv>
  <rv s="0">
    <v>https://www.bing.com/financeapi/forcetrigger?t=ahh8hw&amp;q=XNSE%3aBLISSGVS&amp;form=skydnc</v>
    <v>Learn more on Bing</v>
  </rv>
  <rv s="1">
    <v>en-IN</v>
    <v>ahh8hw</v>
    <v>268435456</v>
    <v>1</v>
    <v>Powered by Refinitiv</v>
    <v>0</v>
    <v>BLISS GVS PHARMA LIMITED (XNSE:BLISSGVS)</v>
    <v>2</v>
    <v>3</v>
    <v>Finance</v>
    <v>4</v>
    <v>462.8</v>
    <v>118</v>
    <v>0.82520000000000004</v>
    <v>1.3</v>
    <v>2.9780000000000002E-3</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449.9</v>
    <v>Pharmaceuticals</v>
    <v>Stock</v>
    <v>46185.472071759257</v>
    <v>826</v>
    <v>435.55</v>
    <v>17189650000</v>
    <v>BLISS GVS PHARMA LIMITED</v>
    <v>BLISS GVS PHARMA LIMITED</v>
    <v>441.4</v>
    <v>35.840000000000003</v>
    <v>436.55</v>
    <v>437.85</v>
    <v>106056200</v>
    <v>BLISSGVS</v>
    <v>BLISS GVS PHARMA LIMITED (XNSE:BLISSGVS)</v>
    <v>521869</v>
    <v>2456700</v>
    <v>1984</v>
  </rv>
  <rv s="2">
    <v>827</v>
  </rv>
  <rv s="0">
    <v>https://www.bing.com/financeapi/forcetrigger?t=ahingh&amp;q=XNSE%3aKOPRAN&amp;form=skydnc</v>
    <v>Learn more on Bing</v>
  </rv>
  <rv s="1">
    <v>en-IN</v>
    <v>ahingh</v>
    <v>268435456</v>
    <v>1</v>
    <v>Powered by Refinitiv</v>
    <v>0</v>
    <v>KOPRAN LIMITED (XNSE:KOPRAN)</v>
    <v>2</v>
    <v>3</v>
    <v>Finance</v>
    <v>4</v>
    <v>219</v>
    <v>107</v>
    <v>1.2889999999999999</v>
    <v>3.84</v>
    <v>2.1596999999999998E-2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183</v>
    <v>Pharmaceuticals</v>
    <v>Stock</v>
    <v>46185.472048611111</v>
    <v>829</v>
    <v>177</v>
    <v>7132267000</v>
    <v>KOPRAN LIMITED</v>
    <v>KOPRAN LIMITED</v>
    <v>177.89</v>
    <v>33.42</v>
    <v>177.8</v>
    <v>181.64</v>
    <v>48285600</v>
    <v>KOPRAN</v>
    <v>KOPRAN LIMITED (XNSE:KOPRAN)</v>
    <v>59652</v>
    <v>538240</v>
    <v>1958</v>
  </rv>
  <rv s="2">
    <v>830</v>
  </rv>
  <rv s="0">
    <v>https://www.bing.com/financeapi/forcetrigger?t=ahh86h&amp;q=XNSE%3aBIRLACABLE&amp;form=skydnc</v>
    <v>Learn more on Bing</v>
  </rv>
  <rv s="1">
    <v>en-IN</v>
    <v>ahh86h</v>
    <v>268435456</v>
    <v>1</v>
    <v>Powered by Refinitiv</v>
    <v>0</v>
    <v>BIRLA CABLE LIMITED (XNSE:BIRLACABLE)</v>
    <v>2</v>
    <v>3</v>
    <v>Finance</v>
    <v>4</v>
    <v>241</v>
    <v>104</v>
    <v>1.258</v>
    <v>9.24</v>
    <v>4.9976E-2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194.13</v>
    <v>Machinery, Equipment &amp; Components</v>
    <v>Stock</v>
    <v>46185.472048611111</v>
    <v>832</v>
    <v>187.9</v>
    <v>4019700000</v>
    <v>BIRLA CABLE LIMITED</v>
    <v>BIRLA CABLE LIMITED</v>
    <v>187.9</v>
    <v>32.840000000000003</v>
    <v>184.89</v>
    <v>194.13</v>
    <v>30000000</v>
    <v>BIRLACABLE</v>
    <v>BIRLA CABLE LIMITED (XNSE:BIRLACABLE)</v>
    <v>46619</v>
    <v>200410</v>
    <v>1992</v>
  </rv>
  <rv s="2">
    <v>833</v>
  </rv>
  <rv s="0">
    <v>https://www.bing.com/financeapi/forcetrigger?t=c434r7&amp;q=XNSE%3aSJS&amp;form=skydnc</v>
    <v>Learn more on Bing</v>
  </rv>
  <rv s="1">
    <v>en-IN</v>
    <v>c434r7</v>
    <v>268435456</v>
    <v>1</v>
    <v>Powered by Refinitiv</v>
    <v>0</v>
    <v>S.J.S. ENTERPRISES LIMITED (XNSE:SJS)</v>
    <v>2</v>
    <v>3</v>
    <v>Finance</v>
    <v>4</v>
    <v>2137.8000000000002</v>
    <v>1129.3</v>
    <v>0.6391</v>
    <v>21.1</v>
    <v>1.0076E-2</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2132.3000000000002</v>
    <v>Automobiles &amp; Auto Parts</v>
    <v>Stock</v>
    <v>46185.472048611111</v>
    <v>835</v>
    <v>2065.4</v>
    <v>54986410000</v>
    <v>S.J.S. ENTERPRISES LIMITED</v>
    <v>S.J.S. ENTERPRISES LIMITED</v>
    <v>2130</v>
    <v>39.155900000000003</v>
    <v>2094.1</v>
    <v>2115.1999999999998</v>
    <v>32005150</v>
    <v>SJS</v>
    <v>S.J.S. ENTERPRISES LIMITED (XNSE:SJS)</v>
    <v>76671</v>
    <v>111380</v>
    <v>2005</v>
  </rv>
  <rv s="2">
    <v>836</v>
  </rv>
  <rv s="0">
    <v>https://www.bing.com/financeapi/forcetrigger?t=ahhym7&amp;q=XNSE%3aGRANULES&amp;form=skydnc</v>
    <v>Learn more on Bing</v>
  </rv>
  <rv s="1">
    <v>en-IN</v>
    <v>ahhym7</v>
    <v>268435456</v>
    <v>1</v>
    <v>Powered by Refinitiv</v>
    <v>0</v>
    <v>GRANULES INDIA LIMITED (XNSE:GRANULES)</v>
    <v>2</v>
    <v>3</v>
    <v>Finance</v>
    <v>4</v>
    <v>804.3</v>
    <v>432.6</v>
    <v>0.64049999999999996</v>
    <v>3.3</v>
    <v>4.3239999999999997E-3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778.95</v>
    <v>Pharmaceuticals</v>
    <v>Stock</v>
    <v>46185.472060185188</v>
    <v>838</v>
    <v>763.1</v>
    <v>143368700000</v>
    <v>GRANULES INDIA LIMITED</v>
    <v>GRANULES INDIA LIMITED</v>
    <v>770</v>
    <v>31.360499999999998</v>
    <v>763.15</v>
    <v>766.45</v>
    <v>247796900</v>
    <v>GRANULES</v>
    <v>GRANULES INDIA LIMITED (XNSE:GRANULES)</v>
    <v>350109</v>
    <v>780000</v>
    <v>1991</v>
  </rv>
  <rv s="2">
    <v>839</v>
  </rv>
  <rv s="3">
    <v>en-IN</v>
    <v>ch7y27</v>
    <v>268435456</v>
    <v>1</v>
    <v>Powered by Refinitiv</v>
    <v>5</v>
    <v>SIEMENS ENERGY INDIA LIMITED (XNSE:ENRIN)</v>
    <v>6</v>
    <v>3</v>
    <v>Finance</v>
    <v>4</v>
    <v>3968</v>
    <v>2115</v>
    <v>0.84199999999999997</v>
    <v>194.4</v>
    <v>5.6966999999999997E-2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3650</v>
    <v>Electrical Utilities &amp; IPPs</v>
    <v>Stock</v>
    <v>46185.472129629627</v>
    <v>3431.2</v>
    <v>856256100000</v>
    <v>SIEMENS ENERGY INDIA LIMITED</v>
    <v>SIEMENS ENERGY INDIA LIMITED</v>
    <v>3459</v>
    <v>92.77</v>
    <v>3412.5</v>
    <v>3606.9</v>
    <v>356120500</v>
    <v>ENRIN</v>
    <v>SIEMENS ENERGY INDIA LIMITED (XNSE:ENRIN)</v>
    <v>676476</v>
    <v>512690</v>
    <v>2024</v>
  </rv>
  <rv s="2">
    <v>841</v>
  </rv>
  <rv s="0">
    <v>https://www.bing.com/financeapi/forcetrigger?t=ahixnm&amp;q=XNSE%3aMEGASOFT&amp;form=skydnc</v>
    <v>Learn more on Bing</v>
  </rv>
  <rv s="1">
    <v>en-IN</v>
    <v>ahixnm</v>
    <v>268435456</v>
    <v>1</v>
    <v>Powered by Refinitiv</v>
    <v>0</v>
    <v>SIGMA ADVANCED SYSTEMS LIMITED (XNSE:SIGMAADV)</v>
    <v>2</v>
    <v>3</v>
    <v>Finance</v>
    <v>4</v>
    <v>503.9</v>
    <v>81.61</v>
    <v>2.2839999999999998</v>
    <v>-2.75</v>
    <v>-5.7020000000000005E-3</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503.9</v>
    <v>Aerospace &amp; Defense</v>
    <v>Stock</v>
    <v>46185.472060185188</v>
    <v>843</v>
    <v>470</v>
    <v>13967620000</v>
    <v>SIGMA ADVANCED SYSTEMS LIMITED</v>
    <v>SIGMA ADVANCED SYSTEMS LIMITED</v>
    <v>497</v>
    <v>18.760000000000002</v>
    <v>482.25</v>
    <v>479.5</v>
    <v>176239700</v>
    <v>SIGMAADV</v>
    <v>SIGMA ADVANCED SYSTEMS LIMITED (XNSE:SIGMAADV)</v>
    <v>583531</v>
    <v>739510</v>
    <v>1999</v>
  </rv>
  <rv s="2">
    <v>844</v>
  </rv>
  <rv s="0">
    <v>https://www.bing.com/financeapi/forcetrigger?t=ahkcpr&amp;q=XNSE%3aTHYROCARE&amp;form=skydnc</v>
    <v>Learn more on Bing</v>
  </rv>
  <rv s="1">
    <v>en-IN</v>
    <v>ahkcpr</v>
    <v>268435456</v>
    <v>1</v>
    <v>Powered by Refinitiv</v>
    <v>0</v>
    <v>THYROCARE TECHNOLOGIES LIMITED (XNSE:THYROCARE)</v>
    <v>2</v>
    <v>3</v>
    <v>Finance</v>
    <v>4</v>
    <v>578.25</v>
    <v>317.10000000000002</v>
    <v>0.77039999999999997</v>
    <v>9.5</v>
    <v>1.8290000000000001E-2</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1906</v>
    <v>National Stock Exchange of India</v>
    <v>XNSE</v>
    <v>XNSE</v>
    <v>D-37/1, MIDC, Turbhe, Opp. Sandoz,, NAVI MUMBAI, MAHARASHTRA, 400703 IN</v>
    <v>538.45000000000005</v>
    <v>Healthcare Providers &amp; Services</v>
    <v>Stock</v>
    <v>46185.472071759257</v>
    <v>846</v>
    <v>522.04999999999995</v>
    <v>74591130000</v>
    <v>THYROCARE TECHNOLOGIES LIMITED</v>
    <v>THYROCARE TECHNOLOGIES LIMITED</v>
    <v>527.79999999999995</v>
    <v>51.626199999999997</v>
    <v>519.4</v>
    <v>528.9</v>
    <v>159165300</v>
    <v>THYROCARE</v>
    <v>THYROCARE TECHNOLOGIES LIMITED (XNSE:THYROCARE)</v>
    <v>331843</v>
    <v>550140</v>
    <v>2000</v>
  </rv>
  <rv s="2">
    <v>847</v>
  </rv>
  <rv s="0">
    <v>https://www.bing.com/financeapi/forcetrigger?t=c1ypgh&amp;q=XNSE%3aMODISNME&amp;form=skydnc</v>
    <v>Learn more on Bing</v>
  </rv>
  <rv s="1">
    <v>en-IN</v>
    <v>c1ypgh</v>
    <v>268435456</v>
    <v>1</v>
    <v>Powered by Refinitiv</v>
    <v>0</v>
    <v>MODISON LIMITED (XNSE:MODISONLTD)</v>
    <v>2</v>
    <v>3</v>
    <v>Finance</v>
    <v>4</v>
    <v>362.7</v>
    <v>114</v>
    <v>1.1324000000000001</v>
    <v>-16</v>
    <v>-4.9852E-2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314</v>
    <v>Metals &amp; Mining</v>
    <v>Stock</v>
    <v>46185.472037037034</v>
    <v>849</v>
    <v>304.95</v>
    <v>4998598000</v>
    <v>MODISON LIMITED</v>
    <v>MODISON LIMITED</v>
    <v>308.5</v>
    <v>13.6462</v>
    <v>320.95</v>
    <v>304.95</v>
    <v>32450000</v>
    <v>MODISONLTD</v>
    <v>MODISON LIMITED (XNSE:MODISONLTD)</v>
    <v>197575</v>
    <v>192280</v>
    <v>1983</v>
  </rv>
  <rv s="2">
    <v>850</v>
  </rv>
  <rv s="0">
    <v>https://www.bing.com/financeapi/forcetrigger?t=c3oifr&amp;q=XNSE%3aABSLAMC&amp;form=skydnc</v>
    <v>Learn more on Bing</v>
  </rv>
  <rv s="1">
    <v>en-IN</v>
    <v>c3oifr</v>
    <v>268435456</v>
    <v>1</v>
    <v>Powered by Refinitiv</v>
    <v>0</v>
    <v>ADITYA BIRLA SUN LIFE AMC LIMITED (XNSE:ABSLAMC)</v>
    <v>2</v>
    <v>3</v>
    <v>Finance</v>
    <v>4</v>
    <v>1123.5</v>
    <v>708</v>
    <v>0.8</v>
    <v>32.6</v>
    <v>3.0506999999999999E-2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1119.4000000000001</v>
    <v>Investment Banking &amp; Investment Services</v>
    <v>Stock</v>
    <v>46185.472048611111</v>
    <v>852</v>
    <v>1075.7</v>
    <v>237100700000</v>
    <v>ADITYA BIRLA SUN LIFE AMC LIMITED</v>
    <v>ADITYA BIRLA SUN LIFE AMC LIMITED</v>
    <v>1087.8</v>
    <v>31.64</v>
    <v>1068.5999999999999</v>
    <v>1101.2</v>
    <v>289175000</v>
    <v>ABSLAMC</v>
    <v>ADITYA BIRLA SUN LIFE AMC LIMITED (XNSE:ABSLAMC)</v>
    <v>801088</v>
    <v>439980</v>
    <v>1994</v>
  </rv>
  <rv s="2">
    <v>853</v>
  </rv>
  <rv s="0">
    <v>https://www.bing.com/financeapi/forcetrigger?t=ahhd2w&amp;q=XNSE%3aCENTUM&amp;form=skydnc</v>
    <v>Learn more on Bing</v>
  </rv>
  <rv s="1">
    <v>en-IN</v>
    <v>ahhd2w</v>
    <v>268435456</v>
    <v>1</v>
    <v>Powered by Refinitiv</v>
    <v>0</v>
    <v>CENTUM ELECTRONICS LIMITED (XNSE:CENTUM)</v>
    <v>2</v>
    <v>3</v>
    <v>Finance</v>
    <v>4</v>
    <v>3714</v>
    <v>2044.2</v>
    <v>0.56369999999999998</v>
    <v>193</v>
    <v>5.6936E-2</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3642.3</v>
    <v>Machinery, Equipment &amp; Components</v>
    <v>Stock</v>
    <v>46185.472071759257</v>
    <v>855</v>
    <v>3415.8</v>
    <v>34344070000</v>
    <v>CENTUM ELECTRONICS LIMITED</v>
    <v>CENTUM ELECTRONICS LIMITED</v>
    <v>3450.8</v>
    <v>62.957299999999996</v>
    <v>3389.8</v>
    <v>3582.8</v>
    <v>14759020</v>
    <v>CENTUM</v>
    <v>CENTUM ELECTRONICS LIMITED (XNSE:CENTUM)</v>
    <v>104575</v>
    <v>83080</v>
    <v>1993</v>
  </rv>
  <rv s="2">
    <v>856</v>
  </rv>
  <rv s="3">
    <v>en-IN</v>
    <v>c8ip5r</v>
    <v>268435456</v>
    <v>1</v>
    <v>Powered by Refinitiv</v>
    <v>5</v>
    <v>Sky Gold and Diamonds Limited (XNSE:SKYGOLD)</v>
    <v>6</v>
    <v>3</v>
    <v>Finance</v>
    <v>4</v>
    <v>590</v>
    <v>246.05</v>
    <v>0.67620000000000002</v>
    <v>18.2</v>
    <v>3.7086000000000001E-2</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512</v>
    <v>Textiles &amp; Apparel</v>
    <v>Stock</v>
    <v>46185.472060185188</v>
    <v>495.95</v>
    <v>51112820000</v>
    <v>Sky Gold and Diamonds Limited</v>
    <v>Sky Gold and Diamonds Limited</v>
    <v>495.95</v>
    <v>27.16</v>
    <v>490.75</v>
    <v>508.95</v>
    <v>154873900</v>
    <v>SKYGOLD</v>
    <v>Sky Gold and Diamonds Limited (XNSE:SKYGOLD)</v>
    <v>596541</v>
    <v>1637240</v>
    <v>2008</v>
  </rv>
  <rv s="2">
    <v>858</v>
  </rv>
  <rv s="7">
    <v>12</v>
    <v>Price</v>
    <v>0</v>
  </rv>
  <rv s="7">
    <v>12</v>
    <v>Previous close</v>
    <v>0</v>
  </rv>
  <rv s="0">
    <v>https://www.bing.com/financeapi/forcetrigger?t=ahilc7&amp;q=XNSE%3aKERNEX&amp;form=skydnc</v>
    <v>Learn more on Bing</v>
  </rv>
  <rv s="1">
    <v>en-IN</v>
    <v>ahilc7</v>
    <v>268435456</v>
    <v>1</v>
    <v>Powered by Refinitiv</v>
    <v>0</v>
    <v>KERNEX MICROSYSTEMS (INDIA)LIMITED (XNSE:KERNEX)</v>
    <v>2</v>
    <v>3</v>
    <v>Finance</v>
    <v>4</v>
    <v>2000</v>
    <v>850</v>
    <v>1.0499000000000001</v>
    <v>99.6</v>
    <v>5.2595000000000003E-2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2000</v>
    <v>Electronic Equipment &amp; Parts</v>
    <v>Stock</v>
    <v>46185.472060185188</v>
    <v>862</v>
    <v>1920.6</v>
    <v>18664130000</v>
    <v>KERNEX MICROSYSTEMS (INDIA)LIMITED</v>
    <v>KERNEX MICROSYSTEMS (INDIA)LIMITED</v>
    <v>1933.4</v>
    <v>37.881</v>
    <v>1893.7</v>
    <v>1993.3</v>
    <v>16759420</v>
    <v>KERNEX</v>
    <v>KERNEX MICROSYSTEMS (INDIA)LIMITED (XNSE:KERNEX)</v>
    <v>310640</v>
    <v>558740</v>
    <v>1991</v>
  </rv>
  <rv s="2">
    <v>863</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1.2862</v>
    <v>2.66</v>
    <v>1.89E-2</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145.44</v>
    <v>Automobiles &amp; Auto Parts</v>
    <v>Stock</v>
    <v>46185.472037037034</v>
    <v>865</v>
    <v>141.25</v>
    <v>1213022000000</v>
    <v>SAMVARDHANA MOTHERSON INTERNATIONAL LIMITED</v>
    <v>SAMVARDHANA MOTHERSON INTERNATIONAL LIMITED</v>
    <v>142.52000000000001</v>
    <v>40.33</v>
    <v>140.74</v>
    <v>143.4</v>
    <v>10531230000</v>
    <v>MOTHERSON</v>
    <v>SAMVARDHANA MOTHERSON INTERNATIONAL LIMITED (XNSE:MOTHERSON)</v>
    <v>12743045</v>
    <v>19435070</v>
    <v>1986</v>
  </rv>
  <rv s="2">
    <v>866</v>
  </rv>
  <rv s="0">
    <v>https://www.bing.com/financeapi/forcetrigger?t=ahiysm&amp;q=XNSE%3aMINDACORP&amp;form=skydnc</v>
    <v>Learn more on Bing</v>
  </rv>
  <rv s="1">
    <v>en-IN</v>
    <v>ahiysm</v>
    <v>268435456</v>
    <v>1</v>
    <v>Powered by Refinitiv</v>
    <v>0</v>
    <v>MINDA CORPORATION LIMITED (XNSE:MINDACORP)</v>
    <v>2</v>
    <v>3</v>
    <v>Finance</v>
    <v>4</v>
    <v>663</v>
    <v>445.05</v>
    <v>0.63519999999999999</v>
    <v>4.3</v>
    <v>6.7939999999999997E-3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648.6</v>
    <v>Automobiles &amp; Auto Parts</v>
    <v>Stock</v>
    <v>46185.472094907411</v>
    <v>868</v>
    <v>632</v>
    <v>135332500000</v>
    <v>MINDA CORPORATION LIMITED</v>
    <v>MINDA CORPORATION LIMITED</v>
    <v>645</v>
    <v>41.619900000000001</v>
    <v>632.9</v>
    <v>637.20000000000005</v>
    <v>235360900</v>
    <v>MINDACORP</v>
    <v>MINDA CORPORATION LIMITED (XNSE:MINDACORP)</v>
    <v>271280</v>
    <v>719310</v>
    <v>1985</v>
  </rv>
  <rv s="2">
    <v>869</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1.3792</v>
    <v>-0.35</v>
    <v>-6.7309999999999994E-4</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527.6</v>
    <v>Insurance</v>
    <v>Stock</v>
    <v>46185.472048611111</v>
    <v>871</v>
    <v>517.70000000000005</v>
    <v>264107100000</v>
    <v>STAR HEALTH AND ALLIED INSURANCE COMPANY LIMITED</v>
    <v>STAR HEALTH AND ALLIED INSURANCE COMPANY LIMITED</v>
    <v>524</v>
    <v>54.9</v>
    <v>519.95000000000005</v>
    <v>519.6</v>
    <v>588433500</v>
    <v>STARHEALTH</v>
    <v>STAR HEALTH AND ALLIED INSURANCE COMPANY LIMITED (XNSE:STARHEALTH)</v>
    <v>600719</v>
    <v>522360</v>
    <v>2005</v>
  </rv>
  <rv s="2">
    <v>872</v>
  </rv>
  <rv s="0">
    <v>https://www.bing.com/financeapi/forcetrigger?t=ahk9jc&amp;q=XNSE%3aTATACOMM&amp;form=skydnc</v>
    <v>Learn more on Bing</v>
  </rv>
  <rv s="1">
    <v>en-IN</v>
    <v>ahk9jc</v>
    <v>268435456</v>
    <v>1</v>
    <v>Powered by Refinitiv</v>
    <v>0</v>
    <v>TATA COMMUNICATIONS LIMITED (XNSE:TATACOMM)</v>
    <v>2</v>
    <v>3</v>
    <v>Finance</v>
    <v>4</v>
    <v>2049.9</v>
    <v>1322.5</v>
    <v>1.4963</v>
    <v>0.6</v>
    <v>3.0519999999999999E-4</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1980</v>
    <v>Telecommunications Services</v>
    <v>Stock</v>
    <v>46185.472037037034</v>
    <v>874</v>
    <v>1944.2</v>
    <v>495501000000</v>
    <v>TATA COMMUNICATIONS LIMITED</v>
    <v>TATA COMMUNICATIONS LIMITED</v>
    <v>1980</v>
    <v>53.686300000000003</v>
    <v>1966</v>
    <v>1966.6</v>
    <v>285000000</v>
    <v>TATACOMM</v>
    <v>TATA COMMUNICATIONS LIMITED (XNSE:TATACOMM)</v>
    <v>281125</v>
    <v>630680</v>
    <v>1986</v>
  </rv>
  <rv s="2">
    <v>875</v>
  </rv>
  <rv s="0">
    <v>https://www.bing.com/financeapi/forcetrigger?t=ahi4fr&amp;q=XNSE%3aHESTERBIO&amp;form=skydnc</v>
    <v>Learn more on Bing</v>
  </rv>
  <rv s="1">
    <v>en-IN</v>
    <v>ahi4fr</v>
    <v>268435456</v>
    <v>1</v>
    <v>Powered by Refinitiv</v>
    <v>0</v>
    <v>HESTER BIOSCIENCES LIMITED (XNSE:HESTERBIO)</v>
    <v>2</v>
    <v>3</v>
    <v>Finance</v>
    <v>4</v>
    <v>2350</v>
    <v>1239.3</v>
    <v>1.3030999999999999</v>
    <v>-7</v>
    <v>-3.5720000000000001E-3</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1990</v>
    <v>Pharmaceuticals</v>
    <v>Stock</v>
    <v>46185.472048611111</v>
    <v>877</v>
    <v>1925</v>
    <v>12887050000</v>
    <v>HESTER BIOSCIENCES LIMITED</v>
    <v>HESTER BIOSCIENCES LIMITED</v>
    <v>1980.5</v>
    <v>35.010800000000003</v>
    <v>1959.9</v>
    <v>1952.9</v>
    <v>8506860</v>
    <v>HESTERBIO</v>
    <v>HESTER BIOSCIENCES LIMITED (XNSE:HESTERBIO)</v>
    <v>3037</v>
    <v>7570</v>
    <v>1987</v>
  </rv>
  <rv s="2">
    <v>878</v>
  </rv>
  <rv s="0">
    <v>https://www.bing.com/financeapi/forcetrigger?t=ahkmfr&amp;q=XNSE%3aVOLTAMP&amp;form=skydnc</v>
    <v>Learn more on Bing</v>
  </rv>
  <rv s="1">
    <v>en-IN</v>
    <v>ahkmfr</v>
    <v>268435456</v>
    <v>1</v>
    <v>Powered by Refinitiv</v>
    <v>0</v>
    <v>VOLTAMP TRANSFORMERS LIMITED (XNSE:VOLTAMP)</v>
    <v>2</v>
    <v>3</v>
    <v>Finance</v>
    <v>4</v>
    <v>12863</v>
    <v>6666</v>
    <v>0.9143</v>
    <v>188</v>
    <v>1.9723999999999998E-2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9810</v>
    <v>Machinery, Equipment &amp; Components</v>
    <v>Stock</v>
    <v>46185.472060185188</v>
    <v>880</v>
    <v>9591</v>
    <v>72443640000</v>
    <v>VOLTAMP TRANSFORMERS LIMITED</v>
    <v>VOLTAMP TRANSFORMERS LIMITED</v>
    <v>9591</v>
    <v>32.198700000000002</v>
    <v>9531.5</v>
    <v>9719.5</v>
    <v>10117120</v>
    <v>VOLTAMP</v>
    <v>VOLTAMP TRANSFORMERS LIMITED (XNSE:VOLTAMP)</v>
    <v>44181</v>
    <v>51140</v>
    <v>1967</v>
  </rv>
  <rv s="2">
    <v>881</v>
  </rv>
  <rv s="0">
    <v>https://www.bing.com/financeapi/forcetrigger?t=b1d2yc&amp;q=XNSE%3aADANIGREEN&amp;form=skydnc</v>
    <v>Learn more on Bing</v>
  </rv>
  <rv s="1">
    <v>en-IN</v>
    <v>b1d2yc</v>
    <v>268435456</v>
    <v>1</v>
    <v>Powered by Refinitiv</v>
    <v>0</v>
    <v>ADANI GREEN ENERGY LIMITED (XNSE:ADANIGREEN)</v>
    <v>2</v>
    <v>3</v>
    <v>Finance</v>
    <v>4</v>
    <v>1544.8</v>
    <v>765</v>
    <v>2.1393</v>
    <v>31.2</v>
    <v>2.1450999999999998E-2</v>
    <v>INR</v>
    <v>Adani Green Energy Limited is an India-based renewable energy company. The Company has a presence across 12 states of India, focusing on solar, wind and hybrid (solar wind) renewable power generation. It operates through two segments: renewable power generation and other related ancillary activities and sale of solar power equipments. The sale of solar power equipments segment comprises of an associate, Mundra Solar Energy Limited. The Company sells renewable power generated from its projects under a combination of long-term power purchase agreements (PPA) and on merchant basis and other ancillary activities. It is also developing solar park at khavda, Gujarat over 19,000 hectares and subleased 6,129 hectares land to its subsidiaries including step down subsidiaries and other related parties. Its locked-in renewable energy portfolio stands at approximately 21,953 megawatt (MW) (10,934 MW operational and 11,019 MW under execution) and another 500 MW of hydro pumped storage project.</v>
    <v>976</v>
    <v>National Stock Exchange of India</v>
    <v>XNSE</v>
    <v>XNSE</v>
    <v>ADANI CORPORATE HOUSE SHANTIGRAM, NR. VAISHNO DEVI CIRCLE, S G HIGHWAY, KHODIYAR, GUJARAT, 382421 IN</v>
    <v>1493</v>
    <v>Electrical Utilities &amp; IPPs</v>
    <v>Stock</v>
    <v>46185.472037037034</v>
    <v>883</v>
    <v>1455.2</v>
    <v>1542910000000</v>
    <v>ADANI GREEN ENERGY LIMITED</v>
    <v>ADANI GREEN ENERGY LIMITED</v>
    <v>1480</v>
    <v>146.2706</v>
    <v>1454.5</v>
    <v>1485.7</v>
    <v>1647176000</v>
    <v>ADANIGREEN</v>
    <v>ADANI GREEN ENERGY LIMITED (XNSE:ADANIGREEN)</v>
    <v>1975815</v>
    <v>3954430</v>
    <v>2015</v>
  </rv>
  <rv s="2">
    <v>884</v>
  </rv>
  <rv s="0">
    <v>https://www.bing.com/financeapi/forcetrigger?t=c1w3dm&amp;q=XNSE%3aDEEPINDS&amp;form=skydnc</v>
    <v>Learn more on Bing</v>
  </rv>
  <rv s="1">
    <v>en-IN</v>
    <v>c1w3dm</v>
    <v>268435456</v>
    <v>1</v>
    <v>Powered by Refinitiv</v>
    <v>0</v>
    <v>DEEP INDUSTRIES LIMITED (XNSE:DEEPINDS)</v>
    <v>2</v>
    <v>3</v>
    <v>Finance</v>
    <v>4</v>
    <v>578</v>
    <v>330</v>
    <v>0.62119999999999997</v>
    <v>-8.1999999999999993</v>
    <v>-1.6283000000000002E-2</v>
    <v>INR</v>
    <v>Deep Industries Limited is an India-based company, which provides solutions to the energy sector. The Company specializes in providing air and gas compression services, drilling and workover services, gas dehydration services, and integrated project management services. It provides various equipment and services under rental and chartered-hire basis. Its portfolio includes various machines/equipment/tools to be used oil and gas industry from exploration and production services to the mid-stream services. Its upstream services include drilling and workover services and integrated project management services. Its midstream services include air and gas compression services and gas dehydration, conditioning, and processing. It offers installation and commissioning of oil and gas conditioning and processing, surface facilities, gas processing units, scrubbers, nitrogen rejection systems, gas gathering stations and gas collecting stations, and overground and underground pipeline networks.</v>
    <v>1140</v>
    <v>National Stock Exchange of India</v>
    <v>XNSE</v>
    <v>XNSE</v>
    <v>12A &amp; 14, Abhishree Corpoarte Park, Ambli Bopal Road, Ambli, AHMEDABAD, GUJARAT, 380058 IN</v>
    <v>512</v>
    <v>Oil &amp; Gas Related Equipment and Services</v>
    <v>Stock</v>
    <v>46185.472037037034</v>
    <v>886</v>
    <v>486.4</v>
    <v>24192000000</v>
    <v>DEEP INDUSTRIES LIMITED</v>
    <v>DEEP INDUSTRIES LIMITED</v>
    <v>505.3</v>
    <v>17.6236</v>
    <v>503.6</v>
    <v>495.4</v>
    <v>64000000</v>
    <v>DEEPINDS</v>
    <v>DEEP INDUSTRIES LIMITED (XNSE:DEEPINDS)</v>
    <v>213711</v>
    <v>482830</v>
    <v>2006</v>
  </rv>
  <rv s="2">
    <v>887</v>
  </rv>
  <rv s="0">
    <v>https://www.bing.com/financeapi/forcetrigger?t=c3h2xm&amp;q=XNSE%3aGANESHBE&amp;form=skydnc</v>
    <v>Learn more on Bing</v>
  </rv>
  <rv s="1">
    <v>en-IN</v>
    <v>c3h2xm</v>
    <v>268435456</v>
    <v>1</v>
    <v>Powered by Refinitiv</v>
    <v>0</v>
    <v>GANESH BENZOPLAST LIMITED (XNSE:GANESHBE)</v>
    <v>2</v>
    <v>3</v>
    <v>Finance</v>
    <v>4</v>
    <v>118</v>
    <v>68.400000000000006</v>
    <v>1.0146999999999999</v>
    <v>0.05</v>
    <v>4.6199999999999995E-4</v>
    <v>INR</v>
    <v>Ganesh Benzoplast Limited is an India-based independent liquid storage tank (LST) provider, specializing in the storage and handling of all liquid chemicals and oil products. It operates through two segments: Liquid Storage Terminal /EPC/Wharfage and Manufacturer of Chemicals. Its Liquid Storage Terminal segment owns and operates a network of shore-based tank farm installations for the receipt and handling of bulk liquids, including engineering, procurement &amp; construction of liquid storage tanks and loading / unloading. Its facilities are offered on a long-term contract or spot contract basis, and other services such as product blending, logistics support via inland rail transport, bunkering-barging, and drum filling and on-site product quality testing are also provided. Its chemical business is engaged in processing and dealing in a range of food preservatives, lubricant additives and active pharmaceutical ingredient (API) drugs. It has two factories at MIDC Tarapur (Maharashtra).</v>
    <v>198</v>
    <v>National Stock Exchange of India</v>
    <v>XNSE</v>
    <v>XNSE</v>
    <v>C 501, 502, C WING 5TH FLOOR OFF WESTERN EXPRESS HIGHWAY,LAXMI NAGAR, LOTUS CORPORATE PARK, GOREGAON EAST, MAHARASHTRA, 400063 IN</v>
    <v>113</v>
    <v>Chemicals</v>
    <v>Stock</v>
    <v>46185.472048611111</v>
    <v>889</v>
    <v>107.91</v>
    <v>5638931000</v>
    <v>GANESH BENZOPLAST LIMITED</v>
    <v>GANESH BENZOPLAST LIMITED</v>
    <v>109</v>
    <v>10.6365</v>
    <v>108.23</v>
    <v>108.28</v>
    <v>71989420</v>
    <v>GANESHBE</v>
    <v>GANESH BENZOPLAST LIMITED (XNSE:GANESHBE)</v>
    <v>284707</v>
    <v>1094750</v>
    <v>1986</v>
  </rv>
  <rv s="2">
    <v>890</v>
  </rv>
  <rv s="0">
    <v>https://www.bing.com/financeapi/forcetrigger?t=ahi7xm&amp;q=XNSE%3aIBULHSGFIN&amp;form=skydnc</v>
    <v>Learn more on Bing</v>
  </rv>
  <rv s="1">
    <v>en-IN</v>
    <v>ahi7xm</v>
    <v>268435456</v>
    <v>1</v>
    <v>Powered by Refinitiv</v>
    <v>0</v>
    <v>SAMMAAN CAPITAL LIMITED (XNSE:SAMMAANCAP)</v>
    <v>2</v>
    <v>3</v>
    <v>Finance</v>
    <v>4</v>
    <v>192.95</v>
    <v>114.1</v>
    <v>1.1235999999999999</v>
    <v>6.45</v>
    <v>3.8399999999999997E-2</v>
    <v>INR</v>
    <v>Sammaan Capital Limited is a mortgage-focused Non-Banking Financial Company (NBFC). The Company is primarily engaged in the business to provide finance and to undertake all lending and finance to any person or persons, co-operative society, companies, institutions, builders, developers, and others. It also provides loans to micro, small, and medium enterprises (MSMEs)/small businesses. Its product offerings include new home loan, home extension loan, rural home loan, home loan for NRIs, loan against property, home loan for renovation, home loan balance transfer, and all loans. Its subsidiaries include Sammaan Finserve Limited, Sammaan Collection Agency Limited, Sammaan Sales Limited, Sammaan Investmart Services Limited, Sammaan Advisory Services Limited, Sammaan Insurance Advisors Limited, Indiabulls Asset Holding Company Limited, Indiabulls Capital Services Limited, and Sammaan Asset Management Limited. The Company has approximately 200 branches nationwide.</v>
    <v>4383</v>
    <v>National Stock Exchange of India</v>
    <v>XNSE</v>
    <v>XNSE</v>
    <v>One International Centre, Tower 1, 18th Floor, Senapati Bapat Marg, Elphinstone Road, MUMBAI, MAHARASHTRA, 400013 IN</v>
    <v>174.98</v>
    <v>Banking Services</v>
    <v>Stock</v>
    <v>46185.47210648148</v>
    <v>892</v>
    <v>169.42</v>
    <v>115409500000</v>
    <v>SAMMAAN CAPITAL LIMITED</v>
    <v>SAMMAAN CAPITAL LIMITED</v>
    <v>171</v>
    <v>0</v>
    <v>167.97</v>
    <v>174.42</v>
    <v>1161869000</v>
    <v>SAMMAANCAP</v>
    <v>SAMMAAN CAPITAL LIMITED (XNSE:SAMMAANCAP)</v>
    <v>13048147</v>
    <v>17717220</v>
    <v>2005</v>
  </rv>
  <rv s="2">
    <v>893</v>
  </rv>
  <rv s="0">
    <v>https://www.bing.com/financeapi/forcetrigger?t=ayqgtc&amp;q=XNSE%3aPAISALO&amp;form=skydnc</v>
    <v>Learn more on Bing</v>
  </rv>
  <rv s="1">
    <v>en-IN</v>
    <v>ayqgtc</v>
    <v>268435456</v>
    <v>1</v>
    <v>Powered by Refinitiv</v>
    <v>0</v>
    <v>PAISALO DIGITAL LIMITED (XNSE:PAISALO)</v>
    <v>2</v>
    <v>3</v>
    <v>Finance</v>
    <v>4</v>
    <v>61</v>
    <v>29.38</v>
    <v>1.2184999999999999</v>
    <v>0.79</v>
    <v>1.3502E-2</v>
    <v>INR</v>
    <v>Paisalo Digital Limited is an India-based Non-Banking Financial Company (NBFC) engaged in providing loans. The Company is primarily focusing on financing self-employed borrowers. The Company's products include small income generation loans, mobility loans, and entrepreneurial loans. Its small income generation loans include Umeed loan, Pragati loan, and Vikas loan. It offers financial solutions for individuals or small businesses to purchase seeds, fodder, cattle, and others. Its mobility loans offer solutions for purchasing mobility products for individuals, such as auto rickshaws, electric rickshaws, two-wheelers or tempo, which include Gati loan, Raftaar loan, Do Ka Dum loan, and Ready Steady Go loan. The Company offers customizable micro, small and medium enterprises (MSME), small and medium enterprises (SME), and commercial loans based on the borrower’s profiles. Its Udaan loan is provided for small businesses. It operates through approximately 351 branches.</v>
    <v>3076</v>
    <v>National Stock Exchange of India</v>
    <v>XNSE</v>
    <v>XNSE</v>
    <v>Paisalo House, Gandhi Nagar, NH-2, AGRA, UTTAR PRADESH, 282003 IN</v>
    <v>60.4</v>
    <v>Banking Services</v>
    <v>Stock</v>
    <v>46185.472094907411</v>
    <v>895</v>
    <v>59</v>
    <v>31533120000</v>
    <v>PAISALO DIGITAL LIMITED</v>
    <v>PAISALO DIGITAL LIMITED</v>
    <v>59.15</v>
    <v>22.33</v>
    <v>58.51</v>
    <v>59.3</v>
    <v>909521900</v>
    <v>PAISALO</v>
    <v>PAISALO DIGITAL LIMITED (XNSE:PAISALO)</v>
    <v>8509192</v>
    <v>16037520</v>
    <v>1992</v>
  </rv>
  <rv s="2">
    <v>896</v>
  </rv>
  <rv s="0">
    <v>https://www.bing.com/financeapi/forcetrigger?t=ahhyxm&amp;q=XNSE%3aGREAVESCOT&amp;form=skydnc</v>
    <v>Learn more on Bing</v>
  </rv>
  <rv s="1">
    <v>en-IN</v>
    <v>ahhyxm</v>
    <v>268435456</v>
    <v>1</v>
    <v>Powered by Refinitiv</v>
    <v>0</v>
    <v>GREAVES COTTON LIMITED (XNSE:GREAVESCOT)</v>
    <v>2</v>
    <v>3</v>
    <v>Finance</v>
    <v>4</v>
    <v>244.3</v>
    <v>119.99</v>
    <v>0.95860000000000001</v>
    <v>8.75</v>
    <v>4.9633999999999998E-2</v>
    <v>INR</v>
    <v>Greaves Cotton Limited (GCL) is a diversified, multi-product, multi-fuel, and multi-location engineering company. GCL operates through its five business units, namely Greaves Engineering, Greaves Electric Mobility, Greaves Retail, Greaves Finance, and Greaves Technologies. Greaves Engineering provides design engineering and precision manufacturing solutions for a variety of industries, including automotive, agriculture, marine, construction, and railways. Greaves Electric Mobility is engaged in designing and manufacturing electric two-wheelers and three-wheelers. Greaves Retail provides aftermarket spares and equipment, across multiple sectors. Greaves Finance is an electronic vehicle (EV)-focused Non-Banking Financial Company (NBFC). Under its platform evfin, it provides financing solutions tailored to electric vehicle owners. Greaves Technologies is a full-service Engineering, Research &amp; Development (ER&amp;D), and digital services and solutions provider.</v>
    <v>1079</v>
    <v>National Stock Exchange of India</v>
    <v>XNSE</v>
    <v>XNSE</v>
    <v>J-2, MIDC INDUSTRIAL AREA CHIKALTHANA, AURANGABAD, MAHARASHTRA, 431210 IN</v>
    <v>185.8</v>
    <v>Machinery, Equipment &amp; Components</v>
    <v>Stock</v>
    <v>46185.472037037034</v>
    <v>898</v>
    <v>178.49</v>
    <v>40030640000</v>
    <v>GREAVES COTTON LIMITED</v>
    <v>GREAVES COTTON LIMITED</v>
    <v>178.49</v>
    <v>40.138800000000003</v>
    <v>176.29</v>
    <v>185.04</v>
    <v>232951400</v>
    <v>GREAVESCOT</v>
    <v>GREAVES COTTON LIMITED (XNSE:GREAVESCOT)</v>
    <v>1084316</v>
    <v>1639550</v>
    <v>1922</v>
  </rv>
  <rv s="2">
    <v>899</v>
  </rv>
  <rv s="0">
    <v>https://www.bing.com/financeapi/forcetrigger?t=bwnbww&amp;q=XNSE%3aEQUITASBNK&amp;form=skydnc</v>
    <v>Learn more on Bing</v>
  </rv>
  <rv s="1">
    <v>en-IN</v>
    <v>bwnbww</v>
    <v>268435456</v>
    <v>1</v>
    <v>Powered by Refinitiv</v>
    <v>0</v>
    <v>EQUITAS SMALL FINANCE BANK LIMITED (XNSE:EQUITASBNK)</v>
    <v>2</v>
    <v>3</v>
    <v>Finance</v>
    <v>4</v>
    <v>76.930000000000007</v>
    <v>50</v>
    <v>1.0804</v>
    <v>4.1500000000000004</v>
    <v>5.8131000000000002E-2</v>
    <v>INR</v>
    <v>Equitas Small Finance Bank Limited (The Bank) is a Small Finance Bank. The Bank offers banking products and services to customer segments including individuals with limited access to formal financing channels, as well as affluent and mass affluent, Small &amp; Medium Enterprises (SMEs) and corporates. The Company operates through three segments: Treasury, Wholesale Banking and Retail Banking businesses. The treasury segment includes all investment portfolios, Profit/ Loss on sale of investments, priority sector lending certificates (PSLC) fees, Profit/Loss on foreign exchange transactions, equities, income from derivatives and money market operations. Corporate / Wholesale Banking includes all advances to trusts, partnership firms, companies and statutory bodies. Retail Banking includes lending to and deposits from retail customers and identifying earnings and expenses of the segment. Along with these services, it provides consumer banking, commercial banking services, among others.</v>
    <v>27145</v>
    <v>National Stock Exchange of India</v>
    <v>XNSE</v>
    <v>XNSE</v>
    <v>4th Floor, Spencer Plaza, No. 769, Phase II, Anna Salai, CHENNAI, TAMIL NADU, 600002 IN</v>
    <v>76.25</v>
    <v>Banking Services</v>
    <v>Stock</v>
    <v>46185.472037037034</v>
    <v>901</v>
    <v>72.599999999999994</v>
    <v>77593860000</v>
    <v>EQUITAS SMALL FINANCE BANK LIMITED</v>
    <v>EQUITAS SMALL FINANCE BANK LIMITED</v>
    <v>72.599999999999994</v>
    <v>79.319999999999993</v>
    <v>71.39</v>
    <v>75.540000000000006</v>
    <v>1141573000</v>
    <v>EQUITASBNK</v>
    <v>EQUITAS SMALL FINANCE BANK LIMITED (XNSE:EQUITASBNK)</v>
    <v>14409502</v>
    <v>6853900</v>
    <v>1993</v>
  </rv>
  <rv s="2">
    <v>902</v>
  </rv>
  <rv s="3">
    <v>en-IN</v>
    <v>cbpa27</v>
    <v>268435456</v>
    <v>1</v>
    <v>Powered by Refinitiv</v>
    <v>5</v>
    <v>TATA TECHNOLOGIES LIMITED (XNSE:TATATECH)</v>
    <v>6</v>
    <v>3</v>
    <v>Finance</v>
    <v>4</v>
    <v>793.46</v>
    <v>507.4</v>
    <v>1.135</v>
    <v>29.55</v>
    <v>4.0399000000000004E-2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763.8</v>
    <v>Integrated Hardware &amp; Software</v>
    <v>Stock</v>
    <v>46185.472083333334</v>
    <v>737</v>
    <v>267905900000</v>
    <v>TATA TECHNOLOGIES LIMITED</v>
    <v>TATA TECHNOLOGIES LIMITED</v>
    <v>740</v>
    <v>54.26</v>
    <v>731.45</v>
    <v>761</v>
    <v>406051800</v>
    <v>TATATECH</v>
    <v>TATA TECHNOLOGIES LIMITED (XNSE:TATATECH)</v>
    <v>1516932</v>
    <v>1984070</v>
    <v>1994</v>
  </rv>
  <rv s="2">
    <v>904</v>
  </rv>
  <rv s="0">
    <v>https://www.bing.com/financeapi/forcetrigger?t=ahkmzr&amp;q=XNSE%3aWABAG&amp;form=skydnc</v>
    <v>Learn more on Bing</v>
  </rv>
  <rv s="1">
    <v>en-IN</v>
    <v>ahkmzr</v>
    <v>268435456</v>
    <v>1</v>
    <v>Powered by Refinitiv</v>
    <v>0</v>
    <v>VA TECH WABAG LIMITED (XNSE:WABAG)</v>
    <v>2</v>
    <v>3</v>
    <v>Finance</v>
    <v>4</v>
    <v>1672.1</v>
    <v>1033</v>
    <v>1.0345</v>
    <v>53.8</v>
    <v>3.5302E-2</v>
    <v>INR</v>
    <v>VA Tech Wabag Limited is an India-based water technology company focused on water management. The Company's principal activities include design, supply, installation, construction, and operational management of drinking water, wastewater treatment, industrial water treatment, and desalination plants. The Company operates in two business segments: India and the Rest of the World. The business of the Company is to provide solutions for desalination, wastewater treatment, water recycle &amp; reuse, industrial effluent treatment, industrial water treatment, sludge treatment, and drinking water treatment. It delivers comprehensive water solutions for municipalities and various industries. Under its Build-Own-Operate-Transfer (BOOT) model, the Company provides financing, construction, and operation solutions for water and wastewater projects. The Company's subsidiaries include VA Tech Wabag GmbH, VA Tech Wabag Muscat LLC, Wabag Belhasa JV WLL, DK Sewage Project Private Limited, and others.</v>
    <v>1000</v>
    <v>National Stock Exchange of India</v>
    <v>XNSE</v>
    <v>XNSE</v>
    <v>WABAG HOUSE, 17,200 FEET, THORAIPAKKAM-PALLAVARAM MAIN ROAD, SUNNAMBU KOLATHUR, TAMIL NADU, 600117 IN</v>
    <v>1585</v>
    <v>Water Utilities</v>
    <v>Stock</v>
    <v>46185.472083333334</v>
    <v>906</v>
    <v>1531.2</v>
    <v>73903230000</v>
    <v>VA TECH WABAG LIMITED</v>
    <v>VA TECH WABAG LIMITED</v>
    <v>1542</v>
    <v>21.97</v>
    <v>1524</v>
    <v>1577.8</v>
    <v>62315660</v>
    <v>WABAG</v>
    <v>VA TECH WABAG LIMITED (XNSE:WABAG)</v>
    <v>204027</v>
    <v>338130</v>
    <v>1995</v>
  </rv>
  <rv s="2">
    <v>907</v>
  </rv>
  <rv s="0">
    <v>https://www.bing.com/financeapi/forcetrigger?t=bkpfmw&amp;q=XNSE%3aSPECTRUM&amp;form=skydnc</v>
    <v>Learn more on Bing</v>
  </rv>
  <rv s="1">
    <v>en-IN</v>
    <v>bkpfmw</v>
    <v>268435456</v>
    <v>1</v>
    <v>Powered by Refinitiv</v>
    <v>0</v>
    <v>SPECTRUM ELECTRICAL INDUSTRIES LIMITED (XNSE:SPECTRUM)</v>
    <v>2</v>
    <v>3</v>
    <v>Finance</v>
    <v>4</v>
    <v>1823</v>
    <v>1050</v>
    <v>0.13539999999999999</v>
    <v>10.1</v>
    <v>6.3590000000000001E-3</v>
    <v>INR</v>
    <v>Spectrum Electrical Industries Limited is an India-based company, which is focused on providing one-stop-shop solutions mainly to manufacturers of electrical products and components. The Company is engaged in the business of designing and manufacturing a range of products under the electrical components domain having different applications and utilities, as contract manufacturer and as component supplier to business-to-business (B2B) customers. It offers integrated design and manufacturing solutions for local and international brands in the electrical products industry. Its products include mini miniature circuit breaker (MCB) base and cover, distribution board, modular electric board panels, lamp angle holders/electrical bulb holders, metal junction boxes, surface coating services, electrical power panels, electric vehicle (EV) chargers and tooling solutions. The Company's services include electroplating, injection molding, metal stamping and powder coating.</v>
    <v>1319</v>
    <v>National Stock Exchange of India</v>
    <v>XNSE</v>
    <v>XNSE</v>
    <v>Office No. 501, A&amp;B, Omega Building, 5th Floor, Omega Tower, Hiranandani Garden, Powai, MUMBAI, MAHARASHTRA, 400076 IN</v>
    <v>1648.8</v>
    <v>Machinery, Equipment &amp; Components</v>
    <v>Stock</v>
    <v>46185.47210648148</v>
    <v>909</v>
    <v>1585</v>
    <v>17036950000</v>
    <v>SPECTRUM ELECTRICAL INDUSTRIES LIMITED</v>
    <v>SPECTRUM ELECTRICAL INDUSTRIES LIMITED</v>
    <v>1612.2</v>
    <v>50.031300000000002</v>
    <v>1588.4</v>
    <v>1598.5</v>
    <v>15713840</v>
    <v>SPECTRUM</v>
    <v>SPECTRUM ELECTRICAL INDUSTRIES LIMITED (XNSE:SPECTRUM)</v>
    <v>10364</v>
    <v>59450</v>
    <v>2008</v>
  </rv>
  <rv s="2">
    <v>910</v>
  </rv>
  <rv s="0">
    <v>https://www.bing.com/financeapi/forcetrigger?t=b1lhc7&amp;q=XNSE%3aYAARI&amp;form=skydnc</v>
    <v>Learn more on Bing</v>
  </rv>
  <rv s="1">
    <v>en-IN</v>
    <v>b1lhc7</v>
    <v>268435456</v>
    <v>1</v>
    <v>Powered by Refinitiv</v>
    <v>0</v>
    <v>INDIABULLS LIMITED (XNSE:IBULLSLTD)</v>
    <v>2</v>
    <v>3</v>
    <v>Finance</v>
    <v>4</v>
    <v>25.5</v>
    <v>8.9</v>
    <v>2.0245000000000002</v>
    <v>0.03</v>
    <v>1.2780000000000001E-3</v>
    <v>INR</v>
    <v>Indiabulls Ltd, formerly Yaari Digital Integrated Services Limited, is an India-based company, which is primarily engaged in the business of digital platforms and providing e-commerce services. It provides social commerce services through its Yaari digital platform application. The key features of the application include a sleek interface, smooth navigation, and delectable feed. Yaari is a curated marketplace that offers a range of products to choose from-apparel, footwear, accessories, home decor items, and others. Its subsidiaries are Indiabulls Life Insurance Company Limited, Indiabulls General Insurance Limited, YDI Consumer India Limited, YDI Marketplace Limited, and YDI Logistics Limited.</v>
    <v>3</v>
    <v>National Stock Exchange of India</v>
    <v>XNSE</v>
    <v>XNSE</v>
    <v>4th Floor, One International Centre, Senapati Bapat Marg, Elphinstone Road, MUMBAI, MAHARASHTRA, 400013 IN</v>
    <v>24.2</v>
    <v>Software &amp; IT Services</v>
    <v>Stock</v>
    <v>46185.472094907411</v>
    <v>912</v>
    <v>22.65</v>
    <v>26979230000</v>
    <v>INDIABULLS LIMITED</v>
    <v>INDIABULLS LIMITED</v>
    <v>23.5</v>
    <v>18.63</v>
    <v>23.48</v>
    <v>23.51</v>
    <v>2238542000</v>
    <v>IBULLSLTD</v>
    <v>INDIABULLS LIMITED (XNSE:IBULLSLTD)</v>
    <v>3944736</v>
    <v>8167780</v>
    <v>2007</v>
  </rv>
  <rv s="2">
    <v>913</v>
  </rv>
  <rv s="0">
    <v>https://www.bing.com/financeapi/forcetrigger?t=ahkpgh&amp;q=XNSE%3aZEEL&amp;form=skydnc</v>
    <v>Learn more on Bing</v>
  </rv>
  <rv s="1">
    <v>en-IN</v>
    <v>ahkpgh</v>
    <v>268435456</v>
    <v>1</v>
    <v>Powered by Refinitiv</v>
    <v>0</v>
    <v>ZEE ENTERTAINMENT ENTERPRISES LIMITED (XNSE:ZEEL)</v>
    <v>2</v>
    <v>3</v>
    <v>Finance</v>
    <v>4</v>
    <v>151.69999999999999</v>
    <v>68</v>
    <v>1.4093</v>
    <v>1.1499999999999999</v>
    <v>1.0319E-2</v>
    <v>INR</v>
    <v>Zee Entertainment Enterprises Limited is an India-based content company offering entertainment content to diverse audiences. The Company is engaged in businesses, such as broadcasting of satellite television channels and digital media; space selling agent for other satellite television channels; sale of media content, such as programs/film rights/feeds/music rights, and movie production and distribution. Its entertainment platforms consist of Broadcast, which includes domestic and international; Digital, which includes over-the-top (OTT), content delivery, and technology &amp; innovation, and Movies &amp; Music, which includes movie production &amp; distribution, and music publishing. Its domestic broadcasting categories include Hindi General Entertainment Channels, Regional Entertainment Channels, Hindi Movie Cluster and Niche Channels. It serves the South Asian diaspora with channels and programming in Indian languages, as well as the international audience in their native languages as well.</v>
    <v>2486</v>
    <v>National Stock Exchange of India</v>
    <v>XNSE</v>
    <v>XNSE</v>
    <v>18th Floor, A - Wing, Marathon Futurex, Lower Parel, MUMBAI, MAHARASHTRA, 400013 IN</v>
    <v>114.95</v>
    <v>Media &amp; Publishing</v>
    <v>Stock</v>
    <v>46185.472037037034</v>
    <v>915</v>
    <v>109</v>
    <v>85611090000</v>
    <v>ZEE ENTERTAINMENT ENTERPRISES LIMITED</v>
    <v>ZEE ENTERTAINMENT ENTERPRISES LIMITED</v>
    <v>113.19</v>
    <v>39.929099999999998</v>
    <v>111.45</v>
    <v>112.6</v>
    <v>960519400</v>
    <v>ZEEL</v>
    <v>ZEE ENTERTAINMENT ENTERPRISES LIMITED (XNSE:ZEEL)</v>
    <v>86798974</v>
    <v>87210870</v>
    <v>1982</v>
  </rv>
  <rv s="2">
    <v>916</v>
  </rv>
  <rv s="0">
    <v>https://www.bing.com/financeapi/forcetrigger?t=ahjkgh&amp;q=XNSE%3aQUESS&amp;form=skydnc</v>
    <v>Learn more on Bing</v>
  </rv>
  <rv s="1">
    <v>en-IN</v>
    <v>ahjkgh</v>
    <v>268435456</v>
    <v>1</v>
    <v>Powered by Refinitiv</v>
    <v>0</v>
    <v>QUESS CORP LIMITED (XNSE:QUESS)</v>
    <v>2</v>
    <v>3</v>
    <v>Finance</v>
    <v>4</v>
    <v>327.31</v>
    <v>164.1</v>
    <v>0.5887</v>
    <v>1.9</v>
    <v>7.8469999999999998E-3</v>
    <v>INR</v>
    <v>Quess Corp Limited is an India-based staffing company. The Company is engaged in the business of providing services in general staffing, professional staffing, overseas business and digital platform business. Its segments include General Staffing, Professional Staffing, Overseas Staffing, and Digital Platforms. Its General Staffing provides workforce solutions for industries such as BFSI, retail, manufacturing, telecom, logistics, and construction. Its Professional Staffing provides talent solutions for high-skill roles in digital, information technology, and white-collar domains, including recruitment, project staffing, and global capability centers services across areas like cloud, cybersecurity, and enterprise platforms. Its Overseas Staffing connects businesses with talent across Singapore, Asia-Pacific, the Middle East, and the United States of America. Its Digital Platforms include HamaraJobs, HamaraHR, Hamara Academy, Hamara Benefits, and TaskMo, enable tech-driven solutions.</v>
    <v>371050</v>
    <v>National Stock Exchange of India</v>
    <v>XNSE</v>
    <v>XNSE</v>
    <v>QUESS TOWER, SKY WALK AVENUE 32/4, HOSUR ROAD, ROOPENA AGRAHARA, BANGALORE SOUTH, KARNATAKA, 560068 IN</v>
    <v>244.99</v>
    <v>Professional &amp; Commercial Services</v>
    <v>Stock</v>
    <v>46185.472071759257</v>
    <v>918</v>
    <v>239.04</v>
    <v>31756300000</v>
    <v>QUESS CORP LIMITED</v>
    <v>QUESS CORP LIMITED</v>
    <v>244.8</v>
    <v>16.28</v>
    <v>242.12</v>
    <v>244.02</v>
    <v>149359800</v>
    <v>QUESS</v>
    <v>QUESS CORP LIMITED (XNSE:QUESS)</v>
    <v>473615</v>
    <v>2804570</v>
    <v>2007</v>
  </rv>
  <rv s="2">
    <v>919</v>
  </rv>
  <rv s="0">
    <v>https://www.bing.com/financeapi/forcetrigger?t=ahkp7w&amp;q=XNSE%3aXPROINDIA&amp;form=skydnc</v>
    <v>Learn more on Bing</v>
  </rv>
  <rv s="1">
    <v>en-IN</v>
    <v>ahkp7w</v>
    <v>268435456</v>
    <v>1</v>
    <v>Powered by Refinitiv</v>
    <v>0</v>
    <v>XPRO INDIA LIMITED (XNSE:XPROINDIA)</v>
    <v>2</v>
    <v>3</v>
    <v>Finance</v>
    <v>4</v>
    <v>1326.8</v>
    <v>788.05</v>
    <v>0.58779999999999999</v>
    <v>33.5</v>
    <v>2.8544999999999997E-2</v>
    <v>INR</v>
    <v>Xpro India Limited is an India-based diversified multi-divisional, multi-locational company with a focus on polymer processing. It is in the business of polymers manufacturing of coextruded plastic sheets, thermoformed liners and specialty films (including dielectric films and special purpose BOPP Films). Its products include Capacitor / Dielectric Films, Coex Cast Films, Coex Sheets, and Thermoformed Liners. The Biax Dielectric films range includes plain smooth films modified for metallization and winding hazy/ rough films and metallized films. Biax Dielectric films applications include power transmission and distribution capacitors, motor run capacitors, magnetic lighting ballast capacitors, interference suppression capacitors, and energy storage applications. Coex Cast Films include a range of monolayers and coextruded plastic sheets based on various thermoplastic resins. Coex Cast Films also include Hygiene film, Release Film, Soft Blister Film, and Stretch Wrap Films.</v>
    <v>230</v>
    <v>National Stock Exchange of India</v>
    <v>XNSE</v>
    <v>XNSE</v>
    <v>Birla Building (2nd Floor), 9/1, R. N. Mukherjee Road, KOLKATA, WEST BENGAL IN</v>
    <v>1211</v>
    <v>Chemicals</v>
    <v>Stock</v>
    <v>46185.472060185188</v>
    <v>921</v>
    <v>1161</v>
    <v>20892170000</v>
    <v>XPRO INDIA LIMITED</v>
    <v>XPRO INDIA LIMITED</v>
    <v>1171.0999999999999</v>
    <v>142.6</v>
    <v>1173.5999999999999</v>
    <v>1207.0999999999999</v>
    <v>23470390</v>
    <v>XPROINDIA</v>
    <v>XPRO INDIA LIMITED (XNSE:XPROINDIA)</v>
    <v>28135</v>
    <v>42300</v>
    <v>1997</v>
  </rv>
  <rv s="2">
    <v>922</v>
  </rv>
  <rv s="0">
    <v>https://www.bing.com/financeapi/forcetrigger?t=c1pbk2&amp;q=XNSE%3aBARBEQUE&amp;form=skydnc</v>
    <v>Learn more on Bing</v>
  </rv>
  <rv s="1">
    <v>en-IN</v>
    <v>c1pbk2</v>
    <v>268435456</v>
    <v>1</v>
    <v>Powered by Refinitiv</v>
    <v>0</v>
    <v>UNITED FOODBRANDS LIMITED (XNSE:UFBL)</v>
    <v>2</v>
    <v>3</v>
    <v>Finance</v>
    <v>4</v>
    <v>600</v>
    <v>172.34</v>
    <v>1.5156000000000001</v>
    <v>37.049999999999997</v>
    <v>6.6570999999999991E-2</v>
    <v>INR</v>
    <v>United Foodbrands Limited, formerly Barbeque-Nation Hospitality Limited, is an India-based casual dining restaurant (CDR) company. The Company is engaged in the business of operating casual dining restaurant chain in India, Dubai, Malaysia, Oman, Bahrain, Sri Lanka and Saudi Arabia. It offers over-the-table barbeque live grills embedded in dining tables-allowing guests to grill their own barbecues right at their table. It also offers do-it-yourself (DIY) and cooked-at-the-table nature, the flexibility and mixing and matching a variety of meats, vegetables, sauces and condiments to create dishes according to each diner’s individual tastes and preferences. It operates approximately 230 restaurants in India, with nine outlets in the United Arab Emirates, Oman, Malaysia, Bahrain and Sri Lanka. Its brands include Barbeque Nation, UBQ, Dum Safar, Toscano, Salt, and Omm Nom Nomm. Toscano is an Italian casual dining chain. Salt offers contemporary pan-Indian a-la-carte cuisine.</v>
    <v>5036</v>
    <v>National Stock Exchange of India</v>
    <v>XNSE</v>
    <v>XNSE</v>
    <v>Saket Callipolis, Unit No. 601 &amp; 602, Doddakannalli Village, Varthur Hobli Sarjapur Road, BANGALORE, KARNATAKA, 560035 IN</v>
    <v>600</v>
    <v>Hotels &amp; Entertainment Services</v>
    <v>Stock</v>
    <v>46185.472037037034</v>
    <v>924</v>
    <v>562.70000000000005</v>
    <v>7728161000</v>
    <v>UNITED FOODBRANDS LIMITED</v>
    <v>UNITED FOODBRANDS LIMITED</v>
    <v>564</v>
    <v>0</v>
    <v>556.54999999999995</v>
    <v>593.6</v>
    <v>39086390</v>
    <v>UFBL</v>
    <v>UNITED FOODBRANDS LIMITED (XNSE:UFBL)</v>
    <v>342253</v>
    <v>314810</v>
    <v>2006</v>
  </rv>
  <rv s="2">
    <v>925</v>
  </rv>
  <rv s="0">
    <v>https://www.bing.com/financeapi/forcetrigger?t=ahkjz2&amp;q=XNSE%3aVENUSREM&amp;form=skydnc</v>
    <v>Learn more on Bing</v>
  </rv>
  <rv s="1">
    <v>en-IN</v>
    <v>ahkjz2</v>
    <v>268435456</v>
    <v>1</v>
    <v>Powered by Refinitiv</v>
    <v>0</v>
    <v>VENUS REMEDIES LIMITED (XNSE:VENUSREM)</v>
    <v>2</v>
    <v>3</v>
    <v>Finance</v>
    <v>4</v>
    <v>1800.8</v>
    <v>415.4</v>
    <v>0.79810000000000003</v>
    <v>82.4</v>
    <v>4.8044000000000003E-2</v>
    <v>INR</v>
    <v>Venus Remedies Limited is a research-driven pharmaceutical company. The Company is a global injectable manufacturer. It manufactures products catering to critical care segments such as antimicrobial resistance, anti-cancer, Anti-infective, Neurology, Skin and Wound Care, and Pain Management. With a diverse portfolio of products, the Company is dedicated to revolutionizing patient care through its specialized therapeutic segments such as anti-infective (antibiotics), oncology, neurology, pain management, and skin &amp; wound care. The Company operates only in one business segment: Pharmaceutical Formulation and is engaged in manufacturing and trading of medicines. Its focus therapy areas include medicine, surgery, neuro and orthopedics. The Company’s brands include Potentox, Vancoplus Combi, Tobracef, Supime, Zydotum, Neurotol, Trois, Septiloc, Mucomelt, and others. It has three manufacturing facilities: Panchkula and Baddi in India and Werne in Germany.</v>
    <v>1298</v>
    <v>National Stock Exchange of India</v>
    <v>XNSE</v>
    <v>XNSE</v>
    <v>PLOT 51-52, INDUSTRIAL AREA, PHASE-1, PANCHKULA, HARYANA, 134113 IN</v>
    <v>1800.8</v>
    <v>Pharmaceuticals</v>
    <v>Stock</v>
    <v>46185.472060185188</v>
    <v>927</v>
    <v>1706.8</v>
    <v>9939024000</v>
    <v>VENUS REMEDIES LIMITED</v>
    <v>VENUS REMEDIES LIMITED</v>
    <v>1749.9</v>
    <v>22.3</v>
    <v>1715.1</v>
    <v>1797.5</v>
    <v>13366990</v>
    <v>VENUSREM</v>
    <v>VENUS REMEDIES LIMITED (XNSE:VENUSREM)</v>
    <v>246228</v>
    <v>227540</v>
    <v>1989</v>
  </rv>
  <rv s="2">
    <v>928</v>
  </rv>
  <rv s="0">
    <v>https://www.bing.com/financeapi/forcetrigger?t=ahjqw7&amp;q=XNSE%3aRUBYMILLS&amp;form=skydnc</v>
    <v>Learn more on Bing</v>
  </rv>
  <rv s="1">
    <v>en-IN</v>
    <v>ahjqw7</v>
    <v>268435456</v>
    <v>1</v>
    <v>Powered by Refinitiv</v>
    <v>0</v>
    <v>THE RUBY MILLS LIMITED (XNSE:RUBYMILLS)</v>
    <v>2</v>
    <v>3</v>
    <v>Finance</v>
    <v>4</v>
    <v>361.9</v>
    <v>169.02</v>
    <v>0.71630000000000005</v>
    <v>-10.7</v>
    <v>-3.1203999999999999E-2</v>
    <v>INR</v>
    <v>The Ruby Mills limited is an India-based company, which is engaged in the composite textile mill business. The Company is engaged in the manufacturing of cotton/blended yarn and fabric. Its segment includes textiles, and real estate and related. Its businesses include fabric, interlining, apparel and real estate. The Company's fabric products include cotton, polyester, viscose, modal, lyocell, linen, Bemberg, ramie, rayon, Lycra and their blends. Its brands include Ruby Fabrics, Lukas, Hitline and Label R. The Company's interlining products include basic interlining, high density polyethylene (HDPE) interlining and low-density polyethylene interlining (LDPE). Its apparel business designs and manufactures ready to wear clothing in various sectors, such as healthcare, fashion apparels, corporate, educational institutions, workwear and defense. The Ruby, its Leadership in Energy and Environmental Design (LEED) platinum commercial tower, is located in Mumbai, Maharashtra.</v>
    <v>212</v>
    <v>National Stock Exchange of India</v>
    <v>XNSE</v>
    <v>XNSE</v>
    <v>RUBY HOUSE, J. K. SAMANT MARG DADAR MUMBAI, MAHARASHTRA, 400028 IN</v>
    <v>348.9</v>
    <v>Textiles &amp; Apparel</v>
    <v>Stock</v>
    <v>46185.472048611111</v>
    <v>930</v>
    <v>330</v>
    <v>6990297000</v>
    <v>THE RUBY MILLS LIMITED</v>
    <v>THE RUBY MILLS LIMITED</v>
    <v>342.9</v>
    <v>25.495000000000001</v>
    <v>342.9</v>
    <v>332.2</v>
    <v>33440000</v>
    <v>RUBYMILLS</v>
    <v>THE RUBY MILLS LIMITED (XNSE:RUBYMILLS)</v>
    <v>19682</v>
    <v>280790</v>
    <v>1917</v>
  </rv>
  <rv s="2">
    <v>931</v>
  </rv>
  <rv s="8">
    <v>en-IN</v>
    <v>cecsqh</v>
    <v>268435456</v>
    <v>1</v>
    <v>Powered by Refinitiv</v>
    <v>12</v>
    <v>RAGHAV PRODUCTIVITY ENHANCERS LIMITED (XNSE:RPEL)</v>
    <v>6</v>
    <v>13</v>
    <v>Finance</v>
    <v>4</v>
    <v>1210</v>
    <v>561.29999999999995</v>
    <v>33.450000000000003</v>
    <v>2.8946E-2</v>
    <v>INR</v>
    <v>Raghav Productivity Enhancers Limited formerly Raghav Ramming Mass Ltd is an India-based company which is engaged in the manufacturing and trading of ramming mass and other quartz-related items. The Company is a manufacturer of silica ramming mass. Silica ramming mass is a refractory material used to line induction furnaces, shielding them from extreme temperatures and chemical reactions during metal melting, while offering thermal and mechanical durability. It operates in only one segment, which is Ramming Mass. Its products include ramming mass, quartz powder, boric acid and refractory products. Refractory products are used to create linings for furnaces, kilns, incinerators, and reactors. Ramming mass is used in various industries, primarily in the metallurgical and refractory sectors to maintain high-temperature furnaces. The Company caters for the steel industry, foundries, and incineration. Its manufacturing unit is located at Newai, Tonk in Rajasthan.</v>
    <v>59</v>
    <v>National Stock Exchange of India</v>
    <v>XNSE</v>
    <v>XNSE</v>
    <v>OFFICE NO. 36, 4TH FLOOR, ALANKAR PLAZA A-10, CENTRAL SPINE, VIDHYADHAR NAGAR, JAIPUR, RAJASTHAN, 302023 IN</v>
    <v>1201</v>
    <v>Construction Materials</v>
    <v>Stock</v>
    <v>46185.472083333334</v>
    <v>1159.05</v>
    <v>41545730000</v>
    <v>RAGHAV PRODUCTIVITY ENHANCERS LIMITED</v>
    <v>RAGHAV PRODUCTIVITY ENHANCERS LIMITED</v>
    <v>1159.8</v>
    <v>96.72</v>
    <v>1155.5999999999999</v>
    <v>1189.05</v>
    <v>45921950</v>
    <v>RPEL</v>
    <v>RAGHAV PRODUCTIVITY ENHANCERS LIMITED (XNSE:RPEL)</v>
    <v>159838</v>
    <v>210290</v>
    <v>2009</v>
  </rv>
  <rv s="2">
    <v>933</v>
  </rv>
  <rv s="0">
    <v>https://www.bing.com/financeapi/forcetrigger?t=c4edpr&amp;q=XNSE%3aASIANENE&amp;form=skydnc</v>
    <v>Learn more on Bing</v>
  </rv>
  <rv s="1">
    <v>en-IN</v>
    <v>c4edpr</v>
    <v>268435456</v>
    <v>1</v>
    <v>Powered by Refinitiv</v>
    <v>0</v>
    <v>ASIAN ENERGY SERVICES LIMITED (XNSE:ASIANENE)</v>
    <v>2</v>
    <v>3</v>
    <v>Finance</v>
    <v>4</v>
    <v>392</v>
    <v>230</v>
    <v>1.2817000000000001</v>
    <v>4.2</v>
    <v>1.1601999999999999E-2</v>
    <v>INR</v>
    <v>Asian Energy Services Limited is an India-based service provider to the energy and minerals sector. The Company provides services that include geophysical data acquisition, production facility, engineering procurement and construction (EPC), and operation and maintenance. The Company’s segments include Oil and Gas, and Mineral and other energy sectors. The Oil and Gas segment consists of services provided to customers in oil and gas sector. The Mineral and other energy sectors segment consists of services provided to customers in coal, power and other energy sectors. Its seismic services include 2D/3D land seismic acquisition, transition zone acquisition, on-site data processing, seismic consulting and interpretation, and wireless seismic and data acquisition in real time. The Company also offers enhanced oil recovery services. Its subsidiaries include Asian Oilfield &amp; Energy Services DMCC, AOSL Petroleum Pte. Ltd., Optimum Oil &amp; Gas Private Limited, and others.</v>
    <v>375</v>
    <v>National Stock Exchange of India</v>
    <v>XNSE</v>
    <v>XNSE</v>
    <v>3B, 3RD FLOOR, OMKAR ESQUARE, CHUNABHATTI SIGNAL, EASTERN EXPRESS HIGHWAY, SION (EAST),, MAHARASHTRA, 400022 IN</v>
    <v>371.9</v>
    <v>Oil &amp; Gas Related Equipment and Services</v>
    <v>Stock</v>
    <v>46185.472048611111</v>
    <v>935</v>
    <v>362.85</v>
    <v>11540270000</v>
    <v>ASIAN ENERGY SERVICES LIMITED</v>
    <v>ASIAN ENERGY SERVICES LIMITED</v>
    <v>366</v>
    <v>32.038499999999999</v>
    <v>362</v>
    <v>366.2</v>
    <v>48591380</v>
    <v>ASIANENE</v>
    <v>ASIAN ENERGY SERVICES LIMITED (XNSE:ASIANENE)</v>
    <v>187540</v>
    <v>519860</v>
    <v>1992</v>
  </rv>
  <rv s="2">
    <v>936</v>
  </rv>
  <rv s="11">
    <v>en-IN</v>
    <v>cj677w</v>
    <v>268435456</v>
    <v>1</v>
    <v>Powered by Refinitiv</v>
    <v>18</v>
    <v>KSH INTERNATIONAL LIMITED (XNSE:KSHINTL)</v>
    <v>6</v>
    <v>17</v>
    <v>Finance</v>
    <v>4</v>
    <v>869</v>
    <v>330</v>
    <v>1.671</v>
    <v>1.6</v>
    <v>1.9550000000000001E-3</v>
    <v>INR</v>
    <v>KSH International Limited is an India-based manufacturer of magnet winding wires. It is also engaged in the exporting of magnet winding wires. The Company’s key products include round- enameled copper/ aluminum magnet winding wires, paper-insulated rectangular copper/ aluminum magnet winding wires, continuously transposed conductors, rectangular enameled copper/ aluminum magnet winding wires and bunched paper-insulated copper magnet winding wires. Its products are vital for transformers, motors, and other electrical equipment that ensure a reliable power supply in industrial settings. These products (transformers, motors, alternators and generators) find application in end-use industries such as power (generation, transmission and distribution), renewables, industrials, railways, automotives (electric vehicle and internal combustion engine), home appliances, refrigeration and air conditioning. The Company markets and sells its products through its brand KSH.</v>
    <v>National Stock Exchange of India</v>
    <v>XNSE</v>
    <v>XNSE</v>
    <v>Chakan- Ambethan Road, Chakan, PUNE, MAHARASHTRA, 410501 IN</v>
    <v>855</v>
    <v>Machinery, Equipment &amp; Components</v>
    <v>Stock</v>
    <v>46185.472141203703</v>
    <v>812</v>
    <v>24673240000</v>
    <v>KSH INTERNATIONAL LIMITED</v>
    <v>KSH INTERNATIONAL LIMITED</v>
    <v>837.55</v>
    <v>46.35</v>
    <v>818.35</v>
    <v>819.95</v>
    <v>67755700</v>
    <v>KSHINTL</v>
    <v>KSH INTERNATIONAL LIMITED (XNSE:KSHINTL)</v>
    <v>495836</v>
    <v>567980</v>
    <v>1979</v>
  </rv>
  <rv s="2">
    <v>938</v>
  </rv>
  <rv s="0">
    <v>https://www.bing.com/financeapi/forcetrigger?t=ahk2cw&amp;q=XNSE%3aSOTL&amp;form=skydnc</v>
    <v>Learn more on Bing</v>
  </rv>
  <rv s="1">
    <v>en-IN</v>
    <v>ahk2cw</v>
    <v>268435456</v>
    <v>1</v>
    <v>Powered by Refinitiv</v>
    <v>0</v>
    <v>SAVITA OIL TECHNOLOGIES LIMITED (XNSE:SOTL)</v>
    <v>2</v>
    <v>3</v>
    <v>Finance</v>
    <v>4</v>
    <v>599</v>
    <v>285.8</v>
    <v>1.3926000000000001</v>
    <v>26.75</v>
    <v>4.9208999999999996E-2</v>
    <v>INR</v>
    <v>Savita Oil Technologies Limited is an India-based manufacturer of petroleum specialty products. The Company's segments include Petroleum Products and Wind Power. Its petroleum products include transformer oils, white oils, mineral oils, liquid paraffins and lubricating oils. It is focused on electricity generation through wind power plants. The Company has a total installed wind energy generation capacity of over 54.15 megawatts (MW) at 18 sites located in the states of Maharashtra, Tamil Nadu and Karnataka. It serves various industries, such as power generation and distribution, automotive, thermoplastic rubbers, plastics, pharmaceutical, agriculture, refrigeration, polymers, and others. It manufactures and markets its high-performance lubricants, fluids, coolants and greases under the brand SAVSOL. It serves as a B2B brand in India and a globally recognized B2C brand. It offers a diverse range of transformer oils under its TRANSOL brand.</v>
    <v>607</v>
    <v>National Stock Exchange of India</v>
    <v>XNSE</v>
    <v>XNSE</v>
    <v>66-67 NARIMAN BHAVAN NARIMAN POINT, MAHARASHTRA, 400021 IN</v>
    <v>578</v>
    <v>Oil &amp; Gas</v>
    <v>Stock</v>
    <v>46185.472037037034</v>
    <v>940</v>
    <v>547.54999999999995</v>
    <v>24736600000</v>
    <v>SAVITA OIL TECHNOLOGIES LIMITED</v>
    <v>SAVITA OIL TECHNOLOGIES LIMITED</v>
    <v>552</v>
    <v>20.5</v>
    <v>543.6</v>
    <v>570.35</v>
    <v>68560420</v>
    <v>SOTL</v>
    <v>SAVITA OIL TECHNOLOGIES LIMITED (XNSE:SOTL)</v>
    <v>536033</v>
    <v>1930970</v>
    <v>1961</v>
  </rv>
  <rv s="2">
    <v>941</v>
  </rv>
  <rv s="3">
    <v>en-IN</v>
    <v>cf6bur</v>
    <v>268435456</v>
    <v>1</v>
    <v>Powered by Refinitiv</v>
    <v>5</v>
    <v>ACME SOLAR HOLDINGS LIMITED (XNSE:ACMESOLAR)</v>
    <v>6</v>
    <v>3</v>
    <v>Finance</v>
    <v>4</v>
    <v>364.8</v>
    <v>195.9</v>
    <v>0.46700000000000003</v>
    <v>1.3</v>
    <v>3.8869999999999998E-3</v>
    <v>INR</v>
    <v>ACME Solar Holdings Limited is an India-based integrated renewable energy player with a diversified portfolio spanning solar, wind, storage, FDRE and hybrid solutions. The Company develops, builds, owns, operates and maintains utility-scale renewable energy projects and sells renewable power to various off-takers, including central and state government-backed entities. The Company also acts as owners, manufacturers, engineers, procurers, buyers, sellers, distributors, dealers and contractors for setting up power plants using glass-based mirrors, photovoltaic, boilers, turbines and/or other equipment for generating, distributing and supplying sources of electricity and other products using solar, fossil and alternate source of energy. Its portfolio includes ACME Solar Technologies (Gujarat) Private Limited, ACME Odisha Solar Power Private Limited, Acme Raipur Solar Power Private Limited, Aarohi Solar Power Private Limited, ACME Eco Clean Energy Private Limited, and others.</v>
    <v>557</v>
    <v>National Stock Exchange of India</v>
    <v>XNSE</v>
    <v>XNSE</v>
    <v>Plot No. 152, Sector-44, GURGAON, HARYANA, 122002 IN</v>
    <v>347.7</v>
    <v>Electrical Utilities &amp; IPPs</v>
    <v>Stock</v>
    <v>46185.472094907411</v>
    <v>334.4</v>
    <v>136095200000</v>
    <v>ACME SOLAR HOLDINGS LIMITED</v>
    <v>ACME SOLAR HOLDINGS LIMITED</v>
    <v>338</v>
    <v>40.746400000000001</v>
    <v>334.45</v>
    <v>335.75</v>
    <v>705567800</v>
    <v>ACMESOLAR</v>
    <v>ACME SOLAR HOLDINGS LIMITED (XNSE:ACMESOLAR)</v>
    <v>1365603</v>
    <v>4289560</v>
    <v>2015</v>
  </rv>
  <rv s="2">
    <v>943</v>
  </rv>
  <rv s="0">
    <v>https://www.bing.com/financeapi/forcetrigger?t=ahjehw&amp;q=XNSE%3aPFC&amp;form=skydnc</v>
    <v>Learn more on Bing</v>
  </rv>
  <rv s="1">
    <v>en-IN</v>
    <v>ahjehw</v>
    <v>268435456</v>
    <v>1</v>
    <v>Powered by Refinitiv</v>
    <v>0</v>
    <v>POWER FINANCE CORPORATION LIMITED (XNSE:PFC)</v>
    <v>2</v>
    <v>3</v>
    <v>Finance</v>
    <v>4</v>
    <v>486.5</v>
    <v>329.9</v>
    <v>1.3772</v>
    <v>7.5</v>
    <v>1.8135999999999999E-2</v>
    <v>INR</v>
    <v>Power Finance Corporation Limited is an India-based government-owned non-banking financial company, specializing in offering financial support to power and infrastructure sectors. The Company is the nodal agency for the Revamped Distribution Sector Scheme, Ultra Mega Power Projects, and Integrated Power Development Scheme, and acts as the Bid Process Coordinator for Independent Transmission Projects. It offers a range of products and services that meet the needs of the power sector, such as rupee-term loans, short-term loans, equipment lease financing, and transitional financing services for various power projects in the generation, transmission, and distribution sectors. It caters to e-vehicle fleets, charging infrastructure, roads, ports, metro rail, smart cities, and other infrastructure projects. Its clients include central and state power utilities, power equipment manufacturers, state government departments, and developers involved in large-scale infrastructure projects.</v>
    <v>540</v>
    <v>National Stock Exchange of India</v>
    <v>XNSE</v>
    <v>XNSE</v>
    <v>1, URJANIDHI BHAVAN BARAKHAMBA LANE, CONNOUGHT PLACE, DELHI, 110001 IN</v>
    <v>421.6</v>
    <v>Banking Services</v>
    <v>Stock</v>
    <v>46185.472060185188</v>
    <v>945</v>
    <v>414.2</v>
    <v>1219553000000</v>
    <v>POWER FINANCE CORPORATION LIMITED</v>
    <v>POWER FINANCE CORPORATION LIMITED</v>
    <v>418.1</v>
    <v>5.27</v>
    <v>413.55</v>
    <v>421.05</v>
    <v>3300102000</v>
    <v>PFC</v>
    <v>POWER FINANCE CORPORATION LIMITED (XNSE:PFC)</v>
    <v>5544060</v>
    <v>7417230</v>
    <v>1986</v>
  </rv>
  <rv s="2">
    <v>946</v>
  </rv>
  <rv s="0">
    <v>https://www.bing.com/financeapi/forcetrigger?t=ahjgdm&amp;q=XNSE%3aPNBHOUSING&amp;form=skydnc</v>
    <v>Learn more on Bing</v>
  </rv>
  <rv s="1">
    <v>en-IN</v>
    <v>ahjgdm</v>
    <v>268435456</v>
    <v>1</v>
    <v>Powered by Refinitiv</v>
    <v>0</v>
    <v>PNB HOUSING FINANCE LIMITED (XNSE:PNBHOUSING)</v>
    <v>2</v>
    <v>3</v>
    <v>Finance</v>
    <v>4</v>
    <v>1141.9000000000001</v>
    <v>729.6</v>
    <v>0.96309999999999996</v>
    <v>36</v>
    <v>3.7740000000000003E-2</v>
    <v>INR</v>
    <v>PNB Housing Finance Limited is an India-based Non-Banking Financial Company - Housing Finance Company (NBFC-HFC). The Company provides loans to individuals and corporate bodies for the purchase, construction, repair, and upgradation of houses. It also provides loans for commercial spaces, loans against property, and loans for purchasing residential plots. The Company's product portfolio consists of housing loans, other home loans, and non-home loans. Its housing loans include home loan, plot loan, and home construction loan. Its other home loans include home extension loan, home improvement loan, and non-resident Indians (NRIs) home loan. Its non-home loans cover commercial property loan, loan against property, lease rental discounting, and loan for real estate-developers. It has established an affordable home loan scheme called Roshni. Its subsidiaries include PHFL Home Loans and Services Limited and PEHEL Foundation.</v>
    <v>2149</v>
    <v>National Stock Exchange of India</v>
    <v>XNSE</v>
    <v>XNSE</v>
    <v>9TH FLOOR ANTRIKSH BHAWAN 22 KG MARG, DELHI, 110001 IN</v>
    <v>994</v>
    <v>Banking Services</v>
    <v>Stock</v>
    <v>46185.472071759257</v>
    <v>948</v>
    <v>965.1</v>
    <v>252706300000</v>
    <v>PNB HOUSING FINANCE LIMITED</v>
    <v>PNB HOUSING FINANCE LIMITED</v>
    <v>967.9</v>
    <v>10.84</v>
    <v>953.9</v>
    <v>989.9</v>
    <v>260589900</v>
    <v>PNBHOUSING</v>
    <v>PNB HOUSING FINANCE LIMITED (XNSE:PNBHOUSING)</v>
    <v>2049521</v>
    <v>842580</v>
    <v>1988</v>
  </rv>
  <rv s="2">
    <v>949</v>
  </rv>
  <rv s="0">
    <v>https://www.bing.com/financeapi/forcetrigger?t=ahk2fr&amp;q=XNSE%3aSOUTHBANK&amp;form=skydnc</v>
    <v>Learn more on Bing</v>
  </rv>
  <rv s="1">
    <v>en-IN</v>
    <v>ahk2fr</v>
    <v>268435456</v>
    <v>1</v>
    <v>Powered by Refinitiv</v>
    <v>0</v>
    <v>THE SOUTH INDIAN BANK LIMITED (XNSE:SOUTHBANK)</v>
    <v>2</v>
    <v>3</v>
    <v>Finance</v>
    <v>4</v>
    <v>47.5</v>
    <v>28.11</v>
    <v>0.90200000000000002</v>
    <v>1.34</v>
    <v>2.9567999999999997E-2</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47.5</v>
    <v>Banking Services</v>
    <v>Stock</v>
    <v>46185.472048611111</v>
    <v>951</v>
    <v>45.5</v>
    <v>105916200000</v>
    <v>THE SOUTH INDIAN BANK LIMITED</v>
    <v>THE SOUTH INDIAN BANK LIMITED</v>
    <v>45.5</v>
    <v>8.15</v>
    <v>45.32</v>
    <v>46.66</v>
    <v>2617619000</v>
    <v>SOUTHBANK</v>
    <v>THE SOUTH INDIAN BANK LIMITED (XNSE:SOUTHBANK)</v>
    <v>35993222</v>
    <v>21255230</v>
    <v>1929</v>
  </rv>
  <rv s="2">
    <v>952</v>
  </rv>
  <rv s="0">
    <v>https://www.bing.com/financeapi/forcetrigger?t=ahk3z2&amp;q=XNSE%3aSRTRANSFIN&amp;form=skydnc</v>
    <v>Learn more on Bing</v>
  </rv>
  <rv s="1">
    <v>en-IN</v>
    <v>ahk3z2</v>
    <v>268435456</v>
    <v>1</v>
    <v>Powered by Refinitiv</v>
    <v>0</v>
    <v>SHRIRAM FINANCE LIMITED (XNSE:SHRIRAMFIN)</v>
    <v>2</v>
    <v>3</v>
    <v>Finance</v>
    <v>4</v>
    <v>1108</v>
    <v>566.5</v>
    <v>0.95579999999999998</v>
    <v>68.7</v>
    <v>7.7518000000000004E-2</v>
    <v>INR</v>
    <v>Shriram Finance Limited is an India-based retail asset financing non-banking finance company (NBFC). The Company is a finance provider catering to the needs of small road transport operators and small business owners and is engaged in organized financing of pre-owned commercial vehicles and two- wheelers. It has a vertically integrated business model and offers various financing products, which include passenger commercial vehicles, loans to micro and small and medium enterprises (MSMEs), tractors and farm equipment, gold, personal loans and working capital loans. It operates in the areas of loan origination, valuation of pre-owned commercial vehicles and other assets, and collections. It has a presence in consumer finance, life insurance, general insurance, stockbroking, and distribution businesses.</v>
    <v>79872</v>
    <v>National Stock Exchange of India</v>
    <v>XNSE</v>
    <v>XNSE</v>
    <v>Wockhardt Towers, 3rd Floor, West Wing, G Block, Bandra-Kurla Complex, Bandra (East),, MUMBAI, MAHARASHTRA, 400051 IN</v>
    <v>959.1</v>
    <v>Banking Services</v>
    <v>Stock</v>
    <v>46185.472048611111</v>
    <v>954</v>
    <v>901.6</v>
    <v>1842071000000</v>
    <v>SHRIRAM FINANCE LIMITED</v>
    <v>SHRIRAM FINANCE LIMITED</v>
    <v>908</v>
    <v>16.63</v>
    <v>886.25</v>
    <v>954.95</v>
    <v>2352915000</v>
    <v>SHRIRAMFIN</v>
    <v>SHRIRAM FINANCE LIMITED (XNSE:SHRIRAMFIN)</v>
    <v>9760441</v>
    <v>6269880</v>
    <v>1979</v>
  </rv>
  <rv s="2">
    <v>955</v>
  </rv>
  <rv s="0">
    <v>https://www.bing.com/financeapi/forcetrigger?t=ahjo52&amp;q=XNSE%3aRELIANCE&amp;form=skydnc</v>
    <v>Learn more on Bing</v>
  </rv>
  <rv s="1">
    <v>en-IN</v>
    <v>ahjo52</v>
    <v>268435456</v>
    <v>1</v>
    <v>Powered by Refinitiv</v>
    <v>0</v>
    <v>RELIANCE INDUSTRIES LIMITED (XNSE:RELIANCE)</v>
    <v>2</v>
    <v>3</v>
    <v>Finance</v>
    <v>4</v>
    <v>1611.8</v>
    <v>1253.2</v>
    <v>1.0462</v>
    <v>30</v>
    <v>2.3753000000000003E-2</v>
    <v>INR</v>
    <v>Reliance Industries Limited is engaged in the activities of hydrocarbon exploration and production, petroleum refining and marketing, petrochemicals, advanced materials and composites, renewables, retail and digital services. The Company’s segments include Oil to Chemicals (O2C), Oil and Gas, Retail, and Digital Services. The O2C segment covers refining, petrochemicals, fuel retailing, aviation fuel, and bulk wholesale marketing, with a portfolio that includes transportation fuels, polymers, polyesters, and elastomers. The Oil and Gas segment focuses on the exploration, development, and production of crude oil and natural gas. The Retail segment involves consumer retail and related services. The Digital Services segment provides a range of digital services. It also operates an oncology-focused healthcare platform, which focuses on technology-driven cancer care. Its subsidiaries include 7-India Convenience Retail Limited, Amante India Limited, Cover Story Clothing Limited, and others.</v>
    <v>290293</v>
    <v>National Stock Exchange of India</v>
    <v>XNSE</v>
    <v>XNSE</v>
    <v>Maker Chambers IV, Nariman Point, MUMBAI, MAHARASHTRA, 400021 IN</v>
    <v>1297</v>
    <v>Oil &amp; Gas</v>
    <v>Stock</v>
    <v>46185.472037037034</v>
    <v>957</v>
    <v>1262.5</v>
    <v>19659980000000</v>
    <v>RELIANCE INDUSTRIES LIMITED</v>
    <v>RELIANCE INDUSTRIES LIMITED</v>
    <v>1277</v>
    <v>21.661899999999999</v>
    <v>1263</v>
    <v>1293</v>
    <v>13532810000</v>
    <v>RELIANCE</v>
    <v>RELIANCE INDUSTRIES LIMITED (XNSE:RELIANCE)</v>
    <v>11988785</v>
    <v>21215470</v>
    <v>1973</v>
  </rv>
  <rv s="2">
    <v>958</v>
  </rv>
  <rv s="8">
    <v>en-IN</v>
    <v>cd37oc</v>
    <v>268435456</v>
    <v>1</v>
    <v>Powered by Refinitiv</v>
    <v>12</v>
    <v>JNK INDIA LIMITED (XNSE:JNKINDIA)</v>
    <v>6</v>
    <v>13</v>
    <v>Finance</v>
    <v>4</v>
    <v>511</v>
    <v>200.92</v>
    <v>34.049999999999997</v>
    <v>7.2446999999999998E-2</v>
    <v>INR</v>
    <v>JNK India Limited is an India-based company, which is engaged in the design, engineering, manufacture, fabrication, procurement, erection, and commissioning of fired heaters and related products. It is also engaged in site erection, installation, inspection, trade, deals, supervision, imports, and exports of fired heaters and related products. It offers a range of products primarily categorized under two segments: Heating Equipment and Flares, Incinerators, and Others. Its Heating Equipment includes processes fired heaters, reformers, and cracking furnaces, which are used in oil and gas refineries, petrochemical, and fertilizer industries. Its flaring systems are used in refineries, petrochemical and fertilizer plants and incinerators are primarily used in the refinery. The Company caters to both domestic and overseas markets. The Company serves industries, such as oil and gas refineries, petrochemicals, fertilizers, hydrogen, methanol plants, and others.</v>
    <v>301</v>
    <v>National Stock Exchange of India</v>
    <v>XNSE</v>
    <v>XNSE</v>
    <v>2nd Floor, Office No 203 To 206, Centrum Building S.G.Barve Road, Opp. TMC office, Wagle Estate Thane (W), MAHARASHTRA, 400604 IN</v>
    <v>507.9</v>
    <v>Machinery, Equipment &amp; Components</v>
    <v>Stock</v>
    <v>46185.472083333334</v>
    <v>479.35</v>
    <v>12417850000</v>
    <v>JNK INDIA LIMITED</v>
    <v>JNK INDIA LIMITED</v>
    <v>480</v>
    <v>43.044400000000003</v>
    <v>470</v>
    <v>504.05</v>
    <v>55953920</v>
    <v>JNKINDIA</v>
    <v>JNK INDIA LIMITED (XNSE:JNKINDIA)</v>
    <v>3001681</v>
    <v>4895160</v>
    <v>2010</v>
  </rv>
  <rv s="2">
    <v>960</v>
  </rv>
  <rv s="0">
    <v>https://www.bing.com/financeapi/forcetrigger?t=ahjakr&amp;q=XNSE%3aORCHPHARMA&amp;form=skydnc</v>
    <v>Learn more on Bing</v>
  </rv>
  <rv s="1">
    <v>en-IN</v>
    <v>ahjakr</v>
    <v>268435456</v>
    <v>1</v>
    <v>Powered by Refinitiv</v>
    <v>0</v>
    <v>ORCHID PHARMA LIMITED (XNSE:ORCHPHARMA)</v>
    <v>2</v>
    <v>3</v>
    <v>Finance</v>
    <v>4</v>
    <v>935</v>
    <v>480</v>
    <v>1.5254000000000001</v>
    <v>71.150000000000006</v>
    <v>8.4107000000000001E-2</v>
    <v>INR</v>
    <v>Orchid Pharma Limited is an India-based pharmaceutical company. The Company is engaged in the manufacturing of formulations and active pharmaceutical ingredients (API). It operates through the pharmaceutical segment. It has a multi-therapeutic presence across segments like anti-infectives, anti-inflammatory, central nervous system (CNS), cardiovascular segment (CVS), nutraceuticals and other oral and sterile products. Its pharmaceutical solutions include active pharmaceutical ingredients (APIs) and finished dosage forms. It offers APIs, including Cephalosporins-Orals, Cephalosporins-Injectables, and Veterinary Products. Its formulations include Cefixime Capsules, Acarbose Tablets, Clozapime Tablets, Clopidogrel Tablets, Desloratadine Tablets and Cefoperazone and Sulbactam for Injection, among others. Its subsidiaries include Orchid Bio-Pharma Limited, Orchid Pharmaceuticals Inc., Bexel Pharmaceuticals Inc. and Diakron Pharmaceuticals, Inc.</v>
    <v>737</v>
    <v>National Stock Exchange of India</v>
    <v>XNSE</v>
    <v>XNSE</v>
    <v>15th Floor, Tower-1, DLF Corporate Greens, Sector 74A, Narsinghpur, GURGAON, HARYANA, 122004 IN</v>
    <v>935</v>
    <v>Pharmaceuticals</v>
    <v>Stock</v>
    <v>46185.472037037034</v>
    <v>962</v>
    <v>847</v>
    <v>37450990000</v>
    <v>ORCHID PHARMA LIMITED</v>
    <v>ORCHID PHARMA LIMITED</v>
    <v>847</v>
    <v>232.2595</v>
    <v>845.95</v>
    <v>917.1</v>
    <v>50719100</v>
    <v>ORCHPHARMA</v>
    <v>ORCHID PHARMA LIMITED (XNSE:ORCHPHARMA)</v>
    <v>496587</v>
    <v>155760</v>
    <v>1992</v>
  </rv>
  <rv s="2">
    <v>963</v>
  </rv>
  <rv s="0">
    <v>https://www.bing.com/financeapi/forcetrigger?t=ahknz2&amp;q=XNSE%3aWENDT&amp;form=skydnc</v>
    <v>Learn more on Bing</v>
  </rv>
  <rv s="1">
    <v>en-IN</v>
    <v>ahknz2</v>
    <v>268435456</v>
    <v>1</v>
    <v>Powered by Refinitiv</v>
    <v>0</v>
    <v>WENDT INDIA LIMITED (XNSE:WENDT)</v>
    <v>2</v>
    <v>3</v>
    <v>Finance</v>
    <v>4</v>
    <v>12990</v>
    <v>5841.5</v>
    <v>0.55189999999999995</v>
    <v>898.5</v>
    <v>0.132464</v>
    <v>INR</v>
    <v>Wendt (India) Limited is an India-based manufacturer of super abrasives, high precision grinding, honing, special purpose machines and high precision components. The Company's segments include Super Abrasives, Machines and Accessories, and Precision Products. Its super abrasive products consist of diamond and cubic boron nitride (CBN) grinding wheels in various bonding systems, rotary dressers, stationary dressers, hones, and segmented products. Its machines include grinding machines, honing machines, profiling dressing machines and others. Its precision components include ferrous parts, non-ferrous precision parts, and others. Its star range of products includes single point dressers, natural point diamond dressers, chisel type dressers, cluster type dressers, multi-point indexable dressers, and others. Its allied products include machine refurbishing, accessories and equipment, finishing films and flaking. It serves various industries, including glass, steel, and aerospace.</v>
    <v>391</v>
    <v>National Stock Exchange of India</v>
    <v>XNSE</v>
    <v>XNSE</v>
    <v>FLAT NO 105 CAUVERY BLOCK NATIONAL GAMES HOUSING COMPLEX, KORAMANGALA, KARNATAKA, 560047 IN</v>
    <v>7898</v>
    <v>Machinery, Equipment &amp; Components</v>
    <v>Stock</v>
    <v>46185.472037037034</v>
    <v>965</v>
    <v>6849</v>
    <v>14661000000</v>
    <v>WENDT INDIA LIMITED</v>
    <v>WENDT INDIA LIMITED</v>
    <v>6849</v>
    <v>105.58759999999999</v>
    <v>6783</v>
    <v>7681.5</v>
    <v>2000000</v>
    <v>WENDT</v>
    <v>WENDT INDIA LIMITED (XNSE:WENDT)</v>
    <v>195856</v>
    <v>3080</v>
    <v>1980</v>
  </rv>
  <rv s="2">
    <v>966</v>
  </rv>
  <rv s="0">
    <v>https://www.bing.com/financeapi/forcetrigger?t=ahgwh7&amp;q=XNSE%3aAPCOTEXIND&amp;form=skydnc</v>
    <v>Learn more on Bing</v>
  </rv>
  <rv s="1">
    <v>en-IN</v>
    <v>ahgwh7</v>
    <v>268435456</v>
    <v>1</v>
    <v>Powered by Refinitiv</v>
    <v>0</v>
    <v>APCOTEX INDUSTRIES LIMITED (XNSE:APCOTEXIND)</v>
    <v>2</v>
    <v>3</v>
    <v>Finance</v>
    <v>4</v>
    <v>559.9</v>
    <v>310.45</v>
    <v>0.3871</v>
    <v>7.55</v>
    <v>1.4471000000000001E-2</v>
    <v>INR</v>
    <v>Apcotex Industries Limited is an India-based specialty chemical company. The Company produces synthetic lattices (VP Latex, SBR and Acrylic Latex, Nitrile Latex) and synthetic rubber (high styrene rubber, nitrile butadiene rubber). It has a range of products based on Styrene-Butadiene Chemistry and Acryonitrile-Butadiene Chemistry available in the market. The Company’s range of Latexes are used for paper / paperboard coating, carpet backing, tire cord dipping, construction, gloves-examination, surgical and industrial use. The various grades of synthetic rubber find application in products, such as footwear, automotive components, v-belts, conveyor belts and hoses. It exports to over 45 countries, including the Indian Subcontinent, Southeast Asia, the Middle East. Its products include Apcoflex N745, Apcoflex N746, Apcoflex N747, Apcoflex N749, Apcoflex NVC70E, Apcoflex NVC70E-P, APCOTEX TSN 100, APCOTEX PC 400, APCOTEX TSN 400, APCOTEX PT 600, APCOTEX PT 663, APCOTEX PT 800 and other.</v>
    <v>616</v>
    <v>National Stock Exchange of India</v>
    <v>XNSE</v>
    <v>XNSE</v>
    <v>C-403/404, 4TH LEVEL, WING C, TOWER 1,SEAWOODS GRAND CENTRAL, SECTOR 40, NAVI MUMBAI, THANE, THANE,, MAHARASHTRA, 400706 IN</v>
    <v>541.9</v>
    <v>Chemicals</v>
    <v>Stock</v>
    <v>46185.472037037034</v>
    <v>968</v>
    <v>519.79999999999995</v>
    <v>18376450000</v>
    <v>APCOTEX INDUSTRIES LIMITED</v>
    <v>APCOTEX INDUSTRIES LIMITED</v>
    <v>522</v>
    <v>27.059899999999999</v>
    <v>521.75</v>
    <v>529.29999999999995</v>
    <v>51844960</v>
    <v>APCOTEXIND</v>
    <v>APCOTEX INDUSTRIES LIMITED (XNSE:APCOTEXIND)</v>
    <v>115068</v>
    <v>176130</v>
    <v>1986</v>
  </rv>
  <rv s="2">
    <v>969</v>
  </rv>
  <rv s="0">
    <v>https://www.bing.com/financeapi/forcetrigger?t=ahjmz2&amp;q=XNSE%3aRBLBANK&amp;form=skydnc</v>
    <v>Learn more on Bing</v>
  </rv>
  <rv s="1">
    <v>en-IN</v>
    <v>ahjmz2</v>
    <v>268435456</v>
    <v>1</v>
    <v>Powered by Refinitiv</v>
    <v>0</v>
    <v>RBL BANK LIMITED (XNSE:RBLBANK)</v>
    <v>2</v>
    <v>3</v>
    <v>Finance</v>
    <v>4</v>
    <v>368.45</v>
    <v>214.04</v>
    <v>1.3573999999999999</v>
    <v>6.75</v>
    <v>1.8796999999999998E-2</v>
    <v>INR</v>
    <v>RBL Bank Limited is an India-based private sector bank. The Company offers specialized services under five business verticals: corporate banking, commercial banking, branch &amp; business banking, retail assets, and treasury &amp; financial markets operations. Its corporate banking comprises corporate banking offerings, financial institutions and government banking, supply chain, inclusive financial institutions, multinational and new economic relationships. Its commercial banking includes small &amp; medium enterprises, and mid-market enterprises. Its branch &amp; business banking includes a complete suite of products for its retail customers, small business owners, retail institutions supported by multiple digital banking channels including mobile banking, Internet banking, phone banking, and WhatsApp banking. It has over 561 branches, 1,472 business correspondent branches (of which 296 banking outlets), and 412 automated teller machines (ATM) spread across 28 Indian states and Union Territories.</v>
    <v>14057</v>
    <v>National Stock Exchange of India</v>
    <v>XNSE</v>
    <v>XNSE</v>
    <v>One World Center, Tower 2B, 6th Floor,, 841, Senapati Bapat Marg, Lower Parel (W), MUMBAI, MAHARASHTRA, 400013 IN</v>
    <v>368.45</v>
    <v>Banking Services</v>
    <v>Stock</v>
    <v>46185.472071759257</v>
    <v>971</v>
    <v>353.55</v>
    <v>188664700000</v>
    <v>RBL BANK LIMITED</v>
    <v>RBL BANK LIMITED</v>
    <v>363</v>
    <v>25.512599999999999</v>
    <v>359.1</v>
    <v>365.85</v>
    <v>619423200</v>
    <v>RBLBANK</v>
    <v>RBL BANK LIMITED (XNSE:RBLBANK)</v>
    <v>8410483</v>
    <v>4799770</v>
    <v>1943</v>
  </rv>
  <rv s="2">
    <v>972</v>
  </rv>
  <rv s="3">
    <v>en-IN</v>
    <v>car2a2</v>
    <v>268435456</v>
    <v>1</v>
    <v>Powered by Refinitiv</v>
    <v>5</v>
    <v>AEROFLEX INDUSTRIES LIMITED (XNSE:AEROFLEX)</v>
    <v>6</v>
    <v>3</v>
    <v>Finance</v>
    <v>4</v>
    <v>458.7</v>
    <v>158</v>
    <v>2.0009999999999999</v>
    <v>39.549999999999997</v>
    <v>9.6806000000000003E-2</v>
    <v>INR</v>
    <v>Aeroflex Industries Limited is an India-based manufacturer of metallic flexible flow solutions made with stainless steel. The Company facilitates the controlled flow of gas, liquid, and solid substances across various industries, and caters to global as well as domestic markets. The Company is engaged in manufacturing stainless steel, flexible hose with braiding and without braiding and assemblies. Its products include Corrugated Stainless-Steel Hose, Double Interlock Flexible Metal Hoses, Composite Hose, Stainless Steel Hose Assemblies, Gas Hose, Solar Hose, Fitting End Connection, among others. Its products are used across various applications and industries, including aerospace and defense, semiconductors, robotics and automation, electric mobility, hydrogen, natural gas, steel and metal, petrochemicals and oil refineries, sola, bulk terminal handling, paper and pulp, among others.</v>
    <v>556</v>
    <v>National Stock Exchange of India</v>
    <v>XNSE</v>
    <v>XNSE</v>
    <v>PLOT NO. 41, 42/13, 42/14 &amp; 42/18, NEAR TALOJA MIDC, VILLAGE CHAL, BEHIND IGPL, PANVEL, NAVI MUMBAI,, MAHARASHTRA, 410208 IN</v>
    <v>449.4</v>
    <v>Metals &amp; Mining</v>
    <v>Stock</v>
    <v>46185.472071759257</v>
    <v>417.95</v>
    <v>23234990000</v>
    <v>AEROFLEX INDUSTRIES LIMITED</v>
    <v>AEROFLEX INDUSTRIES LIMITED</v>
    <v>418</v>
    <v>104.4522</v>
    <v>408.55</v>
    <v>448.1</v>
    <v>132330800</v>
    <v>AEROFLEX</v>
    <v>AEROFLEX INDUSTRIES LIMITED (XNSE:AEROFLEX)</v>
    <v>2868692</v>
    <v>2362230</v>
    <v>1993</v>
  </rv>
  <rv s="2">
    <v>974</v>
  </rv>
  <rv s="11">
    <v>en-IN</v>
    <v>ciqez2</v>
    <v>268435456</v>
    <v>1</v>
    <v>Powered by Refinitiv</v>
    <v>18</v>
    <v>EMMVEE PHOTOVOLTAIC POWER LIMITED (XNSE:EMMVEE)</v>
    <v>6</v>
    <v>17</v>
    <v>Finance</v>
    <v>4</v>
    <v>346</v>
    <v>171.51</v>
    <v>1.0489999999999999</v>
    <v>21.95</v>
    <v>6.8251999999999993E-2</v>
    <v>INR</v>
    <v>Emmvee Photovoltaic Power Ltd is an India-based pure-play integrated solar photovoltaic (PV) module and solar cell manufacturing company. The Company’s product portfolio comprises bifacial and mono-facial formats of TOPCon modules and cells, and bifacial and mono-facial formats of mono passivated emitter and rear contact (Mono PERC) modules. The Company’s segments include Photovoltaics modules (PV), EPC, and Others. The Photovoltaics modules (PV) segment manufactures and sells photovoltaic modules and photovoltaic systems. The EPC segment specializes in the execution of the Engineering, Procurement, and construction (EPC) Projects within the solar sector. Others segment comprises solar pumps, supplying and the installation of solar photovoltaic water pumping systems and selling power generated from an independent power producing plant. The Company also executes grid and off-grid photovoltaic power projects on a turnkey basis and operates solar power plants.</v>
    <v>National Stock Exchange of India</v>
    <v>XNSE</v>
    <v>XNSE</v>
    <v>International, Airport Road, 13/1, Post, Sonnapanahalli, Bettahalasuru, BANGALORE, KARNATAKA, 562157 IN</v>
    <v>346</v>
    <v>Renewable Energy</v>
    <v>Stock</v>
    <v>46185.472141203703</v>
    <v>327.14999999999998</v>
    <v>146832500000</v>
    <v>EMMVEE PHOTOVOLTAIC POWER LIMITED</v>
    <v>EMMVEE PHOTOVOLTAIC POWER LIMITED</v>
    <v>328</v>
    <v>18.97</v>
    <v>321.60000000000002</v>
    <v>343.55</v>
    <v>692345000</v>
    <v>EMMVEE</v>
    <v>EMMVEE PHOTOVOLTAIC POWER LIMITED (XNSE:EMMVEE)</v>
    <v>5282769</v>
    <v>4367490</v>
    <v>2007</v>
  </rv>
  <rv s="2">
    <v>976</v>
  </rv>
  <rv s="0">
    <v>https://www.bing.com/financeapi/forcetrigger?t=ahitnm&amp;q=XNSE%3aMAHABANK&amp;form=skydnc</v>
    <v>Learn more on Bing</v>
  </rv>
  <rv s="1">
    <v>en-IN</v>
    <v>ahitnm</v>
    <v>268435456</v>
    <v>1</v>
    <v>Powered by Refinitiv</v>
    <v>0</v>
    <v>THE BANK OF MAHARASHTRA LIMITED (XNSE:MAHABANK)</v>
    <v>2</v>
    <v>3</v>
    <v>Finance</v>
    <v>4</v>
    <v>87.62</v>
    <v>51.71</v>
    <v>0.94230000000000003</v>
    <v>4.22</v>
    <v>5.0793999999999999E-2</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87.62</v>
    <v>Banking Services</v>
    <v>Stock</v>
    <v>46185.472060185188</v>
    <v>978</v>
    <v>83.67</v>
    <v>500335700000</v>
    <v>THE BANK OF MAHARASHTRA LIMITED</v>
    <v>THE BANK OF MAHARASHTRA LIMITED</v>
    <v>84.4</v>
    <v>9.1</v>
    <v>83.08</v>
    <v>87.3</v>
    <v>7691555000</v>
    <v>MAHABANK</v>
    <v>THE BANK OF MAHARASHTRA LIMITED (XNSE:MAHABANK)</v>
    <v>36284743</v>
    <v>15465000</v>
    <v>1935</v>
  </rv>
  <rv s="2">
    <v>979</v>
  </rv>
  <rv s="0">
    <v>https://www.bing.com/financeapi/forcetrigger?t=ahih9c&amp;q=XNSE%3aJ%26KBANK&amp;form=skydnc</v>
    <v>Learn more on Bing</v>
  </rv>
  <rv s="1">
    <v>en-IN</v>
    <v>ahih9c</v>
    <v>268435456</v>
    <v>1</v>
    <v>Powered by Refinitiv</v>
    <v>0</v>
    <v>JAMMU AND KASHMIR BANK LIMITED (XNSE:J&amp;KBANK)</v>
    <v>2</v>
    <v>3</v>
    <v>Finance</v>
    <v>4</v>
    <v>158.83000000000001</v>
    <v>97.35</v>
    <v>0.86380000000000001</v>
    <v>4.33</v>
    <v>2.8288000000000001E-2</v>
    <v>INR</v>
    <v>Jammu and Kashmir Bank Limited (the Bank) is engaged in banking and financial services. Its segments include Retail, Corporate and Treasury. The Bank offers a range of products and services, such as loans, personal accounts, term deposits, insurance, cards, business accounts, agriculture loans and others. The Bank offers a range of retail credit products, including home finance, personal loans, education loans, agriculture lending, trade credit and consumer credit and a number of financial products tailored to the needs of various customer segments. It provides loans, such as housing loan, consumer loan, JK bank personal consumption loan scheme, laptop/ pc finance, festival advance scheme, education loan scheme and others. It operates through over 996 branches and 1414 Automated Teller Machine spread over 18 states and four union territories across the country. It serves different sectors, such as employees of the government, semi-government and autonomous bodies, farmers, and others.</v>
    <v>12505</v>
    <v>National Stock Exchange of India</v>
    <v>XNSE</v>
    <v>XNSE</v>
    <v>M A Road, SRINAGAR, JAMMU AND KASHMIR, 190001 IN</v>
    <v>158.83000000000001</v>
    <v>Banking Services</v>
    <v>Stock</v>
    <v>46185.472048611111</v>
    <v>981</v>
    <v>154.47</v>
    <v>110602800000</v>
    <v>JAMMU AND KASHMIR BANK LIMITED</v>
    <v>JAMMU AND KASHMIR BANK LIMITED</v>
    <v>157</v>
    <v>7.15</v>
    <v>153.07</v>
    <v>157.4</v>
    <v>1101182000</v>
    <v>J&amp;KBANK</v>
    <v>JAMMU AND KASHMIR BANK LIMITED (XNSE:J&amp;KBANK)</v>
    <v>3788279</v>
    <v>5055330</v>
    <v>1938</v>
  </rv>
  <rv s="2">
    <v>982</v>
  </rv>
  <rv s="8">
    <v>en-IN</v>
    <v>camnpr</v>
    <v>268435456</v>
    <v>1</v>
    <v>Powered by Refinitiv</v>
    <v>12</v>
    <v>YASHO INDUSTRIES LIMITED (XNSE:YASHO)</v>
    <v>6</v>
    <v>13</v>
    <v>Finance</v>
    <v>4</v>
    <v>2939</v>
    <v>1130</v>
    <v>317.2</v>
    <v>0.124236</v>
    <v>INR</v>
    <v>Yasho Industries Limited is a chemical manufacturer, which is engaged in manufacturing specialty and fine chemicals for industrial use. Its products are used in diverse industries, such as rubber and latex, lubricants, food and flavors, perfumery and other specialty applications. It manufactures approximately 148 products spanning six business verticals, including food antioxidants, aroma chemicals, rubber chemicals, lubricant additives, pre-dispersed rubber chemicals, and specialty chemicals. Its aroma chemical product is engaged in the supply of clove oil and its derivatives and includes ingredients for flavor, fragrance, consumer products, essential oils, food, beverage, and allied industries. The rubber chemical products, such as tires and automotive components like hoses, seals, conveyor belts, and others. It caters its products to the United States of America, Europe, Asia and the Middle East. Its manufacturing facilities are situated in GIDC, Vapi and Gujarat.</v>
    <v>821</v>
    <v>National Stock Exchange of India</v>
    <v>XNSE</v>
    <v>XNSE</v>
    <v>OFFICE NO. 101/102 PENINSULA HEIGHTS CD BARFIWALA MARG, JUHU LANE, ANDHERI (WEST), MAHARASHTRA, 400058 IN</v>
    <v>2939</v>
    <v>Chemicals</v>
    <v>Stock</v>
    <v>46185.472071759257</v>
    <v>2593.1999999999998</v>
    <v>15739330000</v>
    <v>YASHO INDUSTRIES LIMITED</v>
    <v>YASHO INDUSTRIES LIMITED</v>
    <v>2619</v>
    <v>121.87</v>
    <v>2553.1999999999998</v>
    <v>2870.4</v>
    <v>12057100</v>
    <v>YASHO</v>
    <v>YASHO INDUSTRIES LIMITED (XNSE:YASHO)</v>
    <v>201292</v>
    <v>56030</v>
    <v>1985</v>
  </rv>
  <rv s="2">
    <v>984</v>
  </rv>
  <rv s="0">
    <v>https://www.bing.com/financeapi/forcetrigger?t=c35rww&amp;q=XNSE%3aCARTRADE&amp;form=skydnc</v>
    <v>Learn more on Bing</v>
  </rv>
  <rv s="1">
    <v>en-IN</v>
    <v>c35rww</v>
    <v>268435456</v>
    <v>1</v>
    <v>Powered by Refinitiv</v>
    <v>0</v>
    <v>CARTRADE TECH LIMITED (XNSE:CARTRADE)</v>
    <v>2</v>
    <v>3</v>
    <v>Finance</v>
    <v>4</v>
    <v>3290.5</v>
    <v>1557</v>
    <v>0.28649999999999998</v>
    <v>-40.1</v>
    <v>-1.6811E-2</v>
    <v>INR</v>
    <v>CarTrade Tech Limited is an India-based multi-channel auto platform with presence across vehicle types and value-added services. The Company offers a variety of solutions across the automotive transaction value chain, such as the buying, selling, marketing, valuation, and financing of new and used cars, two-wheelers, commercial vehicles, and farm and construction equipment. The Company operates through several platforms, such as CarWale, CarTrade, Shriram Automall, BikeWale, CarTrade Exchange, and Adroit Auto. Its platforms enable new and used automobile customers, vehicle dealerships, vehicle original equipment manufacturers (OEMs), and other businesses to buy and sell their vehicles. Its CarWale services include new car OEM solutions, new car dealer solutions, used car dealer solutions, and technology solutions for OEMs and dealers. The Company’s subsidiaries include CarTradeExchange Solutions Private Limited, CarTrade Finance Private Limited, and CarTrade Foundation.</v>
    <v>1158</v>
    <v>National Stock Exchange of India</v>
    <v>XNSE</v>
    <v>XNSE</v>
    <v>Lloyds Centre Point, 1st Floor, Unit No. 11 &amp; 12, 1096A Appasaheb Marathe Marg, Prabhadevi, MAHARASHTRA, 400025 IN</v>
    <v>2419.4</v>
    <v>Software &amp; IT Services</v>
    <v>Stock</v>
    <v>46185.472048611111</v>
    <v>986</v>
    <v>2310.6999999999998</v>
    <v>133984100000</v>
    <v>CARTRADE TECH LIMITED</v>
    <v>CARTRADE TECH LIMITED</v>
    <v>2404.9</v>
    <v>50.124000000000002</v>
    <v>2385.4</v>
    <v>2345.3000000000002</v>
    <v>48023040</v>
    <v>CARTRADE</v>
    <v>CARTRADE TECH LIMITED (XNSE:CARTRADE)</v>
    <v>1019499</v>
    <v>1970700</v>
    <v>2000</v>
  </rv>
  <rv s="2">
    <v>987</v>
  </rv>
  <rv s="0">
    <v>https://www.bing.com/financeapi/forcetrigger?t=c2wgtc&amp;q=XNSE%3aSTYLAMIND&amp;form=skydnc</v>
    <v>Learn more on Bing</v>
  </rv>
  <rv s="1">
    <v>en-IN</v>
    <v>c2wgtc</v>
    <v>268435456</v>
    <v>1</v>
    <v>Powered by Refinitiv</v>
    <v>0</v>
    <v>STYLAM INDUSTRIES LIMITED (XNSE:STYLAMIND)</v>
    <v>2</v>
    <v>3</v>
    <v>Finance</v>
    <v>4</v>
    <v>3279</v>
    <v>1593.7</v>
    <v>1.1789000000000001</v>
    <v>123.3</v>
    <v>4.0339E-2</v>
    <v>INR</v>
    <v>Stylam Industries Limited is an India-based global manufacturer of decorative laminates. The Company's product portfolio includes high-pressure laminates, acrylic solid surfaces, exterior cladding, restroom cubicles and a range of surface solutions. The Company's products include high-pressure laminates (HPL), specialty laminates, exclusive surfaces, solid surfaces and compact laminates. Its HPL is available in a range such as Woodgrain, Marble, Abstract, Fabric, Solids, Patterns, Synchro, and New Decors. Its specialty laminates products include Mirror Laminate, Magnetic Laminate, Chalk &amp; Marker Laminate, Flicker Laminate, Metallic Laminate, Digital Laminates, and Electrostatic Dissipative Laminate. Its exclusive surfaces product range includes TouchMe - Anti-Fingerprint Laminates, and High Gloss Laminates. Its solid surfaces products are Granex and Marvella. Its compact laminates products include Cuboid, Fascia, Tablex, Kitchenate, Unicore, Play &amp; Slay, Stella, and Lab Mate.</v>
    <v>1107</v>
    <v>National Stock Exchange of India</v>
    <v>XNSE</v>
    <v>XNSE</v>
    <v>SCO 14 SECTOR 7 C MADHYA MARG, CHANDIGARH, 160019 IN</v>
    <v>3188.8</v>
    <v>Homebuilding &amp; Construction Supplies</v>
    <v>Stock</v>
    <v>46185.472048611111</v>
    <v>989</v>
    <v>3076.1</v>
    <v>37092520000</v>
    <v>STYLAM INDUSTRIES LIMITED</v>
    <v>STYLAM INDUSTRIES LIMITED</v>
    <v>3084.1</v>
    <v>36.032899999999998</v>
    <v>3056.6</v>
    <v>3179.9</v>
    <v>16948060</v>
    <v>STYLAMIND</v>
    <v>STYLAM INDUSTRIES LIMITED (XNSE:STYLAMIND)</v>
    <v>37398</v>
    <v>48580</v>
    <v>1991</v>
  </rv>
  <rv s="2">
    <v>990</v>
  </rv>
  <rv s="0">
    <v>https://www.bing.com/financeapi/forcetrigger?t=ah86cw&amp;q=XBOM%3a500414&amp;form=skydnc</v>
    <v>Learn more on Bing</v>
  </rv>
  <rv s="12">
    <v>en-IN</v>
    <v>ah86cw</v>
    <v>268435456</v>
    <v>1</v>
    <v>Powered by Refinitiv</v>
    <v>19</v>
    <v>TIMEX GROUP INDIA LIMITED (XBOM:500414)</v>
    <v>2</v>
    <v>13</v>
    <v>Finance</v>
    <v>20</v>
    <v>497</v>
    <v>200</v>
    <v>38.1</v>
    <v>8.3635000000000001E-2</v>
    <v>INR</v>
    <v>Timex Group India Limited is an India-based company that is engaged in the business of manufacturing and trading of watches and rendering of related after-sales services. The Company also provides information and technology support services to the group of companies. Its range of products spans various categories, from luxurious statement timepieces to practical and functional everyday watches. The Company's portfolio of brands includes Timex, Guess, Gc, Versace, Salvatore Ferragamo, Nautica, Ted Baker, Furla, Adidas Originals, Philipp Plein, Plein Sport, UCB, Helix and TMX. It also operates as the ODM for watches with Lavie and Woodland for their brand of watches and also with Flipkart and Myntra for brands such as Wrogn, Van Heusen, Allen Solly and Peter England. It sells its products on wholesale cash and carry basis through various sales channels and partners including distributors, dealers, franchisee operated exclusive brand outlets, modern trade - chain stores, among others.</v>
    <v>323</v>
    <v>Bombay Stock Exchange</v>
    <v>XBOM</v>
    <v>XBOM</v>
    <v>UNIT NO.303, 3RD FLOOR, TOWER B, WORLD TRADE TOWER (WTT). C-1,, SECTOR-16, NOIDA, UTTAR PRADESH, 201301 IN</v>
    <v>497</v>
    <v>Textiles &amp; Apparel</v>
    <v>Stock</v>
    <v>46185.693379629629</v>
    <v>992</v>
    <v>459</v>
    <v>32278760000</v>
    <v>TIMEX GROUP INDIA LIMITED</v>
    <v>TIMEX GROUP INDIA LIMITED</v>
    <v>462.7</v>
    <v>62.41</v>
    <v>455.55</v>
    <v>493.65</v>
    <v>100950000</v>
    <v>500414</v>
    <v>TIMEX GROUP INDIA LIMITED (XBOM:500414)</v>
    <v>286775</v>
    <v>687240</v>
    <v>1988</v>
  </rv>
  <rv s="2">
    <v>993</v>
  </rv>
  <rv s="3">
    <v>en-IN</v>
    <v>c83z7w</v>
    <v>268435456</v>
    <v>1</v>
    <v>Powered by Refinitiv</v>
    <v>5</v>
    <v>AEROFLEX ENTERPRISES LIMITED (XNSE:AEROENTER)</v>
    <v>6</v>
    <v>3</v>
    <v>Finance</v>
    <v>4</v>
    <v>114.8</v>
    <v>62.2</v>
    <v>1.7229000000000001</v>
    <v>6.94</v>
    <v>6.7483000000000001E-2</v>
    <v>INR</v>
    <v>Aeroflex Enterprises Limited, formerly SAT Industries Limited, is an India-based company, which is engaged in the manufacturing of flexible packaging, hose pipes, leasing, investment and other activities. Its segments include Trading, Manufacturing, and Finance. Its manufacturing segments include flexible packing, stainless steel hose and SS Wirerod. It manufactures and exports a range of flexible flow solutions. These encompass braided hoses, unbraided hoses, solar hoses, gas hoses, vacuum hoses, braiding, interlock hoses, compensators, and associated end fittings. Its packaging products include flexible intermediate bulk containers, polypropylene woven bags, box bags and biaxially oriented polypropylene laminated bags. It specializes in delivering financial solutions tailored to the needs of micro, small, and medium enterprises and individuals. The Company’s subsidiaries include Aeroflex Finance Private Limited and Aeroflex Industries Limited.</v>
    <v>18</v>
    <v>National Stock Exchange of India</v>
    <v>XNSE</v>
    <v>XNSE</v>
    <v>53, C-Wing, Mittal Tower, Nariman Point, MUMBAI, MAHARASHTRA, 400021 IN</v>
    <v>112</v>
    <v>Metals &amp; Mining</v>
    <v>Stock</v>
    <v>46185.472060185188</v>
    <v>103.13</v>
    <v>8993650000</v>
    <v>AEROFLEX ENTERPRISES LIMITED</v>
    <v>AEROFLEX ENTERPRISES LIMITED</v>
    <v>103.13</v>
    <v>18.11</v>
    <v>102.84</v>
    <v>109.78</v>
    <v>113085000</v>
    <v>AEROENTER</v>
    <v>AEROFLEX ENTERPRISES LIMITED (XNSE:AEROENTER)</v>
    <v>1070685</v>
    <v>617920</v>
    <v>1984</v>
  </rv>
  <rv s="2">
    <v>995</v>
  </rv>
  <rv s="0">
    <v>https://www.bing.com/financeapi/forcetrigger?t=ahgs2w&amp;q=XNSE%3aAEGISCHEM&amp;form=skydnc</v>
    <v>Learn more on Bing</v>
  </rv>
  <rv s="1">
    <v>en-IN</v>
    <v>ahgs2w</v>
    <v>268435456</v>
    <v>1</v>
    <v>Powered by Refinitiv</v>
    <v>0</v>
    <v>AEGIS LOGISTICS LIMITED (XNSE:AEGISLOG)</v>
    <v>2</v>
    <v>3</v>
    <v>Finance</v>
    <v>4</v>
    <v>976.4</v>
    <v>576.1</v>
    <v>0.81940000000000002</v>
    <v>18.5</v>
    <v>1.9980999999999999E-2</v>
    <v>INR</v>
    <v>Aegis Logistics Limited is an India-based integrated oil, gas and chemical logistics company. The Company is engaged in the business of the import and distribution of liquified petroleum gas (LPG) and storage and terminalling facilities for LPG and chemical products. The Company’s segments include Liquid Terminal Division and Gas Terminal Division. The Liquid Terminal Division undertakes the storage and terminalling facility of oil and chemical products. The Gas Terminal Division relates to the imports, storage and distribution of petroleum products, such as LPG, propane and others. It has a network of distributors who sell LPG cylinders and appliances to domestic, commercial, and industrial customers. It also owns and operates a network of shore-based tank farm installations for the handling of bulk liquids for the petroleum, oil, petrochemical, chemical and vegetable oil industries. It has storage facilities at Mumbai, Haldia, Kandla, and Mangalore.</v>
    <v>386</v>
    <v>National Stock Exchange of India</v>
    <v>XNSE</v>
    <v>XNSE</v>
    <v>1202, TOWER B PENINSULA BUSINESS PARK G. K. MARG, LOWER PAREL (W), MAHARASHTRA, 400013 IN</v>
    <v>976.4</v>
    <v>Oil &amp; Gas Related Equipment and Services</v>
    <v>Stock</v>
    <v>46185.472037037034</v>
    <v>997</v>
    <v>913.2</v>
    <v>254211800000</v>
    <v>AEGIS LOGISTICS LIMITED</v>
    <v>AEGIS LOGISTICS LIMITED</v>
    <v>956.35</v>
    <v>36.18</v>
    <v>925.9</v>
    <v>944.4</v>
    <v>351000000</v>
    <v>AEGISLOG</v>
    <v>AEGIS LOGISTICS LIMITED (XNSE:AEGISLOG)</v>
    <v>24360713</v>
    <v>5782510</v>
    <v>1956</v>
  </rv>
  <rv s="2">
    <v>998</v>
  </rv>
  <rv s="0">
    <v>https://www.bing.com/financeapi/forcetrigger?t=ahhz4c&amp;q=XNSE%3aGREENPLY&amp;form=skydnc</v>
    <v>Learn more on Bing</v>
  </rv>
  <rv s="1">
    <v>en-IN</v>
    <v>ahhz4c</v>
    <v>268435456</v>
    <v>1</v>
    <v>Powered by Refinitiv</v>
    <v>0</v>
    <v>GREENPLY INDUSTRIES LTD (XNSE:GREENPLY)</v>
    <v>2</v>
    <v>3</v>
    <v>Finance</v>
    <v>4</v>
    <v>351.95</v>
    <v>176.42</v>
    <v>1.7201</v>
    <v>-1.52</v>
    <v>-5.1970000000000002E-3</v>
    <v>INR</v>
    <v>Greenply Industries Limited is an interior infrastructure company. The Company is primarily involved in the manufacturing of plywood and trading of plywood and allied products. Its products include plywood and blockboards, doors, specialty plywood, polyvinyl chloride (PVC) products, decorative veneers, medium-density fiberboard (MDF) and furniture hardware. It offers an array of plywood and blockboards under the brand names of Green Flexiply, Optima-G, Ecotec, Bharosa and Jansathi. The Company offers a range of decorative veneers under the brand names of Wood Crrest, Burma Teak, Kohl Forest, Royal Crown and Engineered Veneers. The PVC products brand includes Green Ndure. Its furniture hardware brand includes Greenply Samet. It offers durable, zero-emission flush doors that are waterproof, weatherproof, and secure. It manufactures specialty plywood for varied applications, including railways, automobiles, and construction-specific architectural structures.</v>
    <v>2641</v>
    <v>National Stock Exchange of India</v>
    <v>XNSE</v>
    <v>XNSE</v>
    <v>MADGUL LOUNGE, 6TH FLOOR, 23 CHETLA CENTRAL ROAD, CHETLA, WEST BENGAL, 700027 IN</v>
    <v>298.5</v>
    <v>Paper &amp; Forest Products</v>
    <v>Stock</v>
    <v>46185.472037037034</v>
    <v>1000</v>
    <v>287</v>
    <v>30466380000</v>
    <v>GREENPLY INDUSTRIES LTD</v>
    <v>GREENPLY INDUSTRIES LTD</v>
    <v>298.5</v>
    <v>40.68</v>
    <v>292.5</v>
    <v>290.98</v>
    <v>124902000</v>
    <v>GREENPLY</v>
    <v>GREENPLY INDUSTRIES LTD (XNSE:GREENPLY)</v>
    <v>334921</v>
    <v>372850</v>
    <v>1990</v>
  </rv>
  <rv s="2">
    <v>1001</v>
  </rv>
  <rv s="0">
    <v>https://www.bing.com/financeapi/forcetrigger?t=ahhxvh&amp;q=XNSE%3aGOLDIAM&amp;form=skydnc</v>
    <v>Learn more on Bing</v>
  </rv>
  <rv s="1">
    <v>en-IN</v>
    <v>ahhxvh</v>
    <v>268435456</v>
    <v>1</v>
    <v>Powered by Refinitiv</v>
    <v>0</v>
    <v>GOLDIAM INTERNATIONAL LIMITED (XNSE:GOLDIAM)</v>
    <v>2</v>
    <v>3</v>
    <v>Finance</v>
    <v>4</v>
    <v>485</v>
    <v>265</v>
    <v>1.4906999999999999</v>
    <v>55</v>
    <v>0.129778</v>
    <v>INR</v>
    <v>Goldiam International Limited is an India-based company, which is engaged in the manufacturing and export of diamond-studded gold and silver jewelry. The Company is a fully integrated original equipment manufacturer (OEM) partner for retailers. The Company operates through two segments: jewellery manufacturing and investment activity. The Company's products include engagement rings, wedding bands, anniversary rings, bridal sets, fashion jewelry earrings and pendants, and fashion jewelry and necklace and earrings. The Company servs various retailers, departmental stores and wholesalers across American and European markets. It exports its diamond products to the United States, Europe and other countries. The Company's subsidiaries include Goldiam Jewellery Limited, Diagold Designs Limited, Eco-Friendly Diamonds LLP, and Goldiam USA, Inc.</v>
    <v>99</v>
    <v>National Stock Exchange of India</v>
    <v>XNSE</v>
    <v>XNSE</v>
    <v>GEMS &amp; JEWELLERY COMPLEX MIDC, SEEPZ, ANDHERI E, MAHARASHTRA, 400096 IN</v>
    <v>485</v>
    <v>Textiles &amp; Apparel</v>
    <v>Stock</v>
    <v>46185.472060185188</v>
    <v>1003</v>
    <v>430</v>
    <v>38990530000</v>
    <v>GOLDIAM INTERNATIONAL LIMITED</v>
    <v>GOLDIAM INTERNATIONAL LIMITED</v>
    <v>430</v>
    <v>28.05</v>
    <v>423.8</v>
    <v>478.8</v>
    <v>112917800</v>
    <v>GOLDIAM</v>
    <v>GOLDIAM INTERNATIONAL LIMITED (XNSE:GOLDIAM)</v>
    <v>8101241</v>
    <v>1799350</v>
    <v>1986</v>
  </rv>
  <rv s="2">
    <v>1004</v>
  </rv>
  <rv s="0">
    <v>https://www.bing.com/financeapi/forcetrigger?t=ahkjc7&amp;q=XNSE%3aVARDHACRLC&amp;form=skydnc</v>
    <v>Learn more on Bing</v>
  </rv>
  <rv s="1">
    <v>en-IN</v>
    <v>ahkjc7</v>
    <v>268435456</v>
    <v>1</v>
    <v>Powered by Refinitiv</v>
    <v>0</v>
    <v>VARDHMAN ACRYLICS LIMITED (XNSE:VARDHACRLC)</v>
    <v>2</v>
    <v>3</v>
    <v>Finance</v>
    <v>4</v>
    <v>54.25</v>
    <v>27.01</v>
    <v>1.1113999999999999</v>
    <v>1.1499999999999999</v>
    <v>2.6516000000000001E-2</v>
    <v>INR</v>
    <v>Vardhman Acrylics Limited is an India-based company, which is engaged in the business of manufacturing, purchasing and sale of Acrylic Fiber and Tow. The Company’s products are marketed under the brand name VARLAN. Its products are assorted based on non-shrinkable, high shrinkage, medium shrinkage, very high shrinkable, tow 123, 131, 139 K-tex, staple for open end, soft hand, and water absorbent. Its products are used for apparel use, such as children’s clothes, sweaters, mufflers, t-shirts, scarfs, socks, ties, underwear, shirts, tracksuits, shalwar kamiz, and jersey. Its household applications include carpets, woven blanket (circular knit), blanket (tufting), rug, bedsheet, bunting, bathmat, towel, and draperies. The Company has set up an 18000 tons per annum (TPA) approximately acrylic staple fiber and tow production plant at Bharuch in the state of Gujarat, India.</v>
    <v>318</v>
    <v>National Stock Exchange of India</v>
    <v>XNSE</v>
    <v>XNSE</v>
    <v>VARDHMAN PREMISES CHANDIGARH ROAD, PUNJAB, 141010 IN</v>
    <v>45.4</v>
    <v>Textiles &amp; Apparel</v>
    <v>Stock</v>
    <v>46185.472060185188</v>
    <v>1006</v>
    <v>43.61</v>
    <v>3006408000</v>
    <v>VARDHMAN ACRYLICS LIMITED</v>
    <v>VARDHMAN ACRYLICS LIMITED</v>
    <v>45.4</v>
    <v>13.1327</v>
    <v>43.37</v>
    <v>44.52</v>
    <v>80363750</v>
    <v>VARDHACRLC</v>
    <v>VARDHMAN ACRYLICS LIMITED (XNSE:VARDHACRLC)</v>
    <v>33990</v>
    <v>101660</v>
    <v>1990</v>
  </rv>
  <rv s="2">
    <v>1007</v>
  </rv>
  <rv s="0">
    <v>https://www.bing.com/financeapi/forcetrigger?t=ahh2gh&amp;q=XNSE%3aAXISBANK&amp;form=skydnc</v>
    <v>Learn more on Bing</v>
  </rv>
  <rv s="1">
    <v>en-IN</v>
    <v>ahh2gh</v>
    <v>268435456</v>
    <v>1</v>
    <v>Powered by Refinitiv</v>
    <v>0</v>
    <v>AXIS BANK LIMITED (XNSE:AXISBANK)</v>
    <v>2</v>
    <v>3</v>
    <v>Finance</v>
    <v>4</v>
    <v>1418.3</v>
    <v>1042.5</v>
    <v>1.1677</v>
    <v>39</v>
    <v>2.9606E-2</v>
    <v>INR</v>
    <v>Axis Bank Limited (the Bank) is a private sector bank. The Bank’s segments include Treasury, Retail Banking, Corporate/Wholesale Banking and Other Banking Business. Treasury operations include investments in sovereign and corporate debt, equity and mutual funds, trading operations, derivative trading and foreign exchange operations on the proprietary account and for customers. Retail Banking constitutes lending activities, along with liability products, card services, Internet banking, mobile banking, automated teller machine (ATM) services, depository, financial advisory services and non-resident Indian (NRI) services. Corporate/Wholesale Banking includes corporate relationships, advisory services, placements and syndication, project appraisals, capital market related services and cash management services. The other Banking Business includes para banking activities like third party product distribution and other banking transactions not covered under any of the above three segments.</v>
    <v>104453</v>
    <v>National Stock Exchange of India</v>
    <v>XNSE</v>
    <v>XNSE</v>
    <v>Axis House, C-2 Wadia International Centre, Pandurang Budhkar Marg, Worli, MUMBAI, MAHARASHTRA, 400025 IN</v>
    <v>1358.5</v>
    <v>Banking Services</v>
    <v>Stock</v>
    <v>46185.472048611111</v>
    <v>1009</v>
    <v>1318.5</v>
    <v>3918788000000</v>
    <v>AXIS BANK LIMITED</v>
    <v>AXIS BANK LIMITED</v>
    <v>1332</v>
    <v>15.950799999999999</v>
    <v>1317.3</v>
    <v>1356.3</v>
    <v>3110251000</v>
    <v>AXISBANK</v>
    <v>AXIS BANK LIMITED (XNSE:AXISBANK)</v>
    <v>8535670</v>
    <v>8660990</v>
    <v>1993</v>
  </rv>
  <rv s="2">
    <v>1010</v>
  </rv>
  <rv s="3">
    <v>en-IN</v>
    <v>casc9c</v>
    <v>268435456</v>
    <v>1</v>
    <v>Powered by Refinitiv</v>
    <v>5</v>
    <v>RISHABH INSTRUMENTS LIMITED (XNSE:RISHABH)</v>
    <v>6</v>
    <v>3</v>
    <v>Finance</v>
    <v>4</v>
    <v>566</v>
    <v>272.3</v>
    <v>2.476</v>
    <v>20.05</v>
    <v>3.7378999999999996E-2</v>
    <v>INR</v>
    <v>Rishabh Instruments Limited is an India-based company, which is engaged in the business of manufacturing, designing and development of global energy efficiency solutions. The Company is engaged in designing, development and manufacturing of test and measuring instruments, and industrial control products. The Company is focused on electrical automation, metering and measurement, and precision engineered products. It specializes in manufacturing and suppling analog panel meters and low voltage current transformers. The Company also provides complete aluminum high-pressure die-casting solutions for customers requiring close tolerance fabrication (such as automotive compressor manufacturers and automation high precision flow meters manufacturers), machining, and finishing of precision components. It has over 350 global authorized dealers/stockists catering to 70 countries, including Germany, the United States, the United Kingdom, Australia, the Middle East and others.</v>
    <v>629</v>
    <v>National Stock Exchange of India</v>
    <v>XNSE</v>
    <v>XNSE</v>
    <v>A-54, MIDC, OPP MIDC BUS DEPOT, ANDHERI (EAST), MAHARASHTRA, 400093 IN</v>
    <v>559</v>
    <v>Machinery, Equipment &amp; Components</v>
    <v>Stock</v>
    <v>46185.472071759257</v>
    <v>535.04999999999995</v>
    <v>13627200000</v>
    <v>RISHABH INSTRUMENTS LIMITED</v>
    <v>RISHABH INSTRUMENTS LIMITED</v>
    <v>540.29999999999995</v>
    <v>25.29</v>
    <v>536.4</v>
    <v>556.45000000000005</v>
    <v>38628370</v>
    <v>RISHABH</v>
    <v>RISHABH INSTRUMENTS LIMITED (XNSE:RISHABH)</v>
    <v>185867</v>
    <v>171310</v>
    <v>1982</v>
  </rv>
  <rv s="2">
    <v>1012</v>
  </rv>
  <rv s="0">
    <v>https://www.bing.com/financeapi/forcetrigger?t=ahiofr&amp;q=XNSE%3aKRBL&amp;form=skydnc</v>
    <v>Learn more on Bing</v>
  </rv>
  <rv s="1">
    <v>en-IN</v>
    <v>ahiofr</v>
    <v>268435456</v>
    <v>1</v>
    <v>Powered by Refinitiv</v>
    <v>0</v>
    <v>KRBL LIMITED (XNSE:KRBL)</v>
    <v>2</v>
    <v>3</v>
    <v>Finance</v>
    <v>4</v>
    <v>495</v>
    <v>274.64999999999998</v>
    <v>1.2655000000000001</v>
    <v>21.4</v>
    <v>6.1957000000000005E-2</v>
    <v>INR</v>
    <v>KRBL Limited is an India-based integrated rice company. The Company’s primary operations include manufacturing and marketing rice products. The Company is a basmati rice producer and has fully integrated operations in the basmati value chain, which include seed development, contact farming, procurement of paddy, storage, processing, packaging, branding and marketing. It operates through two segments: Agri and Energy. Its Agri segment comprises agricultural commodities, such as rice, furfural, seed, bran, bran oil, and others. Its Energy segment comprises power generation from wind turbines, husk-based power plants and solar power plants. The Company offers its rice under a range of brands, including India Gate, Nur Jahan, Telephone, Train, Unity, Lotus, Lion, Doon, Aarati, Quilada, Al Wisam, Granny's Kitchen, Necklace, Bemisal and Indian Farm, among others. India Gate is the flagship brand both in domestic and international markets. Its subsidiaries include KRBL DMCC and KRBL LLC.</v>
    <v>2995</v>
    <v>National Stock Exchange of India</v>
    <v>XNSE</v>
    <v>XNSE</v>
    <v>C-32, 5TH &amp; 6TH FLOOR SECTOR 62, UTTAR PRADESH, 201301 IN</v>
    <v>368.5</v>
    <v>Food &amp; Tobacco</v>
    <v>Stock</v>
    <v>46185.472060185188</v>
    <v>1014</v>
    <v>347.45</v>
    <v>82892480000</v>
    <v>KRBL LIMITED</v>
    <v>KRBL LIMITED</v>
    <v>347.45</v>
    <v>12.2</v>
    <v>345.4</v>
    <v>366.8</v>
    <v>228889900</v>
    <v>KRBL</v>
    <v>KRBL LIMITED (XNSE:KRBL)</v>
    <v>1009787</v>
    <v>414970</v>
    <v>1993</v>
  </rv>
  <rv s="2">
    <v>1015</v>
  </rv>
  <rv s="0">
    <v>https://www.bing.com/financeapi/forcetrigger?t=ahj7k2&amp;q=XNSE%3aNITCO&amp;form=skydnc</v>
    <v>Learn more on Bing</v>
  </rv>
  <rv s="1">
    <v>en-IN</v>
    <v>ahj7k2</v>
    <v>268435456</v>
    <v>1</v>
    <v>Powered by Refinitiv</v>
    <v>0</v>
    <v>NITCO LIMITED (XNSE:NITCO)</v>
    <v>2</v>
    <v>3</v>
    <v>Finance</v>
    <v>4</v>
    <v>163.95</v>
    <v>64</v>
    <v>-0.15509999999999999</v>
    <v>4.66</v>
    <v>4.9707000000000001E-2</v>
    <v>INR</v>
    <v>NITCO Limited is an India-based floor and wall solutions company, which is engaged in the tiles and marble business. The Company operates through two segments, namely Tiles and related products and Real Estate. The Company offers Wall tiles, Floor tiles, Marble, and Mosaico. The Company’s products include Glazed Vitrified Tiles, Vitrified DCH, Vitrified Heavy Duty, Vitrified SST, Wooden Wall Tiles, Wooden Ceramic Tiles, Wooden Vitrified Tiles, Ceramic Wall Tiles, Ceramic Floor Tiles among others. The Merble Tails includes Italian Marble, Statuario Marble, Carrara Marble, Calacatta Marble, Emperador Marble, Crema Marfil Marble, Bianco Marble and others. The Mosaico includes Trims &amp; Accessories, Inlays &amp; Carpets, Stone &amp; Slate Mosaico, Shell Stone &amp; Gem Stone Mosaico, Natural Marble Mosaico.</v>
    <v>534</v>
    <v>National Stock Exchange of India</v>
    <v>XNSE</v>
    <v>XNSE</v>
    <v>3/A, RECONDO COMPOUND, SUDAM KALU AHIRE MARG, GLAXO, WORLI COLONY,, MAHARASHTRA, 400030 IN</v>
    <v>99.99</v>
    <v>Homebuilding &amp; Construction Supplies</v>
    <v>Stock</v>
    <v>46185.472060185188</v>
    <v>1017</v>
    <v>94.6</v>
    <v>19131200000</v>
    <v>NITCO LIMITED</v>
    <v>NITCO LIMITED</v>
    <v>94.6</v>
    <v>75</v>
    <v>93.75</v>
    <v>98.41</v>
    <v>240516100</v>
    <v>NITCO</v>
    <v>NITCO LIMITED (XNSE:NITCO)</v>
    <v>1202584</v>
    <v>944410</v>
    <v>1966</v>
  </rv>
  <rv s="2">
    <v>1018</v>
  </rv>
  <rv s="0">
    <v>https://www.bing.com/financeapi/forcetrigger?t=ahju6h&amp;q=XNSE%3aSBIN&amp;form=skydnc</v>
    <v>Learn more on Bing</v>
  </rv>
  <rv s="13">
    <v>en-IN</v>
    <v>ahju6h</v>
    <v>268435456</v>
    <v>1</v>
    <v>Powered by Refinitiv</v>
    <v>21</v>
    <v>State Bank of India (XNSE:SBIN)</v>
    <v>2</v>
    <v>22</v>
    <v>Finance</v>
    <v>4</v>
    <v>1234.7</v>
    <v>781.7</v>
    <v>1.0286999999999999</v>
    <v>16.45</v>
    <v>1.6437999999999998E-2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245131</v>
    <v>National Stock Exchange of India</v>
    <v>XNSE</v>
    <v>XNSE</v>
    <v>C/O STATE BANK BHAVAN MADAME CAMA ROAD NARIMAN POINT, MAHARASHTRA, 400021 IN</v>
    <v>1018.7</v>
    <v>Banking Services</v>
    <v>Stock</v>
    <v>46185.472037037034</v>
    <v>1020</v>
    <v>1004.35</v>
    <v>9493229000000</v>
    <v>State Bank of India</v>
    <v>State Bank of India</v>
    <v>1018</v>
    <v>11.184699999999999</v>
    <v>1000.7</v>
    <v>1017.15</v>
    <v>9230617000</v>
    <v>SBIN</v>
    <v>State Bank of India (XNSE:SBIN)</v>
    <v>11081119</v>
    <v>18503590</v>
  </rv>
  <rv s="2">
    <v>1021</v>
  </rv>
  <rv s="0">
    <v>https://www.bing.com/financeapi/forcetrigger?t=ahgyzr&amp;q=XNSE%3aASHOKLEY&amp;form=skydnc</v>
    <v>Learn more on Bing</v>
  </rv>
  <rv s="1">
    <v>en-IN</v>
    <v>ahgyzr</v>
    <v>268435456</v>
    <v>1</v>
    <v>Powered by Refinitiv</v>
    <v>0</v>
    <v>ASHOK LEYLAND LIMITED (XNSE:ASHOKLEY)</v>
    <v>2</v>
    <v>3</v>
    <v>Finance</v>
    <v>4</v>
    <v>215.42</v>
    <v>114.96</v>
    <v>0.65990000000000004</v>
    <v>13.87</v>
    <v>0.100087</v>
    <v>INR</v>
    <v>Ashok Leyland Limited is an India-based company engaged in automobile manufacturing. The main activities of the Company relate to manufacturing, sales, vehicle and housing finance, Information Technology (IT) services, and services related to a wide range of commercial vehicles. The Company is also engaged in manufacturing engines for industrial and marine applications, forgings and castings. Its segments include Commercial vehicles and Financial service. Its truck product categories include haulage, ICV, tippers and tractors. It offers buses under various brands including, Garud 12m, Viking, cheetah, and Garud 13.5. The Company's light vehicle product categories include light commercial vehicle, small commercial vehicle, goods carrier, and passenger. Its power solutions include agricultural engines, diesel generators, industrial engines, marine engines and gas gensets. Its defense products include armored, high mobility, light tactical, logistics, simulator and tracked vehicles.</v>
    <v>9695</v>
    <v>National Stock Exchange of India</v>
    <v>XNSE</v>
    <v>XNSE</v>
    <v>NO.1, SARDAR PATEL ROAD GUINDY, TAMIL NADU, 600032 IN</v>
    <v>153.44999999999999</v>
    <v>Machinery, Equipment &amp; Components</v>
    <v>Stock</v>
    <v>46185.472592592596</v>
    <v>1023</v>
    <v>142.69999999999999</v>
    <v>1090775000000</v>
    <v>ASHOK LEYLAND LIMITED</v>
    <v>ASHOK LEYLAND LIMITED</v>
    <v>143.22</v>
    <v>25.795300000000001</v>
    <v>138.58000000000001</v>
    <v>152.44999999999999</v>
    <v>5873455000</v>
    <v>ASHOKLEY</v>
    <v>ASHOK LEYLAND LIMITED (XNSE:ASHOKLEY)</v>
    <v>69272916</v>
    <v>34977900</v>
    <v>1948</v>
  </rv>
  <rv s="2">
    <v>1024</v>
  </rv>
  <rv s="0">
    <v>https://www.bing.com/financeapi/forcetrigger?t=ahkqww&amp;q=NIFTY+50&amp;form=skydnc</v>
    <v>Learn more on Bing</v>
  </rv>
  <rv s="14">
    <v>en-IN</v>
    <v>ahkqww</v>
    <v>268435456</v>
    <v>1</v>
    <v>Powered by Refinitiv</v>
    <v>23</v>
    <v>NIFTY 50</v>
    <v>24</v>
    <v>25</v>
    <v>Finance</v>
    <v>26</v>
    <v>26373.200000000001</v>
    <v>22182.55</v>
    <v>461.3</v>
    <v>1.9917000000000001E-2</v>
    <v>IN</v>
    <v>23645.35</v>
    <v>Index</v>
    <v>1026</v>
    <v>23313.9</v>
    <v>NIFTY 50</v>
    <v>23412.55</v>
    <v>23161.599999999999</v>
    <v>23622.9</v>
    <v>NIFTY</v>
    <v>NIFTY 50</v>
  </rv>
  <rv s="2">
    <v>1027</v>
  </rv>
  <rv s="0">
    <v>https://www.bing.com/financeapi/forcetrigger?t=ahhstc&amp;q=XNSE%3aGAEL&amp;form=skydnc</v>
    <v>Learn more on Bing</v>
  </rv>
  <rv s="1">
    <v>en-IN</v>
    <v>ahhstc</v>
    <v>268435456</v>
    <v>1</v>
    <v>Powered by Refinitiv</v>
    <v>0</v>
    <v>GUJARAT AMBUJA EXPORTS LIMITED (XNSE:GAEL)</v>
    <v>2</v>
    <v>3</v>
    <v>Finance</v>
    <v>4</v>
    <v>177.92</v>
    <v>101.2</v>
    <v>0.3266</v>
    <v>2.4900000000000002</v>
    <v>1.6029000000000002E-2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159.9</v>
    <v>Food &amp; Tobacco</v>
    <v>Stock</v>
    <v>46185.472048611111</v>
    <v>1029</v>
    <v>155.81</v>
    <v>63328660000</v>
    <v>GUJARAT AMBUJA EXPORTS LIMITED</v>
    <v>GUJARAT AMBUJA EXPORTS LIMITED</v>
    <v>156.80000000000001</v>
    <v>23.39</v>
    <v>155.34</v>
    <v>157.83000000000001</v>
    <v>458670700</v>
    <v>GAEL</v>
    <v>GUJARAT AMBUJA EXPORTS LIMITED (XNSE:GAEL)</v>
    <v>496144</v>
    <v>705580</v>
    <v>1991</v>
  </rv>
  <rv s="2">
    <v>1030</v>
  </rv>
  <rv s="0">
    <v>https://www.bing.com/financeapi/forcetrigger?t=ahhydm&amp;q=XNSE%3aGPIL&amp;form=skydnc</v>
    <v>Learn more on Bing</v>
  </rv>
  <rv s="1">
    <v>en-IN</v>
    <v>ahhydm</v>
    <v>268435456</v>
    <v>1</v>
    <v>Powered by Refinitiv</v>
    <v>0</v>
    <v>GODAWARI POWER AND ISPAT LIMITED (XNSE:GPIL)</v>
    <v>2</v>
    <v>3</v>
    <v>Finance</v>
    <v>4</v>
    <v>320</v>
    <v>175.37</v>
    <v>0.89510000000000001</v>
    <v>-0.75</v>
    <v>-2.6989999999999996E-3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284</v>
    <v>Metals &amp; Mining</v>
    <v>Stock</v>
    <v>46185.472060185188</v>
    <v>1032</v>
    <v>276.3</v>
    <v>173966700000</v>
    <v>GODAWARI POWER AND ISPAT LIMITED</v>
    <v>GODAWARI POWER AND ISPAT LIMITED</v>
    <v>281.35000000000002</v>
    <v>21.31</v>
    <v>277.89999999999998</v>
    <v>277.14999999999998</v>
    <v>673097400</v>
    <v>GPIL</v>
    <v>GODAWARI POWER AND ISPAT LIMITED (XNSE:GPIL)</v>
    <v>2456196</v>
    <v>1419260</v>
    <v>1999</v>
  </rv>
  <rv s="2">
    <v>1033</v>
  </rv>
  <rv s="0">
    <v>https://www.bing.com/financeapi/forcetrigger?t=ahi59c&amp;q=XNSE%3aHINDALCO&amp;form=skydnc</v>
    <v>Learn more on Bing</v>
  </rv>
  <rv s="1">
    <v>en-IN</v>
    <v>ahi59c</v>
    <v>268435456</v>
    <v>1</v>
    <v>Powered by Refinitiv</v>
    <v>0</v>
    <v>HINDALCO INDUSTRIES LIMITED (XNSE:HINDALCO)</v>
    <v>2</v>
    <v>3</v>
    <v>Finance</v>
    <v>4</v>
    <v>1176</v>
    <v>635</v>
    <v>1.1708000000000001</v>
    <v>-2.7</v>
    <v>-2.6359999999999999E-3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1049</v>
    <v>Metals &amp; Mining</v>
    <v>Stock</v>
    <v>46185.472037037034</v>
    <v>1035</v>
    <v>1015.3</v>
    <v>2092750000000</v>
    <v>HINDALCO INDUSTRIES LIMITED</v>
    <v>HINDALCO INDUSTRIES LIMITED</v>
    <v>1045</v>
    <v>16.98</v>
    <v>1024.3</v>
    <v>1021.6</v>
    <v>2236153000</v>
    <v>HINDALCO</v>
    <v>HINDALCO INDUSTRIES LIMITED (XNSE:HINDALCO)</v>
    <v>9388824</v>
    <v>6040230</v>
    <v>1958</v>
  </rv>
  <rv s="2">
    <v>1036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2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5">
      <v>3</v>
      <v>Name</v>
    </spb>
    <spb s="11">
      <v>1</v>
      <v>2</v>
      <v>1</v>
      <v>3</v>
      <v>1</v>
      <v>1</v>
      <v>1</v>
      <v>4</v>
      <v>4</v>
      <v>5</v>
      <v>6</v>
      <v>1</v>
      <v>1</v>
      <v>1</v>
      <v>4</v>
      <v>7</v>
      <v>8</v>
      <v>9</v>
      <v>4</v>
    </spb>
    <spb s="5">
      <v>4</v>
      <v>Name</v>
    </spb>
    <spb s="12">
      <v>1</v>
      <v>2</v>
      <v>2</v>
      <v>1</v>
      <v>3</v>
      <v>1</v>
      <v>1</v>
      <v>1</v>
      <v>4</v>
      <v>4</v>
      <v>5</v>
      <v>6</v>
      <v>1</v>
      <v>4</v>
      <v>7</v>
      <v>8</v>
      <v>9</v>
      <v>4</v>
    </spb>
    <spb s="0">
      <v>5</v>
      <v>Name</v>
      <v>LearnMoreOnLink</v>
    </spb>
    <spb s="13">
      <v>1</v>
      <v>2</v>
      <v>2</v>
      <v>1</v>
      <v>3</v>
      <v>1</v>
      <v>1</v>
      <v>1</v>
      <v>4</v>
      <v>5</v>
      <v>6</v>
      <v>1</v>
      <v>1</v>
      <v>1</v>
      <v>4</v>
      <v>7</v>
      <v>8</v>
      <v>9</v>
      <v>4</v>
    </spb>
    <spb s="5">
      <v>6</v>
      <v>Name</v>
    </spb>
    <spb s="0">
      <v>7</v>
      <v>Name</v>
      <v>LearnMoreOnLink</v>
    </spb>
    <spb s="4">
      <v>Delayed 15 minutes</v>
      <v>from previous close</v>
      <v>from previous close</v>
      <v>GMT</v>
    </spb>
    <spb s="0">
      <v>8</v>
      <v>Name</v>
      <v>LearnMoreOnLink</v>
    </spb>
    <spb s="14">
      <v>1</v>
      <v>2</v>
      <v>2</v>
      <v>1</v>
      <v>3</v>
      <v>1</v>
      <v>1</v>
      <v>1</v>
      <v>4</v>
      <v>4</v>
      <v>5</v>
      <v>6</v>
      <v>1</v>
      <v>1</v>
      <v>1</v>
      <v>4</v>
      <v>7</v>
      <v>9</v>
      <v>4</v>
    </spb>
    <spb s="0">
      <v>9</v>
      <v>Name</v>
      <v>LearnMoreOnLink</v>
    </spb>
    <spb s="15">
      <v>1</v>
      <v>1</v>
      <v>1</v>
    </spb>
    <spb s="16">
      <v>1</v>
      <v>1</v>
      <v>3</v>
      <v>1</v>
      <v>1</v>
      <v>1</v>
      <v>5</v>
      <v>1</v>
      <v>1</v>
      <v>1</v>
      <v>9</v>
    </spb>
    <spb s="17">
      <v>from previous close</v>
      <v>from previous close</v>
    </spb>
  </spbData>
</supportingPropertyBags>
</file>

<file path=xl/richData/rdsupportingpropertybagstructure.xml><?xml version="1.0" encoding="utf-8"?>
<spbStructures xmlns="http://schemas.microsoft.com/office/spreadsheetml/2017/richdata2" count="1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7" headerRowBorderDxfId="6" tableBorderDxfId="5" totalsRowBorderDxfId="4">
  <autoFilter ref="A1:D13" xr:uid="{00000000-0009-0000-0100-000001000000}"/>
  <tableColumns count="4">
    <tableColumn id="1" xr3:uid="{00000000-0010-0000-0000-000001000000}" name="S.No" dataDxfId="3"/>
    <tableColumn id="2" xr3:uid="{00000000-0010-0000-0000-000002000000}" name="Details" dataDxfId="2"/>
    <tableColumn id="3" xr3:uid="{00000000-0010-0000-0000-000003000000}" name="Bug/Change" dataDxfId="1"/>
    <tableColumn id="4" xr3:uid="{00000000-0010-0000-0000-000004000000}"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AC79-18D2-4069-8814-942A952619EA}">
  <dimension ref="A1:N134"/>
  <sheetViews>
    <sheetView workbookViewId="0">
      <selection activeCell="I25" sqref="I25"/>
    </sheetView>
  </sheetViews>
  <sheetFormatPr defaultRowHeight="15"/>
  <cols>
    <col min="1" max="1" width="24" customWidth="1"/>
    <col min="2" max="3" width="18" customWidth="1"/>
    <col min="4" max="4" width="24" customWidth="1"/>
    <col min="5" max="8" width="18" customWidth="1"/>
    <col min="9" max="9" width="4" customWidth="1"/>
    <col min="10" max="10" width="24" customWidth="1"/>
    <col min="11" max="16" width="18" customWidth="1"/>
  </cols>
  <sheetData>
    <row r="1" spans="1:14" ht="23.25">
      <c r="A1" s="91" t="s">
        <v>0</v>
      </c>
      <c r="B1" s="92"/>
      <c r="C1" s="92"/>
      <c r="D1" s="92"/>
      <c r="E1" s="92"/>
      <c r="F1" s="92"/>
      <c r="G1" s="92"/>
      <c r="H1" s="92"/>
      <c r="J1" s="93" t="s">
        <v>1</v>
      </c>
      <c r="K1" s="92"/>
      <c r="L1" s="92"/>
      <c r="M1" s="92"/>
      <c r="N1" s="92"/>
    </row>
    <row r="3" spans="1:14" ht="15.75">
      <c r="A3" s="13" t="s">
        <v>2</v>
      </c>
      <c r="D3" s="13" t="s">
        <v>3</v>
      </c>
      <c r="J3" s="13" t="s">
        <v>4</v>
      </c>
    </row>
    <row r="4" spans="1:14">
      <c r="A4" s="81" t="s">
        <v>5</v>
      </c>
      <c r="B4" s="81" t="s">
        <v>6</v>
      </c>
      <c r="D4" s="81" t="s">
        <v>5</v>
      </c>
      <c r="E4" s="81" t="s">
        <v>7</v>
      </c>
      <c r="F4" s="81" t="s">
        <v>8</v>
      </c>
      <c r="J4" s="81" t="s">
        <v>9</v>
      </c>
      <c r="K4" s="81" t="s">
        <v>10</v>
      </c>
      <c r="L4" s="81" t="s">
        <v>11</v>
      </c>
      <c r="M4" s="81" t="s">
        <v>12</v>
      </c>
    </row>
    <row r="5" spans="1:14">
      <c r="A5" s="14" t="s">
        <v>13</v>
      </c>
      <c r="B5" s="15">
        <f>SUM(Current_Portfolio!$L$2:$L$1000)</f>
        <v>7162286.7900000019</v>
      </c>
      <c r="D5" s="14" t="s">
        <v>14</v>
      </c>
      <c r="E5" s="16">
        <f>COUNTIF(Overall_Portfolio!$P$2:$P$1000, "&gt;0")</f>
        <v>7</v>
      </c>
      <c r="F5" s="16">
        <f ca="1">COUNTIF(Current_Portfolio!$U$2:$U$1000, "&gt;0")</f>
        <v>33</v>
      </c>
      <c r="J5" s="14" t="s">
        <v>15</v>
      </c>
      <c r="K5" s="15">
        <v>24625.05</v>
      </c>
      <c r="L5" s="15">
        <f>IFERROR(INDEX(Price_Update!$F:$F, MATCH(J5, Price_Update!$A:$A, 0)), 23622.9)</f>
        <v>23622.9</v>
      </c>
      <c r="M5" s="17">
        <f>(L5-K5)/K5</f>
        <v>-4.0696364068296222E-2</v>
      </c>
    </row>
    <row r="6" spans="1:14">
      <c r="A6" s="14" t="s">
        <v>16</v>
      </c>
      <c r="B6" s="15">
        <f ca="1">SUM(Current_Portfolio!$T$2:$T$1000)</f>
        <v>7749793.5099999988</v>
      </c>
      <c r="D6" s="14" t="s">
        <v>17</v>
      </c>
      <c r="E6" s="16">
        <f>COUNTIF(Overall_Portfolio!$P$2:$P$1000, "&lt;0")</f>
        <v>40</v>
      </c>
      <c r="F6" s="16">
        <f ca="1">COUNTIF(Current_Portfolio!$U$2:$U$1000, "&lt;0")</f>
        <v>25</v>
      </c>
      <c r="J6" s="14" t="s">
        <v>18</v>
      </c>
      <c r="K6" s="15">
        <v>16033.55</v>
      </c>
      <c r="L6" s="15">
        <f>IFERROR(INDEX(Price_Update!$F:$F, MATCH(J6, Price_Update!$A:$A, 0)), 17265.9)</f>
        <v>17265.900000000001</v>
      </c>
      <c r="M6" s="17">
        <f>(L6-K6)/K6</f>
        <v>7.6860707703534287E-2</v>
      </c>
    </row>
    <row r="7" spans="1:14">
      <c r="A7" s="14" t="s">
        <v>19</v>
      </c>
      <c r="B7" s="15">
        <f ca="1">B6-B5</f>
        <v>587506.71999999695</v>
      </c>
      <c r="D7" s="14" t="s">
        <v>20</v>
      </c>
      <c r="E7" s="18">
        <f>IF(E6&gt;0, E5/E6, IF(E5&gt;0, "No Loss", 0))</f>
        <v>0.17499999999999999</v>
      </c>
      <c r="F7" s="18">
        <f ca="1">IF(F6&gt;0, F5/F6, IF(F5&gt;0, "No Loss", 0))</f>
        <v>1.32</v>
      </c>
    </row>
    <row r="8" spans="1:14">
      <c r="A8" s="14" t="s">
        <v>21</v>
      </c>
      <c r="B8" s="15">
        <f>SUM(Overall_Portfolio!$P$2:$P$1000)</f>
        <v>-380342.62000000011</v>
      </c>
      <c r="D8" s="14" t="s">
        <v>22</v>
      </c>
      <c r="E8" s="15">
        <f>IF(E5&gt;0, SUMIF(Overall_Portfolio!$P$2:$P$1000, "&gt;0")/E5, 0)</f>
        <v>2477.6028571428574</v>
      </c>
      <c r="F8" s="15">
        <f ca="1">IF(F5&gt;0, SUMIF(Current_Portfolio!$U$2:$U$1000, "&gt;0")/F5, 0)</f>
        <v>20158.195757575748</v>
      </c>
    </row>
    <row r="9" spans="1:14" ht="15.75">
      <c r="A9" s="14" t="s">
        <v>23</v>
      </c>
      <c r="B9" s="15">
        <f ca="1">B7+B8</f>
        <v>207164.09999999683</v>
      </c>
      <c r="D9" s="14" t="s">
        <v>24</v>
      </c>
      <c r="E9" s="15">
        <f>IF(E6&gt;0, SUMIF(Overall_Portfolio!$P$2:$P$1000, "&lt;0")/E6, 0)</f>
        <v>-9942.1460000000025</v>
      </c>
      <c r="F9" s="15">
        <f ca="1">IF(F6&gt;0, SUMIF(Current_Portfolio!$U$2:$U$1000, "&lt;0")/F6, 0)</f>
        <v>-3108.5496000000003</v>
      </c>
      <c r="J9" s="13" t="s">
        <v>25</v>
      </c>
    </row>
    <row r="10" spans="1:14">
      <c r="A10" s="14" t="s">
        <v>26</v>
      </c>
      <c r="B10" s="17">
        <f ca="1">IF(B5&gt;0, B9/B5, 0)</f>
        <v>2.8924295560077227E-2</v>
      </c>
      <c r="D10" s="14" t="s">
        <v>27</v>
      </c>
      <c r="E10" s="18">
        <f>IF(E9&lt;0, ABS(E8/E9), 0)</f>
        <v>0.24920201907544476</v>
      </c>
      <c r="F10" s="18">
        <f ca="1">IF(F9&lt;0, ABS(F8/F9), 0)</f>
        <v>6.4847592451398386</v>
      </c>
      <c r="J10" s="81" t="s">
        <v>28</v>
      </c>
      <c r="K10" s="81" t="s">
        <v>29</v>
      </c>
      <c r="L10" s="81" t="s">
        <v>30</v>
      </c>
      <c r="M10" s="81" t="s">
        <v>31</v>
      </c>
      <c r="N10" s="81" t="s">
        <v>32</v>
      </c>
    </row>
    <row r="11" spans="1:14">
      <c r="A11" s="14" t="s">
        <v>33</v>
      </c>
      <c r="B11" s="17">
        <f>IF(B5&gt;0, SUMIF(Current_Portfolio!$D$2:$D$1000, "Core", Current_Portfolio!$L$2:$L$1000) / B5, 0)</f>
        <v>0.61692698848212391</v>
      </c>
      <c r="J11" s="14" t="s">
        <v>34</v>
      </c>
      <c r="K11" s="21">
        <v>5</v>
      </c>
      <c r="L11" s="21">
        <v>5</v>
      </c>
      <c r="M11" s="21">
        <v>10</v>
      </c>
      <c r="N11" s="17">
        <v>0.17241379310344829</v>
      </c>
    </row>
    <row r="12" spans="1:14">
      <c r="A12" s="14" t="s">
        <v>35</v>
      </c>
      <c r="B12" s="17">
        <f>IF(B5&gt;0, SUMIF(Current_Portfolio!$D$2:$D$1000, "Satellite", Current_Portfolio!$L$2:$L$1000) / B5, 0)</f>
        <v>0.38307301151787571</v>
      </c>
      <c r="D12" s="81" t="s">
        <v>36</v>
      </c>
      <c r="E12" s="81" t="s">
        <v>37</v>
      </c>
      <c r="F12" s="81" t="s">
        <v>38</v>
      </c>
      <c r="G12" s="81" t="s">
        <v>39</v>
      </c>
      <c r="J12" s="14" t="s">
        <v>40</v>
      </c>
      <c r="K12" s="21">
        <v>1</v>
      </c>
      <c r="L12" s="21">
        <v>4</v>
      </c>
      <c r="M12" s="21">
        <v>5</v>
      </c>
      <c r="N12" s="17">
        <v>8.6206896551724144E-2</v>
      </c>
    </row>
    <row r="13" spans="1:14">
      <c r="A13" s="14" t="s">
        <v>41</v>
      </c>
      <c r="B13" s="16">
        <f>COUNTA(Current_Portfolio!$A$2:$A$1000)</f>
        <v>58</v>
      </c>
      <c r="D13" s="14" t="s">
        <v>42</v>
      </c>
      <c r="E13" s="16">
        <f ca="1">SUMPRODUCT((Current_Portfolio!$D$2:$D$1000="Core")*(Current_Portfolio!$M$2:$M$1000&gt;Current_Portfolio!$AA$2:$AA$1000)*(Current_Portfolio!$M$2:$M$1000&gt;0))</f>
        <v>14</v>
      </c>
      <c r="F13" s="16">
        <f ca="1">SUMPRODUCT((Current_Portfolio!$D$2:$D$1000="Core")*(Current_Portfolio!$M$2:$M$1000&lt;=Current_Portfolio!$AA$2:$AA$1000)*(Current_Portfolio!$M$2:$M$1000&gt;0))</f>
        <v>22</v>
      </c>
      <c r="G13" s="59">
        <f ca="1">_xlfn.LET(_xlpm.curr, SUMIF(Current_Portfolio!$D$2:$D$1000, "Core", Current_Portfolio!$T$2:$T$1000), _xlpm.pmc, SUMPRODUCT((Current_Portfolio!$D$2:$D$1000="Core")*(Current_Portfolio!$F$2:$F$1000)*(Current_Portfolio!$AA$2:$AA$1000)), IF(_xlpm.pmc&gt;0, (_xlpm.curr-_xlpm.pmc)/_xlpm.pmc, 0))</f>
        <v>-2.016284252234493E-3</v>
      </c>
      <c r="J13" s="14" t="s">
        <v>43</v>
      </c>
      <c r="K13" s="21">
        <v>0</v>
      </c>
      <c r="L13" s="21">
        <v>1</v>
      </c>
      <c r="M13" s="21">
        <v>1</v>
      </c>
      <c r="N13" s="17">
        <v>1.7241379310344831E-2</v>
      </c>
    </row>
    <row r="14" spans="1:14">
      <c r="A14" s="14" t="s">
        <v>44</v>
      </c>
      <c r="B14" s="16">
        <f>COUNTA(Overall_Portfolio!$A$2:$A$1000)</f>
        <v>100</v>
      </c>
      <c r="D14" s="14" t="s">
        <v>45</v>
      </c>
      <c r="E14" s="16">
        <f ca="1">SUMPRODUCT((Current_Portfolio!$D$2:$D$1000="Satellite")*(Current_Portfolio!$M$2:$M$1000&gt;Current_Portfolio!$O$2:$O$1000)*(Current_Portfolio!$M$2:$M$1000&gt;0))</f>
        <v>0</v>
      </c>
      <c r="F14" s="16">
        <f ca="1">SUMPRODUCT((Current_Portfolio!$D$2:$D$1000="Satellite")*(Current_Portfolio!$M$2:$M$1000&lt;=Current_Portfolio!$O$2:$O$1000)*(Current_Portfolio!$M$2:$M$1000&gt;0))</f>
        <v>22</v>
      </c>
      <c r="G14" s="59">
        <f ca="1">_xlfn.LET(_xlpm.curr, SUMIF(Current_Portfolio!$D$2:$D$1000, "Satellite", Current_Portfolio!$T$2:$T$1000), _xlpm.pwc, SUMPRODUCT((Current_Portfolio!$D$2:$D$1000="Satellite")*(Current_Portfolio!$F$2:$F$1000)*(Current_Portfolio!$O$2:$O$1000)), IF(_xlpm.pwc&gt;0, (_xlpm.curr-_xlpm.pwc)/_xlpm.pwc, 0))</f>
        <v>0</v>
      </c>
      <c r="J14" s="14" t="s">
        <v>46</v>
      </c>
      <c r="K14" s="21">
        <v>25</v>
      </c>
      <c r="L14" s="21">
        <v>4</v>
      </c>
      <c r="M14" s="21">
        <v>29</v>
      </c>
      <c r="N14" s="17">
        <v>0.5</v>
      </c>
    </row>
    <row r="15" spans="1:14">
      <c r="D15" s="14" t="s">
        <v>47</v>
      </c>
      <c r="E15" s="16">
        <f ca="1">SUMPRODUCT((Current_Portfolio!$D$2:$D$1000="Core")*(Current_Portfolio!$M$2:$M$1000&gt;Current_Portfolio!$N$2:$N$1000)*(Current_Portfolio!$M$2:$M$1000&gt;0))</f>
        <v>34</v>
      </c>
      <c r="F15" s="16">
        <f ca="1">SUMPRODUCT((Current_Portfolio!$D$2:$D$1000="Core")*(Current_Portfolio!$M$2:$M$1000&lt;=Current_Portfolio!$N$2:$N$1000)*(Current_Portfolio!$M$2:$M$1000&gt;0))</f>
        <v>2</v>
      </c>
      <c r="G15" s="59">
        <f ca="1">_xlfn.LET(_xlpm.curr, SUMIF(Current_Portfolio!$D$2:$D$1000, "Core", Current_Portfolio!$T$2:$T$1000), _xlpm.pdc, SUMPRODUCT((Current_Portfolio!$D$2:$D$1000="Core")*(Current_Portfolio!$F$2:$F$1000)*(Current_Portfolio!$N$2:$N$1000)), IF(_xlpm.pdc&gt;0, (_xlpm.curr-_xlpm.pdc)/_xlpm.pdc, 0))</f>
        <v>2.7757243356171562E-2</v>
      </c>
      <c r="J15" s="14" t="s">
        <v>48</v>
      </c>
      <c r="K15" s="21">
        <v>1</v>
      </c>
      <c r="L15" s="21">
        <v>5</v>
      </c>
      <c r="M15" s="21">
        <v>6</v>
      </c>
      <c r="N15" s="17">
        <v>0.10344827586206901</v>
      </c>
    </row>
    <row r="16" spans="1:14">
      <c r="D16" s="14" t="s">
        <v>49</v>
      </c>
      <c r="E16" s="16">
        <f ca="1">SUMPRODUCT((Current_Portfolio!$D$2:$D$1000="Satellite")*(Current_Portfolio!$M$2:$M$1000&gt;Current_Portfolio!$N$2:$N$1000)*(Current_Portfolio!$M$2:$M$1000&gt;0))</f>
        <v>17</v>
      </c>
      <c r="F16" s="16">
        <f ca="1">SUMPRODUCT((Current_Portfolio!$D$2:$D$1000="Satellite")*(Current_Portfolio!$M$2:$M$1000&lt;=Current_Portfolio!$N$2:$N$1000)*(Current_Portfolio!$M$2:$M$1000&gt;0))</f>
        <v>5</v>
      </c>
      <c r="G16" s="59">
        <f ca="1">_xlfn.LET(_xlpm.curr, SUMIF(Current_Portfolio!$D$2:$D$1000, "Satellite", Current_Portfolio!$T$2:$T$1000), _xlpm.pdc, SUMPRODUCT((Current_Portfolio!$D$2:$D$1000="Satellite")*(Current_Portfolio!$F$2:$F$1000)*(Current_Portfolio!$N$2:$N$1000)), IF(_xlpm.pdc&gt;0, (_xlpm.curr-_xlpm.pdc)/_xlpm.pdc, 0))</f>
        <v>2.2927429900700277E-2</v>
      </c>
      <c r="J16" s="14" t="s">
        <v>50</v>
      </c>
      <c r="K16" s="21">
        <v>2</v>
      </c>
      <c r="L16" s="21">
        <v>2</v>
      </c>
      <c r="M16" s="21">
        <v>4</v>
      </c>
      <c r="N16" s="17">
        <v>6.8965517241379309E-2</v>
      </c>
    </row>
    <row r="17" spans="1:14" ht="15.75">
      <c r="A17" s="13" t="s">
        <v>51</v>
      </c>
      <c r="J17" s="14" t="s">
        <v>52</v>
      </c>
      <c r="K17" s="21">
        <v>1</v>
      </c>
      <c r="L17" s="21">
        <v>1</v>
      </c>
      <c r="M17" s="21">
        <v>2</v>
      </c>
      <c r="N17" s="17">
        <v>3.4482758620689648E-2</v>
      </c>
    </row>
    <row r="18" spans="1:14">
      <c r="A18" s="81" t="s">
        <v>53</v>
      </c>
      <c r="B18" s="81" t="s">
        <v>54</v>
      </c>
      <c r="C18" s="81" t="s">
        <v>55</v>
      </c>
      <c r="D18" s="81" t="s">
        <v>56</v>
      </c>
      <c r="E18" s="81" t="s">
        <v>57</v>
      </c>
      <c r="F18" s="81" t="s">
        <v>58</v>
      </c>
      <c r="G18" s="81" t="s">
        <v>59</v>
      </c>
      <c r="J18" s="14" t="s">
        <v>60</v>
      </c>
      <c r="K18" s="21">
        <v>1</v>
      </c>
      <c r="L18" s="21">
        <v>0</v>
      </c>
      <c r="M18" s="21">
        <v>1</v>
      </c>
      <c r="N18" s="17">
        <v>1.7241379310344831E-2</v>
      </c>
    </row>
    <row r="19" spans="1:14">
      <c r="A19" s="14"/>
      <c r="B19" s="15">
        <f>SUMIF(Current_Portfolio!$B$2:$B$1000, "", Current_Portfolio!$L$2:$L$1000)</f>
        <v>0</v>
      </c>
      <c r="C19" s="17">
        <f>B19/$B$23</f>
        <v>0</v>
      </c>
      <c r="D19" s="17">
        <f>IF(B19&gt;0, (SUMIF(Current_Portfolio!$B$2:$B$1000, "", Current_Portfolio!$T$2:$T$1000) - B19) / B19, 0)</f>
        <v>0</v>
      </c>
      <c r="E19" s="15">
        <f>SUMIF(Overall_Portfolio!$B$2:$B$1000, "", Overall_Portfolio!$P$2:$P$1000)</f>
        <v>-578.67999999999995</v>
      </c>
      <c r="F19" s="15">
        <f>SUMIF(Current_Portfolio!$B$2:$B$1000, "", Current_Portfolio!$U$2:$U$1000)</f>
        <v>0</v>
      </c>
      <c r="G19" s="15">
        <f>E19+F19</f>
        <v>-578.67999999999995</v>
      </c>
      <c r="J19" s="14" t="s">
        <v>61</v>
      </c>
      <c r="K19" s="21">
        <v>36</v>
      </c>
      <c r="L19" s="21">
        <v>22</v>
      </c>
      <c r="M19" s="21">
        <v>58</v>
      </c>
      <c r="N19" s="17">
        <v>1</v>
      </c>
    </row>
    <row r="20" spans="1:14">
      <c r="A20" s="14" t="s">
        <v>62</v>
      </c>
      <c r="B20" s="15">
        <f>SUMIF(Current_Portfolio!$B$2:$B$1000, "Large Cap", Current_Portfolio!$L$2:$L$1000)</f>
        <v>1931083.5099999998</v>
      </c>
      <c r="C20" s="17">
        <f>B20/$B$23</f>
        <v>0.2696182890492716</v>
      </c>
      <c r="D20" s="17">
        <f ca="1">IF(B20&gt;0, (SUMIF(Current_Portfolio!$B$2:$B$1000, "Large Cap", Current_Portfolio!$T$2:$T$1000) - B20) / B20, 0)</f>
        <v>0.10591374683739106</v>
      </c>
      <c r="E20" s="15">
        <f>SUMIF(Overall_Portfolio!$B$2:$B$1000, "Large Cap", Overall_Portfolio!$P$2:$P$1000)</f>
        <v>-157984.30000000002</v>
      </c>
      <c r="F20" s="15">
        <f ca="1">SUMIF(Current_Portfolio!$B$2:$B$1000, "Large Cap", Current_Portfolio!$U$2:$U$1000)</f>
        <v>204528.28999999992</v>
      </c>
      <c r="G20" s="15">
        <f ca="1">E20+F20</f>
        <v>46543.989999999903</v>
      </c>
    </row>
    <row r="21" spans="1:14">
      <c r="A21" s="14" t="s">
        <v>63</v>
      </c>
      <c r="B21" s="15">
        <f>SUMIF(Current_Portfolio!$B$2:$B$1000, "Mid Cap", Current_Portfolio!$L$2:$L$1000)</f>
        <v>1384576.9500000002</v>
      </c>
      <c r="C21" s="17">
        <f>B21/$B$23</f>
        <v>0.19331492728455799</v>
      </c>
      <c r="D21" s="17">
        <f ca="1">IF(B21&gt;0, (SUMIF(Current_Portfolio!$B$2:$B$1000, "Mid Cap", Current_Portfolio!$T$2:$T$1000) - B21) / B21, 0)</f>
        <v>3.1651075803334455E-2</v>
      </c>
      <c r="E21" s="15">
        <f>SUMIF(Overall_Portfolio!$B$2:$B$1000, "Mid Cap", Overall_Portfolio!$P$2:$P$1000)</f>
        <v>-45214.8</v>
      </c>
      <c r="F21" s="15">
        <f ca="1">SUMIF(Current_Portfolio!$B$2:$B$1000, "Mid Cap", Current_Portfolio!$U$2:$U$1000)</f>
        <v>43823.349999999919</v>
      </c>
      <c r="G21" s="15">
        <f ca="1">E21+F21</f>
        <v>-1391.4500000000844</v>
      </c>
    </row>
    <row r="22" spans="1:14" ht="15.75">
      <c r="A22" s="14" t="s">
        <v>64</v>
      </c>
      <c r="B22" s="15">
        <f>SUMIF(Current_Portfolio!$B$2:$B$1000, "Small Cap", Current_Portfolio!$L$2:$L$1000)</f>
        <v>3846626.33</v>
      </c>
      <c r="C22" s="17">
        <f>B22/$B$23</f>
        <v>0.53706678366617044</v>
      </c>
      <c r="D22" s="17">
        <f ca="1">IF(B22&gt;0, (SUMIF(Current_Portfolio!$B$2:$B$1000, "Small Cap", Current_Portfolio!$T$2:$T$1000) - B22) / B22, 0)</f>
        <v>8.8169489548520594E-2</v>
      </c>
      <c r="E22" s="15">
        <f>SUMIF(Overall_Portfolio!$B$2:$B$1000, "Small Cap", Overall_Portfolio!$P$2:$P$1000)</f>
        <v>-176564.84</v>
      </c>
      <c r="F22" s="15">
        <f ca="1">SUMIF(Current_Portfolio!$B$2:$B$1000, "Small Cap", Current_Portfolio!$U$2:$U$1000)</f>
        <v>339155.08</v>
      </c>
      <c r="G22" s="15">
        <f ca="1">E22+F22</f>
        <v>162590.24000000002</v>
      </c>
      <c r="J22" s="13" t="s">
        <v>65</v>
      </c>
    </row>
    <row r="23" spans="1:14">
      <c r="A23" s="14" t="s">
        <v>61</v>
      </c>
      <c r="B23" s="19">
        <f>SUM(B19:B22)</f>
        <v>7162286.79</v>
      </c>
      <c r="C23" s="20">
        <v>1</v>
      </c>
      <c r="D23" s="17">
        <f ca="1">IF(B23&gt;0, (SUM(Current_Portfolio!$T$2:$T$1000) - B23) / B23, 0)</f>
        <v>8.2027812795806634E-2</v>
      </c>
      <c r="E23" s="19">
        <f>SUM(E19:E22)</f>
        <v>-380342.62</v>
      </c>
      <c r="F23" s="19">
        <f ca="1">SUM(F19:F22)</f>
        <v>587506.71999999986</v>
      </c>
      <c r="G23" s="19">
        <f ca="1">SUM(G19:G22)</f>
        <v>207164.09999999983</v>
      </c>
      <c r="J23" s="81" t="s">
        <v>66</v>
      </c>
      <c r="K23" s="81" t="s">
        <v>67</v>
      </c>
      <c r="L23" s="81" t="s">
        <v>32</v>
      </c>
    </row>
    <row r="24" spans="1:14">
      <c r="J24" s="14" t="s">
        <v>68</v>
      </c>
      <c r="K24" s="21">
        <v>42</v>
      </c>
      <c r="L24" s="17">
        <v>0.72413793103448276</v>
      </c>
    </row>
    <row r="25" spans="1:14">
      <c r="J25" s="14" t="s">
        <v>69</v>
      </c>
      <c r="K25" s="21">
        <v>3</v>
      </c>
      <c r="L25" s="17">
        <v>5.1724137931034482E-2</v>
      </c>
    </row>
    <row r="26" spans="1:14" ht="15.75">
      <c r="A26" s="13" t="s">
        <v>70</v>
      </c>
      <c r="J26" s="14" t="s">
        <v>71</v>
      </c>
      <c r="K26" s="21">
        <v>9</v>
      </c>
      <c r="L26" s="17">
        <v>0.15517241379310351</v>
      </c>
    </row>
    <row r="27" spans="1:14">
      <c r="A27" s="81" t="s">
        <v>72</v>
      </c>
      <c r="B27" s="81" t="s">
        <v>54</v>
      </c>
      <c r="C27" s="81" t="s">
        <v>55</v>
      </c>
      <c r="D27" s="81" t="s">
        <v>56</v>
      </c>
      <c r="E27" s="81" t="s">
        <v>57</v>
      </c>
      <c r="F27" s="81" t="s">
        <v>58</v>
      </c>
      <c r="J27" s="14" t="s">
        <v>73</v>
      </c>
      <c r="K27" s="21">
        <v>4</v>
      </c>
      <c r="L27" s="17">
        <v>6.8965517241379309E-2</v>
      </c>
    </row>
    <row r="28" spans="1:14">
      <c r="A28" s="14" t="s">
        <v>74</v>
      </c>
      <c r="B28" s="15">
        <f>SUMIF(Current_Portfolio!$D$2:$D$1000, "Core", Current_Portfolio!$L$2:$L$1000)</f>
        <v>4418608.0199999996</v>
      </c>
      <c r="C28" s="17">
        <f>B28/$B$30</f>
        <v>0.61692698848212413</v>
      </c>
      <c r="D28" s="17">
        <f ca="1">(SUMIF(Current_Portfolio!$D$2:$D$1000, "Core", Current_Portfolio!$T$2:$T$1000) - B28) / B28</f>
        <v>7.1663310836066932E-2</v>
      </c>
      <c r="E28" s="15">
        <f>SUMIF(Overall_Portfolio!$D$2:$D$1000, "Core", Overall_Portfolio!$P$2:$P$1000)</f>
        <v>-132687.38</v>
      </c>
      <c r="F28" s="15">
        <f ca="1">SUMIF(Current_Portfolio!$D$2:$D$1000, "Core", Current_Portfolio!$U$2:$U$1000)</f>
        <v>316652.0799999999</v>
      </c>
    </row>
    <row r="29" spans="1:14">
      <c r="A29" s="14" t="s">
        <v>75</v>
      </c>
      <c r="B29" s="15">
        <f>SUMIF(Current_Portfolio!$D$2:$D$1000, "Satellite", Current_Portfolio!$L$2:$L$1000)</f>
        <v>2743678.7699999996</v>
      </c>
      <c r="C29" s="17">
        <f>B29/$B$30</f>
        <v>0.38307301151787582</v>
      </c>
      <c r="D29" s="17">
        <f ca="1">(SUMIF(Current_Portfolio!$D$2:$D$1000, "Satellite", Current_Portfolio!$T$2:$T$1000) - B29) / B29</f>
        <v>9.8719515914758554E-2</v>
      </c>
      <c r="E29" s="15">
        <f>SUMIF(Overall_Portfolio!$D$2:$D$1000, "Satellite", Overall_Portfolio!$P$2:$P$1000)</f>
        <v>-247655.24000000002</v>
      </c>
      <c r="F29" s="15">
        <f ca="1">SUMIF(Current_Portfolio!$D$2:$D$1000, "Satellite", Current_Portfolio!$U$2:$U$1000)</f>
        <v>270854.63999999984</v>
      </c>
    </row>
    <row r="30" spans="1:14" ht="15.75">
      <c r="A30" s="14" t="s">
        <v>61</v>
      </c>
      <c r="B30" s="19">
        <f>SUM(B28:B29)</f>
        <v>7162286.7899999991</v>
      </c>
      <c r="C30" s="20">
        <v>1</v>
      </c>
      <c r="D30" s="17">
        <f ca="1">(SUM(Current_Portfolio!$T$2:$T$1000) - B30) / B30</f>
        <v>8.2027812795806773E-2</v>
      </c>
      <c r="E30" s="19">
        <f>SUM(E28:E29)</f>
        <v>-380342.62</v>
      </c>
      <c r="F30" s="19">
        <f ca="1">SUM(F28:F29)</f>
        <v>587506.71999999974</v>
      </c>
      <c r="J30" s="13" t="s">
        <v>76</v>
      </c>
    </row>
    <row r="31" spans="1:14">
      <c r="J31" s="81" t="s">
        <v>77</v>
      </c>
      <c r="K31" s="81" t="s">
        <v>78</v>
      </c>
      <c r="L31" s="81" t="s">
        <v>79</v>
      </c>
      <c r="M31" s="81" t="s">
        <v>80</v>
      </c>
    </row>
    <row r="32" spans="1:14">
      <c r="J32" s="50" t="str" cm="1">
        <f t="array" aca="1" ref="J32:M41" ca="1">_xlfn.LET(
    _xlpm.portfolio, Current_Portfolio!$A$2:$AB$1000,
    _xlpm.symbols, INDEX(_xlpm.portfolio, , 1),
    _xlpm.classifications, INDEX(_xlpm.portfolio, , 4),
    _xlpm.ltp, INDEX(_xlpm.portfolio, , 13),
    _xlpm.pwc, INDEX(_xlpm.portfolio, , 28),
    _xlpm.pct_change, IF(_xlpm.pwc &gt; 0, (_xlpm.ltp - _xlpm.pwc) / _xlpm.pwc, 0),
    _xlpm.filtered, _xlfn._xlws.FILTER(_xlfn.HSTACK(_xlpm.symbols, _xlpm.pwc, _xlpm.ltp, _xlpm.pct_change), (_xlpm.classifications="Satellite")*(_xlpm.pwc&gt;0), "No data"),
    IF(INDEX(_xlpm.filtered, 1, 1)="No data", "No dynamic movers found", _xlfn.TAKE(_xlfn._xlws.SORT(_xlpm.filtered, 4, -1), 10))
)</f>
        <v>CUPID</v>
      </c>
      <c r="K32" s="51">
        <f ca="1"/>
        <v>137.1</v>
      </c>
      <c r="L32" s="51">
        <f ca="1"/>
        <v>159.97</v>
      </c>
      <c r="M32" s="52">
        <f ca="1"/>
        <v>0.16681254558716269</v>
      </c>
    </row>
    <row r="33" spans="1:13" ht="15.75">
      <c r="A33" s="13" t="s">
        <v>81</v>
      </c>
      <c r="J33" s="50" t="str">
        <f ca="1"/>
        <v>NRBBEARING</v>
      </c>
      <c r="K33" s="51">
        <f ca="1"/>
        <v>385.65</v>
      </c>
      <c r="L33" s="51">
        <f ca="1"/>
        <v>425.85</v>
      </c>
      <c r="M33" s="52">
        <f ca="1"/>
        <v>0.10423959548813704</v>
      </c>
    </row>
    <row r="34" spans="1:13">
      <c r="A34" s="81" t="s">
        <v>82</v>
      </c>
      <c r="B34" s="81" t="s">
        <v>83</v>
      </c>
      <c r="C34" s="81" t="s">
        <v>84</v>
      </c>
      <c r="D34" s="81" t="s">
        <v>85</v>
      </c>
      <c r="E34" s="81" t="s">
        <v>55</v>
      </c>
      <c r="F34" s="81" t="s">
        <v>57</v>
      </c>
      <c r="G34" s="81" t="s">
        <v>58</v>
      </c>
      <c r="H34" s="81" t="s">
        <v>59</v>
      </c>
      <c r="J34" s="50" t="str">
        <f ca="1"/>
        <v>SFL</v>
      </c>
      <c r="K34" s="51">
        <f ca="1"/>
        <v>642.75</v>
      </c>
      <c r="L34" s="51">
        <f ca="1"/>
        <v>703.55</v>
      </c>
      <c r="M34" s="52">
        <f ca="1"/>
        <v>9.4593543368339097E-2</v>
      </c>
    </row>
    <row r="35" spans="1:13">
      <c r="A35" s="14" t="s">
        <v>86</v>
      </c>
      <c r="B35" s="15">
        <f>SUMIFS(Current_Portfolio!$L$2:$L$1000, Current_Portfolio!$C$2:$C$1000, "Industrial", Current_Portfolio!$D$2:$D$1000, "*Core*")</f>
        <v>1678417.9200000002</v>
      </c>
      <c r="C35" s="15">
        <f>SUMIFS(Current_Portfolio!$L$2:$L$1000, Current_Portfolio!$C$2:$C$1000, "Industrial", Current_Portfolio!$D$2:$D$1000, "*Satellite*")</f>
        <v>1396830.39</v>
      </c>
      <c r="D35" s="15">
        <f>B35+C35</f>
        <v>3075248.31</v>
      </c>
      <c r="E35" s="17">
        <f>D35/$D$40</f>
        <v>0.42936682098427953</v>
      </c>
      <c r="F35" s="15">
        <f>SUMIF(Overall_Portfolio!$C$2:$C$1000, "Industrial", Overall_Portfolio!$P$2:$P$1000)</f>
        <v>-139510.40000000002</v>
      </c>
      <c r="G35" s="15">
        <f ca="1">SUMIF(Current_Portfolio!$C$2:$C$1000, "Industrial", Current_Portfolio!$U$2:$U$1000)</f>
        <v>158648.03999999992</v>
      </c>
      <c r="H35" s="15">
        <f ca="1">F35+G35</f>
        <v>19137.639999999898</v>
      </c>
      <c r="J35" s="50" t="str">
        <f ca="1"/>
        <v>AJANTPHARM</v>
      </c>
      <c r="K35" s="51">
        <f ca="1"/>
        <v>2976.5</v>
      </c>
      <c r="L35" s="51">
        <f ca="1"/>
        <v>3131</v>
      </c>
      <c r="M35" s="52">
        <f ca="1"/>
        <v>5.1906601713421804E-2</v>
      </c>
    </row>
    <row r="36" spans="1:13">
      <c r="A36" s="14" t="s">
        <v>87</v>
      </c>
      <c r="B36" s="15">
        <f>SUMIFS(Current_Portfolio!$L$2:$L$1000, Current_Portfolio!$C$2:$C$1000, "Health / Pharma / Chem", Current_Portfolio!$D$2:$D$1000, "*Core*")</f>
        <v>971036.24</v>
      </c>
      <c r="C36" s="15">
        <f>SUMIFS(Current_Portfolio!$L$2:$L$1000, Current_Portfolio!$C$2:$C$1000, "Health / Pharma / Chem", Current_Portfolio!$D$2:$D$1000, "*Satellite*")</f>
        <v>742001.82000000007</v>
      </c>
      <c r="D36" s="15">
        <f>B36+C36</f>
        <v>1713038.06</v>
      </c>
      <c r="E36" s="17">
        <f>D36/$D$40</f>
        <v>0.23917473709538514</v>
      </c>
      <c r="F36" s="15">
        <f>SUMIF(Overall_Portfolio!$C$2:$C$1000, "Health / Pharma / Chem", Overall_Portfolio!$P$2:$P$1000)</f>
        <v>-45598.62</v>
      </c>
      <c r="G36" s="15">
        <f ca="1">SUMIF(Current_Portfolio!$C$2:$C$1000, "Health / Pharma / Chem", Current_Portfolio!$U$2:$U$1000)</f>
        <v>64613.989999999991</v>
      </c>
      <c r="H36" s="15">
        <f ca="1">F36+G36</f>
        <v>19015.369999999988</v>
      </c>
      <c r="J36" s="50" t="str">
        <f ca="1"/>
        <v>BALAMINES</v>
      </c>
      <c r="K36" s="51">
        <f ca="1"/>
        <v>2043.3</v>
      </c>
      <c r="L36" s="51">
        <f ca="1"/>
        <v>2133</v>
      </c>
      <c r="M36" s="52">
        <f ca="1"/>
        <v>4.3899574218176501E-2</v>
      </c>
    </row>
    <row r="37" spans="1:13">
      <c r="A37" s="14" t="s">
        <v>88</v>
      </c>
      <c r="B37" s="15">
        <f>SUMIFS(Current_Portfolio!$L$2:$L$1000, Current_Portfolio!$C$2:$C$1000, "Consumption ", Current_Portfolio!$D$2:$D$1000, "*Core*")</f>
        <v>1166887.45</v>
      </c>
      <c r="C37" s="15">
        <f>SUMIFS(Current_Portfolio!$L$2:$L$1000, Current_Portfolio!$C$2:$C$1000, "Consumption ", Current_Portfolio!$D$2:$D$1000, "*Satellite*")</f>
        <v>404183.94</v>
      </c>
      <c r="D37" s="15">
        <f>B37+C37</f>
        <v>1571071.39</v>
      </c>
      <c r="E37" s="17">
        <f>D37/$D$40</f>
        <v>0.21935332053353868</v>
      </c>
      <c r="F37" s="15">
        <f>SUMIF(Overall_Portfolio!$C$2:$C$1000, "Consumption ", Overall_Portfolio!$P$2:$P$1000)</f>
        <v>-92359.79</v>
      </c>
      <c r="G37" s="15">
        <f ca="1">SUMIF(Current_Portfolio!$C$2:$C$1000, "Consumption ", Current_Portfolio!$U$2:$U$1000)</f>
        <v>275716.17</v>
      </c>
      <c r="H37" s="15">
        <f ca="1">F37+G37</f>
        <v>183356.38</v>
      </c>
      <c r="J37" s="50" t="str">
        <f ca="1"/>
        <v>ASTRAMICRO</v>
      </c>
      <c r="K37" s="51">
        <f ca="1"/>
        <v>1419.5</v>
      </c>
      <c r="L37" s="51">
        <f ca="1"/>
        <v>1443.8</v>
      </c>
      <c r="M37" s="52">
        <f ca="1"/>
        <v>1.7118703768932691E-2</v>
      </c>
    </row>
    <row r="38" spans="1:13">
      <c r="A38" s="14" t="s">
        <v>89</v>
      </c>
      <c r="B38" s="15">
        <f>SUMIFS(Current_Portfolio!$L$2:$L$1000, Current_Portfolio!$C$2:$C$1000, "Tech / Platform / IT", Current_Portfolio!$D$2:$D$1000, "*Core*")</f>
        <v>201206.57</v>
      </c>
      <c r="C38" s="15">
        <f>SUMIFS(Current_Portfolio!$L$2:$L$1000, Current_Portfolio!$C$2:$C$1000, "Tech / Platform / IT", Current_Portfolio!$D$2:$D$1000, "*Satellite*")</f>
        <v>200662.62</v>
      </c>
      <c r="D38" s="15">
        <f>B38+C38</f>
        <v>401869.19</v>
      </c>
      <c r="E38" s="17">
        <f>D38/$D$40</f>
        <v>5.6109061502688025E-2</v>
      </c>
      <c r="F38" s="15">
        <f>SUMIF(Overall_Portfolio!$C$2:$C$1000, "Tech / Platform / IT", Overall_Portfolio!$P$2:$P$1000)</f>
        <v>-21693.97</v>
      </c>
      <c r="G38" s="15">
        <f ca="1">SUMIF(Current_Portfolio!$C$2:$C$1000, "Tech / Platform / IT", Current_Portfolio!$U$2:$U$1000)</f>
        <v>-1645.0400000000009</v>
      </c>
      <c r="H38" s="15">
        <f ca="1">F38+G38</f>
        <v>-23339.010000000002</v>
      </c>
      <c r="J38" s="50" t="str">
        <f ca="1"/>
        <v>ZYDUSLIFE</v>
      </c>
      <c r="K38" s="51">
        <f ca="1"/>
        <v>1089</v>
      </c>
      <c r="L38" s="51">
        <f ca="1"/>
        <v>1104.7</v>
      </c>
      <c r="M38" s="52">
        <f ca="1"/>
        <v>1.4416896235078094E-2</v>
      </c>
    </row>
    <row r="39" spans="1:13">
      <c r="A39" s="14" t="s">
        <v>90</v>
      </c>
      <c r="B39" s="15">
        <f>SUMIFS(Current_Portfolio!$L$2:$L$1000, Current_Portfolio!$C$2:$C$1000, "Finance", Current_Portfolio!$D$2:$D$1000, "*Core*")</f>
        <v>401059.84000000003</v>
      </c>
      <c r="C39" s="15">
        <f>SUMIFS(Current_Portfolio!$L$2:$L$1000, Current_Portfolio!$C$2:$C$1000, "Finance", Current_Portfolio!$D$2:$D$1000, "*Satellite*")</f>
        <v>0</v>
      </c>
      <c r="D39" s="15">
        <f>B39+C39</f>
        <v>401059.84000000003</v>
      </c>
      <c r="E39" s="17">
        <f>D39/$D$40</f>
        <v>5.5996059884108607E-2</v>
      </c>
      <c r="F39" s="15">
        <f>SUMIF(Overall_Portfolio!$C$2:$C$1000, "Finance", Overall_Portfolio!$P$2:$P$1000)</f>
        <v>-81179.840000000011</v>
      </c>
      <c r="G39" s="15">
        <f ca="1">SUMIF(Current_Portfolio!$C$2:$C$1000, "Finance", Current_Portfolio!$U$2:$U$1000)</f>
        <v>90173.559999999939</v>
      </c>
      <c r="H39" s="15">
        <f ca="1">F39+G39</f>
        <v>8993.7199999999284</v>
      </c>
      <c r="J39" s="50" t="str">
        <f ca="1"/>
        <v>GAEL</v>
      </c>
      <c r="K39" s="51">
        <f ca="1"/>
        <v>155.86000000000001</v>
      </c>
      <c r="L39" s="51">
        <f ca="1"/>
        <v>157.83000000000001</v>
      </c>
      <c r="M39" s="52">
        <f ca="1"/>
        <v>1.2639548312588211E-2</v>
      </c>
    </row>
    <row r="40" spans="1:13">
      <c r="A40" s="14" t="s">
        <v>61</v>
      </c>
      <c r="B40" s="19">
        <f>SUM(B35:B39)</f>
        <v>4418608.0200000005</v>
      </c>
      <c r="C40" s="19">
        <f>SUM(C35:C39)</f>
        <v>2743678.77</v>
      </c>
      <c r="D40" s="19">
        <f>SUM(D35:D39)</f>
        <v>7162286.79</v>
      </c>
      <c r="E40" s="20">
        <v>1</v>
      </c>
      <c r="F40" s="19">
        <f>SUM(F35:F39)</f>
        <v>-380342.62000000005</v>
      </c>
      <c r="G40" s="19">
        <f ca="1">SUM(G35:G39)</f>
        <v>587506.71999999986</v>
      </c>
      <c r="H40" s="19">
        <f ca="1">SUM(H35:H39)</f>
        <v>207164.0999999998</v>
      </c>
      <c r="J40" s="50" t="str">
        <f ca="1"/>
        <v>AUROPHARMA</v>
      </c>
      <c r="K40" s="51">
        <f ca="1"/>
        <v>1462.3</v>
      </c>
      <c r="L40" s="51">
        <f ca="1"/>
        <v>1472.8</v>
      </c>
      <c r="M40" s="52">
        <f ca="1"/>
        <v>7.1804691239827668E-3</v>
      </c>
    </row>
    <row r="41" spans="1:13">
      <c r="J41" s="50" t="str">
        <f ca="1"/>
        <v>SEAMECLTD</v>
      </c>
      <c r="K41" s="51">
        <f ca="1"/>
        <v>1586.1</v>
      </c>
      <c r="L41" s="51">
        <f ca="1"/>
        <v>1583.5</v>
      </c>
      <c r="M41" s="52">
        <f ca="1"/>
        <v>-1.6392409053653044E-3</v>
      </c>
    </row>
    <row r="43" spans="1:13" ht="15.75">
      <c r="A43" s="13" t="s">
        <v>91</v>
      </c>
    </row>
    <row r="44" spans="1:13" ht="15.75">
      <c r="A44" s="81" t="s">
        <v>77</v>
      </c>
      <c r="B44" s="81" t="s">
        <v>72</v>
      </c>
      <c r="C44" s="81" t="s">
        <v>54</v>
      </c>
      <c r="D44" s="81" t="s">
        <v>92</v>
      </c>
      <c r="E44" s="81" t="s">
        <v>93</v>
      </c>
      <c r="F44" s="81" t="s">
        <v>94</v>
      </c>
      <c r="J44" s="13" t="s">
        <v>95</v>
      </c>
    </row>
    <row r="45" spans="1:13">
      <c r="A45" s="50" t="str" cm="1">
        <f t="array" aca="1" ref="A45:F54" ca="1">_xlfn.LET(
    _xlpm.portfolio, Current_Portfolio!$A$2:$V$1000,
    _xlpm.symbols, INDEX(_xlpm.portfolio, , 1),
    _xlpm.classifications, INDEX(_xlpm.portfolio, , 4),
    _xlpm.invested, INDEX(_xlpm.portfolio, , 12),
    _xlpm.current, INDEX(_xlpm.portfolio, , 20),
    _xlpm.pnl, INDEX(_xlpm.portfolio, , 21),
    _xlpm.pnl_pct, INDEX(_xlpm.portfolio, , 22),
    _xlpm.filtered, _xlfn._xlws.FILTER(_xlfn.HSTACK(_xlpm.symbols, _xlpm.classifications, _xlpm.invested, _xlpm.current, _xlpm.pnl, _xlpm.pnl_pct), (_xlpm.classifications="Satellite")*(_xlpm.symbols&lt;&gt;""), "No data"),
    IF(INDEX(_xlpm.filtered, 1, 1)="No data", "No dynamic satellite data found",
        _xlfn.LET(
            _xlpm.sorted, _xlfn._xlws.SORT(_xlpm.filtered, 5, -1),
            _xlpm.n_rows, ROWS(_xlpm.sorted),
            IF(_xlpm.n_rows &lt;= 10, _xlpm.sorted, _xlfn.VSTACK(_xlfn.TAKE(_xlpm.sorted, 5), _xlfn.TAKE(_xlpm.sorted, -5)))
        )
    )
)</f>
        <v>CUPID</v>
      </c>
      <c r="B45" s="50" t="str">
        <f ca="1"/>
        <v>Satellite</v>
      </c>
      <c r="C45" s="51">
        <f ca="1"/>
        <v>278305.5</v>
      </c>
      <c r="D45" s="51">
        <f ca="1"/>
        <v>400724.85</v>
      </c>
      <c r="E45" s="51">
        <f ca="1"/>
        <v>122419.34999999998</v>
      </c>
      <c r="F45" s="52">
        <f ca="1"/>
        <v>0.43987398739873979</v>
      </c>
      <c r="J45" s="81" t="s">
        <v>77</v>
      </c>
      <c r="K45" s="81" t="s">
        <v>78</v>
      </c>
      <c r="L45" s="81" t="s">
        <v>96</v>
      </c>
      <c r="M45" s="81" t="s">
        <v>80</v>
      </c>
    </row>
    <row r="46" spans="1:13">
      <c r="A46" s="50" t="str">
        <f ca="1"/>
        <v>HINDALCO</v>
      </c>
      <c r="B46" s="50" t="str">
        <f ca="1"/>
        <v>Satellite</v>
      </c>
      <c r="C46" s="51">
        <f ca="1"/>
        <v>306836.40000000002</v>
      </c>
      <c r="D46" s="51">
        <f ca="1"/>
        <v>347344</v>
      </c>
      <c r="E46" s="51">
        <f ca="1"/>
        <v>40507.599999999977</v>
      </c>
      <c r="F46" s="52">
        <f ca="1"/>
        <v>0.13201693149834887</v>
      </c>
      <c r="J46" s="50" t="str" cm="1">
        <f t="array" aca="1" ref="J46:M55" ca="1">_xlfn.LET(
    _xlpm.w_symbols, Satellite_Watchlist!$B$2:$B$1000,
    _xlpm.w_prices, Satellite_Watchlist!$E$2:$E$1000,
    _xlpm.w_pwc, Satellite_Watchlist!$G$2:$G$1000,
    _xlpm.portfolio_symbols, Current_Portfolio!$A$2:$A$1000,
    _xlpm.raw_unique, _xlfn.UNIQUE(_xlfn._xlws.FILTER(_xlpm.w_symbols, _xlpm.w_symbols &lt;&gt; "", "No data")),
    _xlpm.unique_symbols, _xlfn._xlws.FILTER(_xlpm.raw_unique, ISNA(MATCH(_xlpm.raw_unique, _xlpm.portfolio_symbols, 0)), "No data"),
    IF(INDEX(_xlpm.unique_symbols, 1, 1)="No data", "No dynamic watchlist movers found",
        _xlfn.LET(
            _xlpm.prices, IFERROR(_xlfn.XLOOKUP(_xlpm.unique_symbols, _xlpm.w_symbols, _xlpm.w_prices, 0, 0, -1), 0),
            _xlpm.pwc, IFERROR(_xlfn.XLOOKUP(_xlpm.unique_symbols, _xlpm.w_symbols, _xlpm.w_pwc, 0, 0, -1), 0),
            _xlpm.pct_change, IFERROR(IF(_xlpm.pwc &gt; 0, (_xlpm.prices - _xlpm.pwc) / _xlpm.pwc, 0), 0),
            _xlpm.hstack_tbl, _xlfn.HSTACK(_xlpm.unique_symbols, _xlpm.pwc, _xlpm.prices, _xlpm.pct_change),
            _xlpm.filtered, _xlfn._xlws.FILTER(_xlpm.hstack_tbl, _xlpm.pct_change &gt; 0, "No data"),
            IF(INDEX(_xlpm.filtered, 1, 1)="No data", "No positive watchlist movers found", _xlfn.TAKE(_xlfn._xlws.SORT(_xlpm.filtered, 4, -1), 10))
        )
    )
)</f>
        <v>WENDT</v>
      </c>
      <c r="K46" s="51">
        <f ca="1"/>
        <v>1306</v>
      </c>
      <c r="L46" s="51">
        <f ca="1"/>
        <v>7681.5</v>
      </c>
      <c r="M46" s="52">
        <f ca="1"/>
        <v>4.8816998468606432</v>
      </c>
    </row>
    <row r="47" spans="1:13">
      <c r="A47" s="50" t="str">
        <f ca="1"/>
        <v>APOLLO</v>
      </c>
      <c r="B47" s="50" t="str">
        <f ca="1"/>
        <v>Satellite</v>
      </c>
      <c r="C47" s="51">
        <f ca="1"/>
        <v>200387.96</v>
      </c>
      <c r="D47" s="51">
        <f ca="1"/>
        <v>227626.4</v>
      </c>
      <c r="E47" s="51">
        <f ca="1"/>
        <v>27238.440000000002</v>
      </c>
      <c r="F47" s="52">
        <f ca="1"/>
        <v>0.13592852584556478</v>
      </c>
      <c r="J47" s="50" t="str">
        <f ca="1"/>
        <v>MTARTECH</v>
      </c>
      <c r="K47" s="51">
        <f ca="1"/>
        <v>1321</v>
      </c>
      <c r="L47" s="51">
        <f ca="1"/>
        <v>7159.5</v>
      </c>
      <c r="M47" s="52">
        <f ca="1"/>
        <v>4.4197577592732777</v>
      </c>
    </row>
    <row r="48" spans="1:13">
      <c r="A48" s="50" t="str">
        <f ca="1"/>
        <v>BALAMINES</v>
      </c>
      <c r="B48" s="50" t="str">
        <f ca="1"/>
        <v>Satellite</v>
      </c>
      <c r="C48" s="51">
        <f ca="1"/>
        <v>298353.2</v>
      </c>
      <c r="D48" s="51">
        <f ca="1"/>
        <v>324216</v>
      </c>
      <c r="E48" s="51">
        <f ca="1"/>
        <v>25862.799999999988</v>
      </c>
      <c r="F48" s="52">
        <f ca="1"/>
        <v>8.6685177165855734E-2</v>
      </c>
      <c r="J48" s="50" t="str">
        <f ca="1"/>
        <v>CERA</v>
      </c>
      <c r="K48" s="51">
        <f ca="1"/>
        <v>1314</v>
      </c>
      <c r="L48" s="51">
        <f ca="1"/>
        <v>6144</v>
      </c>
      <c r="M48" s="52">
        <f ca="1"/>
        <v>3.6757990867579911</v>
      </c>
    </row>
    <row r="49" spans="1:13">
      <c r="A49" s="50" t="str">
        <f ca="1"/>
        <v>ASTRAMICRO</v>
      </c>
      <c r="B49" s="50" t="str">
        <f ca="1"/>
        <v>Satellite</v>
      </c>
      <c r="C49" s="51">
        <f ca="1"/>
        <v>200790.12</v>
      </c>
      <c r="D49" s="51">
        <f ca="1"/>
        <v>213682.4</v>
      </c>
      <c r="E49" s="51">
        <f ca="1"/>
        <v>12892.279999999999</v>
      </c>
      <c r="F49" s="52">
        <f ca="1"/>
        <v>6.4207740898805182E-2</v>
      </c>
      <c r="J49" s="50" t="str">
        <f ca="1"/>
        <v>GRWRHITECH</v>
      </c>
      <c r="K49" s="51">
        <f ca="1"/>
        <v>1352</v>
      </c>
      <c r="L49" s="51">
        <f ca="1"/>
        <v>6131.5</v>
      </c>
      <c r="M49" s="52">
        <f ca="1"/>
        <v>3.5351331360946747</v>
      </c>
    </row>
    <row r="50" spans="1:13">
      <c r="A50" s="50" t="str">
        <f ca="1"/>
        <v>LAURUSLABS</v>
      </c>
      <c r="B50" s="50" t="str">
        <f ca="1"/>
        <v>Satellite</v>
      </c>
      <c r="C50" s="51">
        <f ca="1"/>
        <v>199739.54</v>
      </c>
      <c r="D50" s="51">
        <f ca="1"/>
        <v>199384.9</v>
      </c>
      <c r="E50" s="51">
        <f ca="1"/>
        <v>-354.64000000001397</v>
      </c>
      <c r="F50" s="52">
        <f ca="1"/>
        <v>-1.7755122496027275E-3</v>
      </c>
      <c r="J50" s="50" t="str">
        <f ca="1"/>
        <v>DATAPATTNS</v>
      </c>
      <c r="K50" s="51">
        <f ca="1"/>
        <v>1318</v>
      </c>
      <c r="L50" s="51">
        <f ca="1"/>
        <v>4545.7</v>
      </c>
      <c r="M50" s="52">
        <f ca="1"/>
        <v>2.4489377845220028</v>
      </c>
    </row>
    <row r="51" spans="1:13">
      <c r="A51" s="50" t="str">
        <f ca="1"/>
        <v>EXIDEIND</v>
      </c>
      <c r="B51" s="50" t="str">
        <f ca="1"/>
        <v>Satellite</v>
      </c>
      <c r="C51" s="51">
        <f ca="1"/>
        <v>100215.7</v>
      </c>
      <c r="D51" s="51">
        <f ca="1"/>
        <v>99555.3</v>
      </c>
      <c r="E51" s="51">
        <f ca="1"/>
        <v>-660.39999999999418</v>
      </c>
      <c r="F51" s="52">
        <f ca="1"/>
        <v>-6.5897858319604033E-3</v>
      </c>
      <c r="J51" s="50" t="str">
        <f ca="1"/>
        <v>CENTUM</v>
      </c>
      <c r="K51" s="51">
        <f ca="1"/>
        <v>1341</v>
      </c>
      <c r="L51" s="51">
        <f ca="1"/>
        <v>3582.8</v>
      </c>
      <c r="M51" s="52">
        <f ca="1"/>
        <v>1.671737509321402</v>
      </c>
    </row>
    <row r="52" spans="1:13">
      <c r="A52" s="50" t="str">
        <f ca="1"/>
        <v>AUROPHARMA</v>
      </c>
      <c r="B52" s="50" t="str">
        <f ca="1"/>
        <v>Satellite</v>
      </c>
      <c r="C52" s="51">
        <f ca="1"/>
        <v>49684.800000000003</v>
      </c>
      <c r="D52" s="51">
        <f ca="1"/>
        <v>48602.400000000001</v>
      </c>
      <c r="E52" s="51">
        <f ca="1"/>
        <v>-1082.4000000000015</v>
      </c>
      <c r="F52" s="52">
        <f ca="1"/>
        <v>-2.1785334750265704E-2</v>
      </c>
      <c r="J52" s="50" t="str">
        <f ca="1"/>
        <v>PRIVISCL</v>
      </c>
      <c r="K52" s="51">
        <f ca="1"/>
        <v>1364</v>
      </c>
      <c r="L52" s="51">
        <f ca="1"/>
        <v>3444.3</v>
      </c>
      <c r="M52" s="52">
        <f ca="1"/>
        <v>1.5251466275659826</v>
      </c>
    </row>
    <row r="53" spans="1:13">
      <c r="A53" s="50" t="str">
        <f ca="1"/>
        <v>HSCL</v>
      </c>
      <c r="B53" s="50" t="str">
        <f ca="1"/>
        <v>Satellite</v>
      </c>
      <c r="C53" s="51">
        <f ca="1"/>
        <v>100088.64</v>
      </c>
      <c r="D53" s="51">
        <f ca="1"/>
        <v>97992</v>
      </c>
      <c r="E53" s="51">
        <f ca="1"/>
        <v>-2096.6399999999994</v>
      </c>
      <c r="F53" s="52">
        <f ca="1"/>
        <v>-2.0947831841855374E-2</v>
      </c>
      <c r="J53" s="50" t="str">
        <f ca="1"/>
        <v>STYLAMIND</v>
      </c>
      <c r="K53" s="51">
        <f ca="1"/>
        <v>1357</v>
      </c>
      <c r="L53" s="51">
        <f ca="1"/>
        <v>3179.9</v>
      </c>
      <c r="M53" s="52">
        <f ca="1"/>
        <v>1.3433308769344141</v>
      </c>
    </row>
    <row r="54" spans="1:13">
      <c r="A54" s="50" t="str">
        <f ca="1"/>
        <v>THERMAX</v>
      </c>
      <c r="B54" s="50" t="str">
        <f ca="1"/>
        <v>Satellite</v>
      </c>
      <c r="C54" s="51">
        <f ca="1"/>
        <v>54590.58</v>
      </c>
      <c r="D54" s="51">
        <f ca="1"/>
        <v>51989.3</v>
      </c>
      <c r="E54" s="51">
        <f ca="1"/>
        <v>-2601.2799999999988</v>
      </c>
      <c r="F54" s="52">
        <f ca="1"/>
        <v>-4.7650711899378952E-2</v>
      </c>
      <c r="J54" s="50" t="str">
        <f ca="1"/>
        <v>SHAILY</v>
      </c>
      <c r="K54" s="51">
        <f ca="1"/>
        <v>1350</v>
      </c>
      <c r="L54" s="51">
        <f ca="1"/>
        <v>2972</v>
      </c>
      <c r="M54" s="52">
        <f ca="1"/>
        <v>1.2014814814814814</v>
      </c>
    </row>
    <row r="55" spans="1:13">
      <c r="J55" s="50" t="str">
        <f ca="1"/>
        <v>YASHO</v>
      </c>
      <c r="K55" s="51">
        <f ca="1"/>
        <v>1338</v>
      </c>
      <c r="L55" s="51">
        <f ca="1"/>
        <v>2870.4</v>
      </c>
      <c r="M55" s="52">
        <f ca="1"/>
        <v>1.145291479820628</v>
      </c>
    </row>
    <row r="57" spans="1:13" ht="15.75">
      <c r="A57" s="13" t="s">
        <v>97</v>
      </c>
    </row>
    <row r="58" spans="1:13">
      <c r="A58" s="81" t="s">
        <v>77</v>
      </c>
      <c r="B58" s="81" t="s">
        <v>72</v>
      </c>
      <c r="C58" s="81" t="s">
        <v>54</v>
      </c>
      <c r="D58" s="81" t="s">
        <v>92</v>
      </c>
      <c r="E58" s="81" t="s">
        <v>93</v>
      </c>
      <c r="F58" s="81" t="s">
        <v>94</v>
      </c>
    </row>
    <row r="59" spans="1:13">
      <c r="A59" s="50" t="str" cm="1">
        <f t="array" aca="1" ref="A59:F68" ca="1">_xlfn.LET(
    _xlpm.portfolio, Current_Portfolio!$A$2:$V$1000,
    _xlpm.symbols, INDEX(_xlpm.portfolio, , 1),
    _xlpm.classifications, INDEX(_xlpm.portfolio, , 4),
    _xlpm.invested, INDEX(_xlpm.portfolio, , 12),
    _xlpm.current, INDEX(_xlpm.portfolio, , 20),
    _xlpm.pnl, INDEX(_xlpm.portfolio, , 21),
    _xlpm.pnl_pct, INDEX(_xlpm.portfolio, , 22),
    _xlpm.filtered, _xlfn._xlws.FILTER(_xlfn.HSTACK(_xlpm.symbols, _xlpm.classifications, _xlpm.invested, _xlpm.current, _xlpm.pnl, _xlpm.pnl_pct), (_xlpm.classifications="Core")*(_xlpm.symbols&lt;&gt;""), "No data"),
    IF(INDEX(_xlpm.filtered, 1, 1)="No data", "No dynamic core data found",
        _xlfn.LET(
            _xlpm.sorted, _xlfn._xlws.SORT(_xlpm.filtered, 5, -1),
            _xlpm.n_rows, ROWS(_xlpm.sorted),
            IF(_xlpm.n_rows &lt;= 10, _xlpm.sorted, _xlfn.VSTACK(_xlfn.TAKE(_xlpm.sorted, 5), _xlfn.TAKE(_xlpm.sorted, -5)))
        )
    )
)</f>
        <v>POLYCAB</v>
      </c>
      <c r="B59" s="50" t="str">
        <f ca="1"/>
        <v>Core</v>
      </c>
      <c r="C59" s="51">
        <f ca="1"/>
        <v>414743.02</v>
      </c>
      <c r="D59" s="51">
        <f ca="1"/>
        <v>506362</v>
      </c>
      <c r="E59" s="51">
        <f ca="1"/>
        <v>91618.979999999981</v>
      </c>
      <c r="F59" s="52">
        <f ca="1"/>
        <v>0.22090541752818402</v>
      </c>
    </row>
    <row r="60" spans="1:13">
      <c r="A60" s="50" t="str">
        <f ca="1"/>
        <v>FEDERALBNK</v>
      </c>
      <c r="B60" s="50" t="str">
        <f ca="1"/>
        <v>Core</v>
      </c>
      <c r="C60" s="51">
        <f ca="1"/>
        <v>300289.84000000003</v>
      </c>
      <c r="D60" s="51">
        <f ca="1"/>
        <v>370000.39999999997</v>
      </c>
      <c r="E60" s="51">
        <f ca="1"/>
        <v>69710.559999999939</v>
      </c>
      <c r="F60" s="52">
        <f ca="1"/>
        <v>0.2321442510342672</v>
      </c>
    </row>
    <row r="61" spans="1:13">
      <c r="A61" s="50" t="str">
        <f ca="1"/>
        <v>TDPOWERSYS</v>
      </c>
      <c r="B61" s="50" t="str">
        <f ca="1"/>
        <v>Core</v>
      </c>
      <c r="C61" s="51">
        <f ca="1"/>
        <v>400918</v>
      </c>
      <c r="D61" s="51">
        <f ca="1"/>
        <v>467577.59999999998</v>
      </c>
      <c r="E61" s="51">
        <f ca="1"/>
        <v>66659.599999999977</v>
      </c>
      <c r="F61" s="52">
        <f ca="1"/>
        <v>0.16626741627963817</v>
      </c>
    </row>
    <row r="62" spans="1:13">
      <c r="A62" s="50" t="str">
        <f ca="1"/>
        <v>GVT&amp;D</v>
      </c>
      <c r="B62" s="50" t="str">
        <f ca="1"/>
        <v>Core</v>
      </c>
      <c r="C62" s="51">
        <f ca="1"/>
        <v>299971.98</v>
      </c>
      <c r="D62" s="51">
        <f ca="1"/>
        <v>341032.5</v>
      </c>
      <c r="E62" s="51">
        <f ca="1"/>
        <v>41060.520000000019</v>
      </c>
      <c r="F62" s="52">
        <f ca="1"/>
        <v>0.13688118470265129</v>
      </c>
    </row>
    <row r="63" spans="1:13">
      <c r="A63" s="50" t="str">
        <f ca="1"/>
        <v>BSE</v>
      </c>
      <c r="B63" s="50" t="str">
        <f ca="1"/>
        <v>Core</v>
      </c>
      <c r="C63" s="51">
        <f ca="1"/>
        <v>100770</v>
      </c>
      <c r="D63" s="51">
        <f ca="1"/>
        <v>121233</v>
      </c>
      <c r="E63" s="51">
        <f ca="1"/>
        <v>20463</v>
      </c>
      <c r="F63" s="52">
        <f ca="1"/>
        <v>0.20306638880619232</v>
      </c>
    </row>
    <row r="64" spans="1:13">
      <c r="A64" s="50" t="str">
        <f ca="1"/>
        <v>TIPSMUSIC</v>
      </c>
      <c r="B64" s="50" t="str">
        <f ca="1"/>
        <v>Core</v>
      </c>
      <c r="C64" s="51">
        <f ca="1"/>
        <v>100531.27</v>
      </c>
      <c r="D64" s="51">
        <f ca="1"/>
        <v>96677.75</v>
      </c>
      <c r="E64" s="51">
        <f ca="1"/>
        <v>-3853.5200000000041</v>
      </c>
      <c r="F64" s="52">
        <f ca="1"/>
        <v>-3.8331555942743026E-2</v>
      </c>
    </row>
    <row r="65" spans="1:7">
      <c r="A65" s="50" t="str">
        <f ca="1"/>
        <v>AIAENG</v>
      </c>
      <c r="B65" s="50" t="str">
        <f ca="1"/>
        <v>Core</v>
      </c>
      <c r="C65" s="51">
        <f ca="1"/>
        <v>100632.18</v>
      </c>
      <c r="D65" s="51">
        <f ca="1"/>
        <v>95341.4</v>
      </c>
      <c r="E65" s="51">
        <f ca="1"/>
        <v>-5290.7799999999988</v>
      </c>
      <c r="F65" s="52">
        <f ca="1"/>
        <v>-5.2575428655128001E-2</v>
      </c>
    </row>
    <row r="66" spans="1:7">
      <c r="A66" s="50" t="str">
        <f ca="1"/>
        <v>SBCL</v>
      </c>
      <c r="B66" s="50" t="str">
        <f ca="1"/>
        <v>Core</v>
      </c>
      <c r="C66" s="51">
        <f ca="1"/>
        <v>100614.17</v>
      </c>
      <c r="D66" s="51">
        <f ca="1"/>
        <v>95283.5</v>
      </c>
      <c r="E66" s="51">
        <f ca="1"/>
        <v>-5330.6699999999983</v>
      </c>
      <c r="F66" s="52">
        <f ca="1"/>
        <v>-5.298130472079627E-2</v>
      </c>
    </row>
    <row r="67" spans="1:7">
      <c r="A67" s="50" t="str">
        <f ca="1"/>
        <v>OFSS</v>
      </c>
      <c r="B67" s="50" t="str">
        <f ca="1"/>
        <v>Core</v>
      </c>
      <c r="C67" s="51">
        <f ca="1"/>
        <v>100675.3</v>
      </c>
      <c r="D67" s="51">
        <f ca="1"/>
        <v>93275</v>
      </c>
      <c r="E67" s="51">
        <f ca="1"/>
        <v>-7400.3000000000029</v>
      </c>
      <c r="F67" s="52">
        <f ca="1"/>
        <v>-7.3506609863591199E-2</v>
      </c>
    </row>
    <row r="68" spans="1:7">
      <c r="A68" s="50" t="str">
        <f ca="1"/>
        <v>APLAPOLLO</v>
      </c>
      <c r="B68" s="50" t="str">
        <f ca="1"/>
        <v>Core</v>
      </c>
      <c r="C68" s="51">
        <f ca="1"/>
        <v>201676.79999999999</v>
      </c>
      <c r="D68" s="51">
        <f ca="1"/>
        <v>174489.59999999998</v>
      </c>
      <c r="E68" s="51">
        <f ca="1"/>
        <v>-27187.200000000012</v>
      </c>
      <c r="F68" s="52">
        <f ca="1"/>
        <v>-0.13480578827113487</v>
      </c>
    </row>
    <row r="71" spans="1:7" ht="15.75">
      <c r="A71" s="13" t="s">
        <v>98</v>
      </c>
    </row>
    <row r="72" spans="1:7">
      <c r="A72" s="81" t="s">
        <v>77</v>
      </c>
      <c r="B72" s="81" t="s">
        <v>72</v>
      </c>
      <c r="C72" s="81" t="s">
        <v>79</v>
      </c>
      <c r="D72" s="81" t="s">
        <v>99</v>
      </c>
      <c r="E72" s="81" t="s">
        <v>100</v>
      </c>
      <c r="F72" s="81" t="s">
        <v>101</v>
      </c>
      <c r="G72" s="81" t="s">
        <v>28</v>
      </c>
    </row>
    <row r="73" spans="1:7">
      <c r="A73" s="50" t="str" cm="1">
        <f t="array" aca="1" ref="A73:G82" ca="1">_xlfn.LET(
    _xlpm.portfolio, Current_Portfolio!$A$2:$V$1000,
    _xlpm.symbols, INDEX(_xlpm.portfolio, , 1),
    _xlpm.classifications, INDEX(_xlpm.portfolio, , 4),
    _xlpm.tranches, INDEX(_xlpm.portfolio, , 5),
    _xlpm.sl, INDEX(_xlpm.portfolio, , 9),
    _xlpm.diff_val, INDEX(_xlpm.portfolio, , 10),
    _xlpm.diff_pct, INDEX(_xlpm.portfolio, , 11),
    _xlpm.ltp, INDEX(_xlpm.portfolio, , 13),
    _xlpm.filtered, _xlfn._xlws.FILTER(_xlfn.HSTACK(_xlpm.symbols, _xlpm.classifications, _xlpm.ltp, _xlpm.sl, _xlpm.diff_val, _xlpm.diff_pct, _xlpm.tranches), (_xlpm.classifications&lt;&gt;"Core")*(_xlpm.symbols&lt;&gt;"")*(_xlpm.sl&gt;0), "No data"),
    IF(INDEX(_xlpm.filtered, 1, 1)="No data", "No stocks near stop loss", _xlfn.TAKE(_xlfn._xlws.SORT(_xlpm.filtered, 6, 1), 10))
)</f>
        <v>CGPOWER</v>
      </c>
      <c r="B73" s="50" t="str">
        <f ca="1"/>
        <v>Satellite</v>
      </c>
      <c r="C73" s="51">
        <f ca="1"/>
        <v>914.45</v>
      </c>
      <c r="D73" s="51">
        <f ca="1"/>
        <v>904.76</v>
      </c>
      <c r="E73" s="51">
        <f ca="1"/>
        <v>9.6900000000000546</v>
      </c>
      <c r="F73" s="52">
        <f ca="1"/>
        <v>1.0596533435398386E-2</v>
      </c>
      <c r="G73" s="50" t="str">
        <f ca="1"/>
        <v>Tranch 2</v>
      </c>
    </row>
    <row r="74" spans="1:7">
      <c r="A74" s="50" t="str">
        <f ca="1"/>
        <v>LAURUSLABS</v>
      </c>
      <c r="B74" s="50" t="str">
        <f ca="1"/>
        <v>Satellite</v>
      </c>
      <c r="C74" s="51">
        <f ca="1"/>
        <v>1394.3</v>
      </c>
      <c r="D74" s="51">
        <f ca="1"/>
        <v>1374.09</v>
      </c>
      <c r="E74" s="51">
        <f ca="1"/>
        <v>20.210000000000036</v>
      </c>
      <c r="F74" s="52">
        <f ca="1"/>
        <v>1.449472853761747E-2</v>
      </c>
      <c r="G74" s="50" t="str">
        <f ca="1"/>
        <v>Tranch 2</v>
      </c>
    </row>
    <row r="75" spans="1:7">
      <c r="A75" s="50" t="str">
        <f ca="1"/>
        <v>HINDALCO</v>
      </c>
      <c r="B75" s="50" t="str">
        <f ca="1"/>
        <v>Satellite</v>
      </c>
      <c r="C75" s="51">
        <f ca="1"/>
        <v>1021.6</v>
      </c>
      <c r="D75" s="51">
        <f ca="1"/>
        <v>993.46</v>
      </c>
      <c r="E75" s="51">
        <f ca="1"/>
        <v>28.139999999999986</v>
      </c>
      <c r="F75" s="52">
        <f ca="1"/>
        <v>2.7545027407987456E-2</v>
      </c>
      <c r="G75" s="50" t="str">
        <f ca="1"/>
        <v>Tranch 4</v>
      </c>
    </row>
    <row r="76" spans="1:7">
      <c r="A76" s="50" t="str">
        <f ca="1"/>
        <v>ASTRAMICRO</v>
      </c>
      <c r="B76" s="50" t="str">
        <f ca="1"/>
        <v>Satellite</v>
      </c>
      <c r="C76" s="51">
        <f ca="1"/>
        <v>1443.8</v>
      </c>
      <c r="D76" s="51">
        <f ca="1"/>
        <v>1399.13</v>
      </c>
      <c r="E76" s="51">
        <f ca="1"/>
        <v>44.669999999999845</v>
      </c>
      <c r="F76" s="52">
        <f ca="1"/>
        <v>3.0939188253220562E-2</v>
      </c>
      <c r="G76" s="50" t="str">
        <f ca="1"/>
        <v>Tranch 2</v>
      </c>
    </row>
    <row r="77" spans="1:7">
      <c r="A77" s="50" t="str">
        <f ca="1"/>
        <v>BALAMINES</v>
      </c>
      <c r="B77" s="50" t="str">
        <f ca="1"/>
        <v>Satellite</v>
      </c>
      <c r="C77" s="51">
        <f ca="1"/>
        <v>2133</v>
      </c>
      <c r="D77" s="51">
        <f ca="1"/>
        <v>2021.66</v>
      </c>
      <c r="E77" s="51">
        <f ca="1"/>
        <v>111.33999999999992</v>
      </c>
      <c r="F77" s="52">
        <f ca="1"/>
        <v>5.2198781059540518E-2</v>
      </c>
      <c r="G77" s="50" t="str">
        <f ca="1"/>
        <v>Tranch 3</v>
      </c>
    </row>
    <row r="78" spans="1:7">
      <c r="A78" s="50" t="str">
        <f ca="1"/>
        <v>THERMAX</v>
      </c>
      <c r="B78" s="50" t="str">
        <f ca="1"/>
        <v>Satellite</v>
      </c>
      <c r="C78" s="51">
        <f ca="1"/>
        <v>4726.3</v>
      </c>
      <c r="D78" s="51">
        <f ca="1"/>
        <v>4466.5</v>
      </c>
      <c r="E78" s="51">
        <f ca="1"/>
        <v>259.80000000000018</v>
      </c>
      <c r="F78" s="52">
        <f ca="1"/>
        <v>5.4969003237204613E-2</v>
      </c>
      <c r="G78" s="50" t="str">
        <f ca="1"/>
        <v>Cheat 2</v>
      </c>
    </row>
    <row r="79" spans="1:7">
      <c r="A79" s="50" t="str">
        <f ca="1"/>
        <v>TATATECH</v>
      </c>
      <c r="B79" s="50" t="str">
        <f ca="1"/>
        <v>Satellite</v>
      </c>
      <c r="C79" s="51">
        <f ca="1"/>
        <v>761</v>
      </c>
      <c r="D79" s="51">
        <f ca="1"/>
        <v>702.15</v>
      </c>
      <c r="E79" s="51">
        <f ca="1"/>
        <v>58.850000000000023</v>
      </c>
      <c r="F79" s="52">
        <f ca="1"/>
        <v>7.7332457293035506E-2</v>
      </c>
      <c r="G79" s="50" t="str">
        <f ca="1"/>
        <v>Tranch 2</v>
      </c>
    </row>
    <row r="80" spans="1:7">
      <c r="A80" s="50" t="str">
        <f ca="1"/>
        <v>APOLLO</v>
      </c>
      <c r="B80" s="50" t="str">
        <f ca="1"/>
        <v>Satellite</v>
      </c>
      <c r="C80" s="51">
        <f ca="1"/>
        <v>409.4</v>
      </c>
      <c r="D80" s="51">
        <f ca="1"/>
        <v>376.96</v>
      </c>
      <c r="E80" s="51">
        <f ca="1"/>
        <v>32.44</v>
      </c>
      <c r="F80" s="52">
        <f ca="1"/>
        <v>7.9237909135319973E-2</v>
      </c>
      <c r="G80" s="50" t="str">
        <f ca="1"/>
        <v>Tranch 2</v>
      </c>
    </row>
    <row r="81" spans="1:7">
      <c r="A81" s="50" t="str">
        <f ca="1"/>
        <v>AUROPHARMA</v>
      </c>
      <c r="B81" s="50" t="str">
        <f ca="1"/>
        <v>Satellite</v>
      </c>
      <c r="C81" s="51">
        <f ca="1"/>
        <v>1472.8</v>
      </c>
      <c r="D81" s="51">
        <f ca="1"/>
        <v>1355.04</v>
      </c>
      <c r="E81" s="51">
        <f ca="1"/>
        <v>117.75999999999999</v>
      </c>
      <c r="F81" s="52">
        <f ca="1"/>
        <v>7.9956545355784892E-2</v>
      </c>
      <c r="G81" s="50" t="str">
        <f ca="1"/>
        <v>Cheat 1</v>
      </c>
    </row>
    <row r="82" spans="1:7">
      <c r="A82" s="50" t="str">
        <f ca="1"/>
        <v>HSCL</v>
      </c>
      <c r="B82" s="50" t="str">
        <f ca="1"/>
        <v>Satellite</v>
      </c>
      <c r="C82" s="51">
        <f ca="1"/>
        <v>680.5</v>
      </c>
      <c r="D82" s="51">
        <f ca="1"/>
        <v>625.54999999999995</v>
      </c>
      <c r="E82" s="51">
        <f ca="1"/>
        <v>54.950000000000045</v>
      </c>
      <c r="F82" s="52">
        <f ca="1"/>
        <v>8.0749448934606977E-2</v>
      </c>
      <c r="G82" s="50" t="str">
        <f ca="1"/>
        <v>Tranch 1</v>
      </c>
    </row>
    <row r="85" spans="1:7" ht="15.75">
      <c r="A85" s="13" t="s">
        <v>102</v>
      </c>
    </row>
    <row r="86" spans="1:7">
      <c r="A86" s="81" t="s">
        <v>77</v>
      </c>
      <c r="B86" s="81" t="s">
        <v>103</v>
      </c>
      <c r="C86" s="81" t="s">
        <v>104</v>
      </c>
    </row>
    <row r="87" spans="1:7">
      <c r="A87" s="82" t="s">
        <v>105</v>
      </c>
      <c r="B87" s="21" t="s">
        <v>106</v>
      </c>
      <c r="C87" s="21" t="s">
        <v>107</v>
      </c>
    </row>
    <row r="88" spans="1:7">
      <c r="A88" s="83" t="s">
        <v>108</v>
      </c>
      <c r="B88" s="21" t="s">
        <v>109</v>
      </c>
      <c r="C88" s="21" t="s">
        <v>107</v>
      </c>
    </row>
    <row r="91" spans="1:7" ht="15.75">
      <c r="A91" s="13" t="s">
        <v>110</v>
      </c>
    </row>
    <row r="92" spans="1:7">
      <c r="A92" s="81" t="s">
        <v>111</v>
      </c>
      <c r="B92" s="81" t="s">
        <v>112</v>
      </c>
      <c r="C92" s="81" t="s">
        <v>113</v>
      </c>
      <c r="D92" s="81" t="s">
        <v>114</v>
      </c>
      <c r="E92" s="81" t="s">
        <v>115</v>
      </c>
      <c r="F92" s="81" t="s">
        <v>12</v>
      </c>
      <c r="G92" s="81" t="s">
        <v>116</v>
      </c>
    </row>
    <row r="93" spans="1:7">
      <c r="A93" s="14" t="s">
        <v>117</v>
      </c>
      <c r="B93" s="22" t="s">
        <v>40</v>
      </c>
      <c r="C93" s="23">
        <v>163</v>
      </c>
      <c r="D93" s="24">
        <v>50227.5</v>
      </c>
      <c r="E93" s="24">
        <v>57134.46</v>
      </c>
      <c r="F93" s="25">
        <v>0.13751351351351351</v>
      </c>
      <c r="G93" s="25">
        <v>0.35176884368847561</v>
      </c>
    </row>
    <row r="94" spans="1:7">
      <c r="A94" s="14" t="s">
        <v>118</v>
      </c>
      <c r="B94" s="22" t="s">
        <v>40</v>
      </c>
      <c r="C94" s="23">
        <v>160</v>
      </c>
      <c r="D94" s="24">
        <v>43885.24</v>
      </c>
      <c r="E94" s="24">
        <v>43834</v>
      </c>
      <c r="F94" s="26">
        <v>-1.1675907434937119E-3</v>
      </c>
      <c r="G94" s="26">
        <v>-6.7873787593878626E-3</v>
      </c>
    </row>
    <row r="95" spans="1:7">
      <c r="A95" s="14" t="s">
        <v>119</v>
      </c>
      <c r="B95" s="22" t="s">
        <v>43</v>
      </c>
      <c r="C95" s="23">
        <v>135</v>
      </c>
      <c r="D95" s="24">
        <v>56862.54</v>
      </c>
      <c r="E95" s="24">
        <v>66507</v>
      </c>
      <c r="F95" s="25">
        <v>0.16961008073153261</v>
      </c>
      <c r="G95" s="25">
        <v>0.62497597462021703</v>
      </c>
    </row>
    <row r="96" spans="1:7">
      <c r="A96" s="14" t="s">
        <v>120</v>
      </c>
      <c r="B96" s="22" t="s">
        <v>34</v>
      </c>
      <c r="C96" s="23">
        <v>27</v>
      </c>
      <c r="D96" s="24">
        <v>49684.800000000003</v>
      </c>
      <c r="E96" s="24">
        <v>48602.400000000001</v>
      </c>
      <c r="F96" s="26">
        <v>-2.1785334750265679E-2</v>
      </c>
      <c r="G96" s="26">
        <v>-0.25752105586644941</v>
      </c>
    </row>
    <row r="97" spans="1:8">
      <c r="A97" s="84" t="s">
        <v>121</v>
      </c>
      <c r="B97" s="22" t="s">
        <v>40</v>
      </c>
      <c r="C97" s="23">
        <v>23</v>
      </c>
      <c r="D97" s="24">
        <v>75650.94</v>
      </c>
      <c r="E97" s="24">
        <v>78094.05</v>
      </c>
      <c r="F97" s="25">
        <v>3.2294509493206558E-2</v>
      </c>
      <c r="G97" s="25">
        <v>2.495667181119348</v>
      </c>
    </row>
    <row r="100" spans="1:8" ht="15.75">
      <c r="A100" s="13" t="s">
        <v>122</v>
      </c>
    </row>
    <row r="101" spans="1:8">
      <c r="A101" s="81" t="s">
        <v>111</v>
      </c>
      <c r="B101" s="81" t="s">
        <v>112</v>
      </c>
      <c r="C101" s="81" t="s">
        <v>113</v>
      </c>
      <c r="D101" s="81" t="s">
        <v>114</v>
      </c>
      <c r="E101" s="81" t="s">
        <v>115</v>
      </c>
      <c r="F101" s="81" t="s">
        <v>12</v>
      </c>
      <c r="G101" s="81" t="s">
        <v>116</v>
      </c>
    </row>
    <row r="102" spans="1:8">
      <c r="A102" s="85" t="s">
        <v>123</v>
      </c>
      <c r="B102" s="22" t="s">
        <v>34</v>
      </c>
      <c r="C102" s="23">
        <v>97</v>
      </c>
      <c r="D102" s="24">
        <v>50624.84</v>
      </c>
      <c r="E102" s="24">
        <v>55335.7</v>
      </c>
      <c r="F102" s="25">
        <v>9.3054318788958146E-2</v>
      </c>
      <c r="G102" s="25">
        <v>0.39769448001991659</v>
      </c>
    </row>
    <row r="103" spans="1:8">
      <c r="A103" s="85" t="s">
        <v>124</v>
      </c>
      <c r="B103" s="22" t="s">
        <v>34</v>
      </c>
      <c r="C103" s="23">
        <v>30</v>
      </c>
      <c r="D103" s="24">
        <v>50032</v>
      </c>
      <c r="E103" s="24">
        <v>48686.400000000001</v>
      </c>
      <c r="F103" s="26">
        <v>-2.689478733610489E-2</v>
      </c>
      <c r="G103" s="26">
        <v>-0.28229789384542198</v>
      </c>
    </row>
    <row r="104" spans="1:8">
      <c r="A104" s="83" t="s">
        <v>125</v>
      </c>
      <c r="B104" s="22" t="s">
        <v>40</v>
      </c>
      <c r="C104" s="23">
        <v>13</v>
      </c>
      <c r="D104" s="24">
        <v>78698.759999999995</v>
      </c>
      <c r="E104" s="24">
        <v>76516.800000000003</v>
      </c>
      <c r="F104" s="26">
        <v>-2.7725468609670598E-2</v>
      </c>
      <c r="G104" s="26">
        <v>-0.55605880561627297</v>
      </c>
    </row>
    <row r="105" spans="1:8">
      <c r="A105" s="83" t="s">
        <v>126</v>
      </c>
      <c r="B105" s="22" t="s">
        <v>34</v>
      </c>
      <c r="C105" s="23">
        <v>12</v>
      </c>
      <c r="D105" s="24">
        <v>29016.6</v>
      </c>
      <c r="E105" s="24">
        <v>26831.45</v>
      </c>
      <c r="F105" s="26">
        <v>-7.5306893295561853E-2</v>
      </c>
      <c r="G105" s="26">
        <v>-0.90758106808393313</v>
      </c>
    </row>
    <row r="106" spans="1:8">
      <c r="A106" s="83" t="s">
        <v>127</v>
      </c>
      <c r="B106" s="22" t="s">
        <v>34</v>
      </c>
      <c r="C106" s="23">
        <v>12</v>
      </c>
      <c r="D106" s="24">
        <v>32030.53</v>
      </c>
      <c r="E106" s="24">
        <v>28649.1</v>
      </c>
      <c r="F106" s="26">
        <v>-0.105568968106366</v>
      </c>
      <c r="G106" s="26">
        <v>-0.44841631859829328</v>
      </c>
    </row>
    <row r="109" spans="1:8" ht="15.75">
      <c r="A109" s="13" t="s">
        <v>128</v>
      </c>
    </row>
    <row r="110" spans="1:8">
      <c r="A110" s="81" t="s">
        <v>77</v>
      </c>
      <c r="B110" s="81" t="s">
        <v>72</v>
      </c>
      <c r="C110" s="81" t="s">
        <v>129</v>
      </c>
      <c r="D110" s="81" t="s">
        <v>130</v>
      </c>
      <c r="E110" s="81" t="s">
        <v>11</v>
      </c>
      <c r="F110" s="81" t="s">
        <v>131</v>
      </c>
      <c r="G110" s="81" t="s">
        <v>132</v>
      </c>
      <c r="H110" s="81" t="s">
        <v>133</v>
      </c>
    </row>
    <row r="111" spans="1:8">
      <c r="A111" s="50" t="str" cm="1">
        <f t="array" aca="1" ref="A111:H115" ca="1">_xlfn.LET(
    _xlpm.portfolio, Current_Portfolio!$A$2:$V$1000,
    _xlpm.symbols, INDEX(_xlpm.portfolio, , 1),
    _xlpm.classifications, INDEX(_xlpm.portfolio, , 4),
    _xlpm.invested, INDEX(_xlpm.portfolio, , 12),
    _xlpm.ltp, INDEX(_xlpm.portfolio, , 13),
    _xlpm.pdc, INDEX(_xlpm.portfolio, , 14),
    _xlpm.return_pct, INDEX(_xlpm.portfolio, , 22),
    _xlpm.change_val, _xlpm.ltp - _xlpm.pdc,
    _xlpm.change_pct, IF(_xlpm.pdc &gt; 0, _xlpm.change_val / _xlpm.pdc, 0),
    _xlpm.filtered, _xlfn._xlws.FILTER(_xlfn.HSTACK(_xlpm.symbols, _xlpm.classifications, _xlpm.invested, _xlpm.pdc, _xlpm.ltp, _xlpm.change_val, _xlpm.change_pct, _xlpm.return_pct), (_xlpm.classifications="Satellite")*(_xlpm.symbols&lt;&gt;"")*(_xlpm.ltp&gt;0)*(_xlpm.pdc&gt;0)*(_xlpm.ltp&lt;_xlpm.pdc), "No data"),
    IF(INDEX(_xlpm.filtered, 1, 1)="No data", "No dynamic satellite losers found", _xlfn.TAKE(_xlfn._xlws.SORT(_xlpm.filtered, 7, 1), 10))
)</f>
        <v>NRBBEARING</v>
      </c>
      <c r="B111" s="50" t="str">
        <f ca="1"/>
        <v>Satellite</v>
      </c>
      <c r="C111" s="51">
        <f ca="1"/>
        <v>100538.73</v>
      </c>
      <c r="D111" s="51">
        <f ca="1"/>
        <v>435.7</v>
      </c>
      <c r="E111" s="51">
        <f ca="1"/>
        <v>425.85</v>
      </c>
      <c r="F111" s="51">
        <f ca="1"/>
        <v>-9.8499999999999659</v>
      </c>
      <c r="G111" s="52">
        <f ca="1"/>
        <v>-2.2607298599954018E-2</v>
      </c>
      <c r="H111" s="52">
        <f ca="1"/>
        <v>5.4684597666988764E-2</v>
      </c>
    </row>
    <row r="112" spans="1:8">
      <c r="A112" s="50" t="str">
        <f ca="1"/>
        <v>AJANTPHARM</v>
      </c>
      <c r="B112" s="50" t="str">
        <f ca="1"/>
        <v>Satellite</v>
      </c>
      <c r="C112" s="51">
        <f ca="1"/>
        <v>43885.24</v>
      </c>
      <c r="D112" s="51">
        <f ca="1"/>
        <v>3143.4</v>
      </c>
      <c r="E112" s="51">
        <f ca="1"/>
        <v>3131</v>
      </c>
      <c r="F112" s="51">
        <f ca="1"/>
        <v>-12.400000000000091</v>
      </c>
      <c r="G112" s="52">
        <f ca="1"/>
        <v>-3.9447731755424351E-3</v>
      </c>
      <c r="H112" s="52">
        <f ca="1"/>
        <v>-1.167590743493666E-3</v>
      </c>
    </row>
    <row r="113" spans="1:8">
      <c r="A113" s="50" t="str">
        <f ca="1"/>
        <v>SEAMECLTD</v>
      </c>
      <c r="B113" s="50" t="str">
        <f ca="1"/>
        <v>Satellite</v>
      </c>
      <c r="C113" s="51">
        <f ca="1"/>
        <v>56862.54</v>
      </c>
      <c r="D113" s="51">
        <f ca="1"/>
        <v>1588.5</v>
      </c>
      <c r="E113" s="51">
        <f ca="1"/>
        <v>1583.5</v>
      </c>
      <c r="F113" s="51">
        <f ca="1"/>
        <v>-5</v>
      </c>
      <c r="G113" s="52">
        <f ca="1"/>
        <v>-3.1476235442241107E-3</v>
      </c>
      <c r="H113" s="52">
        <f ca="1"/>
        <v>0.16961008073153255</v>
      </c>
    </row>
    <row r="114" spans="1:8">
      <c r="A114" s="50" t="str">
        <f ca="1"/>
        <v>HINDALCO</v>
      </c>
      <c r="B114" s="50" t="str">
        <f ca="1"/>
        <v>Satellite</v>
      </c>
      <c r="C114" s="51">
        <f ca="1"/>
        <v>306836.40000000002</v>
      </c>
      <c r="D114" s="51">
        <f ca="1"/>
        <v>1024.3</v>
      </c>
      <c r="E114" s="51">
        <f ca="1"/>
        <v>1021.6</v>
      </c>
      <c r="F114" s="51">
        <f ca="1"/>
        <v>-2.6999999999999318</v>
      </c>
      <c r="G114" s="52">
        <f ca="1"/>
        <v>-2.6359465000487473E-3</v>
      </c>
      <c r="H114" s="52">
        <f ca="1"/>
        <v>0.13201693149834887</v>
      </c>
    </row>
    <row r="115" spans="1:8">
      <c r="A115" s="50" t="str">
        <f ca="1"/>
        <v>ZYDUSLIFE</v>
      </c>
      <c r="B115" s="50" t="str">
        <f ca="1"/>
        <v>Satellite</v>
      </c>
      <c r="C115" s="51">
        <f ca="1"/>
        <v>50250.400000000001</v>
      </c>
      <c r="D115" s="51">
        <f ca="1"/>
        <v>1105.9000000000001</v>
      </c>
      <c r="E115" s="51">
        <f ca="1"/>
        <v>1104.7</v>
      </c>
      <c r="F115" s="51">
        <f ca="1"/>
        <v>-1.2000000000000455</v>
      </c>
      <c r="G115" s="52">
        <f ca="1"/>
        <v>-1.0850890677276837E-3</v>
      </c>
      <c r="H115" s="52">
        <f ca="1"/>
        <v>1.1259611863786217E-2</v>
      </c>
    </row>
    <row r="116" spans="1:8">
      <c r="A116" s="50"/>
      <c r="B116" s="50"/>
      <c r="C116" s="51"/>
      <c r="D116" s="51"/>
      <c r="E116" s="51"/>
      <c r="F116" s="51"/>
      <c r="G116" s="52"/>
      <c r="H116" s="52"/>
    </row>
    <row r="117" spans="1:8">
      <c r="A117" s="50"/>
      <c r="B117" s="50"/>
      <c r="C117" s="51"/>
      <c r="D117" s="51"/>
      <c r="E117" s="51"/>
      <c r="F117" s="51"/>
      <c r="G117" s="52"/>
      <c r="H117" s="52"/>
    </row>
    <row r="118" spans="1:8">
      <c r="A118" s="50"/>
      <c r="B118" s="50"/>
      <c r="C118" s="51"/>
      <c r="D118" s="51"/>
      <c r="E118" s="51"/>
      <c r="F118" s="51"/>
      <c r="G118" s="52"/>
      <c r="H118" s="52"/>
    </row>
    <row r="119" spans="1:8">
      <c r="A119" s="50"/>
      <c r="B119" s="50"/>
      <c r="C119" s="51"/>
      <c r="D119" s="51"/>
      <c r="E119" s="51"/>
      <c r="F119" s="51"/>
      <c r="G119" s="52"/>
      <c r="H119" s="52"/>
    </row>
    <row r="120" spans="1:8">
      <c r="A120" s="50"/>
      <c r="B120" s="50"/>
      <c r="C120" s="51"/>
      <c r="D120" s="51"/>
      <c r="E120" s="51"/>
      <c r="F120" s="51"/>
      <c r="G120" s="52"/>
      <c r="H120" s="52"/>
    </row>
    <row r="123" spans="1:8" ht="15.75">
      <c r="A123" s="13" t="s">
        <v>134</v>
      </c>
    </row>
    <row r="124" spans="1:8">
      <c r="A124" s="81" t="s">
        <v>77</v>
      </c>
      <c r="B124" s="81" t="s">
        <v>72</v>
      </c>
      <c r="C124" s="81" t="s">
        <v>129</v>
      </c>
      <c r="D124" s="81" t="s">
        <v>130</v>
      </c>
      <c r="E124" s="81" t="s">
        <v>11</v>
      </c>
      <c r="F124" s="81" t="s">
        <v>131</v>
      </c>
      <c r="G124" s="81" t="s">
        <v>132</v>
      </c>
      <c r="H124" s="81" t="s">
        <v>133</v>
      </c>
    </row>
    <row r="125" spans="1:8">
      <c r="A125" s="50" t="str" cm="1">
        <f t="array" aca="1" ref="A125:H126" ca="1">_xlfn.LET(
    _xlpm.portfolio, Current_Portfolio!$A$2:$V$1000,
    _xlpm.symbols, INDEX(_xlpm.portfolio, , 1),
    _xlpm.classifications, INDEX(_xlpm.portfolio, , 4),
    _xlpm.invested, INDEX(_xlpm.portfolio, , 12),
    _xlpm.ltp, INDEX(_xlpm.portfolio, , 13),
    _xlpm.pdc, INDEX(_xlpm.portfolio, , 14),
    _xlpm.return_pct, INDEX(_xlpm.portfolio, , 22),
    _xlpm.change_val, _xlpm.ltp - _xlpm.pdc,
    _xlpm.change_pct, IF(_xlpm.pdc &gt; 0, _xlpm.change_val / _xlpm.pdc, 0),
    _xlpm.filtered, _xlfn._xlws.FILTER(_xlfn.HSTACK(_xlpm.symbols, _xlpm.classifications, _xlpm.invested, _xlpm.pdc, _xlpm.ltp, _xlpm.change_val, _xlpm.change_pct, _xlpm.return_pct), (_xlpm.classifications="Core")*(_xlpm.symbols&lt;&gt;"")*(_xlpm.ltp&gt;0)*(_xlpm.pdc&gt;0)*(_xlpm.ltp&lt;_xlpm.pdc), "No data"),
    IF(INDEX(_xlpm.filtered, 1, 1)="No data", "No dynamic core losers found", _xlfn.TAKE(_xlfn._xlws.SORT(_xlpm.filtered, 7, 1), 10))
)</f>
        <v>BAJAJ-AUTO</v>
      </c>
      <c r="B125" s="50" t="str">
        <f ca="1"/>
        <v>Core</v>
      </c>
      <c r="C125" s="51">
        <f ca="1"/>
        <v>102943</v>
      </c>
      <c r="D125" s="51">
        <f ca="1"/>
        <v>10114</v>
      </c>
      <c r="E125" s="51">
        <f ca="1"/>
        <v>10063</v>
      </c>
      <c r="F125" s="51">
        <f ca="1"/>
        <v>-51</v>
      </c>
      <c r="G125" s="52">
        <f ca="1"/>
        <v>-5.0425153252916747E-3</v>
      </c>
      <c r="H125" s="52">
        <f ca="1"/>
        <v>-2.2468744839377133E-2</v>
      </c>
    </row>
    <row r="126" spans="1:8">
      <c r="A126" s="50" t="str">
        <f ca="1"/>
        <v>CCL</v>
      </c>
      <c r="B126" s="50" t="str">
        <f ca="1"/>
        <v>Core</v>
      </c>
      <c r="C126" s="51">
        <f ca="1"/>
        <v>50624.84</v>
      </c>
      <c r="D126" s="51">
        <f ca="1"/>
        <v>1133.0999999999999</v>
      </c>
      <c r="E126" s="51">
        <f ca="1"/>
        <v>1129.3</v>
      </c>
      <c r="F126" s="51">
        <f ca="1"/>
        <v>-3.7999999999999545</v>
      </c>
      <c r="G126" s="52">
        <f ca="1"/>
        <v>-3.3536316300414393E-3</v>
      </c>
      <c r="H126" s="52">
        <f ca="1"/>
        <v>9.305431878895816E-2</v>
      </c>
    </row>
    <row r="127" spans="1:8">
      <c r="A127" s="50"/>
      <c r="B127" s="50"/>
      <c r="C127" s="51"/>
      <c r="D127" s="51"/>
      <c r="E127" s="51"/>
      <c r="F127" s="51"/>
      <c r="G127" s="52"/>
      <c r="H127" s="52"/>
    </row>
    <row r="128" spans="1:8">
      <c r="A128" s="50"/>
      <c r="B128" s="50"/>
      <c r="C128" s="51"/>
      <c r="D128" s="51"/>
      <c r="E128" s="51"/>
      <c r="F128" s="51"/>
      <c r="G128" s="52"/>
      <c r="H128" s="52"/>
    </row>
    <row r="129" spans="1:8">
      <c r="A129" s="50"/>
      <c r="B129" s="50"/>
      <c r="C129" s="51"/>
      <c r="D129" s="51"/>
      <c r="E129" s="51"/>
      <c r="F129" s="51"/>
      <c r="G129" s="52"/>
      <c r="H129" s="52"/>
    </row>
    <row r="130" spans="1:8">
      <c r="A130" s="50"/>
      <c r="B130" s="50"/>
      <c r="C130" s="51"/>
      <c r="D130" s="51"/>
      <c r="E130" s="51"/>
      <c r="F130" s="51"/>
      <c r="G130" s="52"/>
      <c r="H130" s="52"/>
    </row>
    <row r="131" spans="1:8">
      <c r="A131" s="50"/>
      <c r="B131" s="50"/>
      <c r="C131" s="51"/>
      <c r="D131" s="51"/>
      <c r="E131" s="51"/>
      <c r="F131" s="51"/>
      <c r="G131" s="52"/>
      <c r="H131" s="52"/>
    </row>
    <row r="132" spans="1:8">
      <c r="A132" s="50"/>
      <c r="B132" s="50"/>
      <c r="C132" s="51"/>
      <c r="D132" s="51"/>
      <c r="E132" s="51"/>
      <c r="F132" s="51"/>
      <c r="G132" s="52"/>
      <c r="H132" s="52"/>
    </row>
    <row r="133" spans="1:8">
      <c r="A133" s="50"/>
      <c r="B133" s="50"/>
      <c r="C133" s="51"/>
      <c r="D133" s="51"/>
      <c r="E133" s="51"/>
      <c r="F133" s="51"/>
      <c r="G133" s="52"/>
      <c r="H133" s="52"/>
    </row>
    <row r="134" spans="1:8">
      <c r="A134" s="50"/>
      <c r="B134" s="50"/>
      <c r="C134" s="51"/>
      <c r="D134" s="51"/>
      <c r="E134" s="51"/>
      <c r="F134" s="51"/>
      <c r="G134" s="52"/>
      <c r="H134" s="52"/>
    </row>
  </sheetData>
  <mergeCells count="2">
    <mergeCell ref="A1:H1"/>
    <mergeCell ref="J1:N1"/>
  </mergeCells>
  <conditionalFormatting sqref="B7:B10">
    <cfRule type="cellIs" dxfId="89" priority="1" operator="greaterThan">
      <formula>0</formula>
    </cfRule>
    <cfRule type="cellIs" dxfId="88" priority="2" operator="lessThan">
      <formula>0</formula>
    </cfRule>
  </conditionalFormatting>
  <conditionalFormatting sqref="D28:F30">
    <cfRule type="cellIs" dxfId="87" priority="5" operator="greaterThan">
      <formula>0</formula>
    </cfRule>
    <cfRule type="cellIs" dxfId="86" priority="6" operator="lessThan">
      <formula>0</formula>
    </cfRule>
  </conditionalFormatting>
  <conditionalFormatting sqref="D19:G23">
    <cfRule type="cellIs" dxfId="85" priority="3" operator="greaterThan">
      <formula>0</formula>
    </cfRule>
    <cfRule type="cellIs" dxfId="84" priority="4" operator="lessThan">
      <formula>0</formula>
    </cfRule>
  </conditionalFormatting>
  <conditionalFormatting sqref="E45:F54">
    <cfRule type="cellIs" dxfId="83" priority="9" operator="greaterThan">
      <formula>0</formula>
    </cfRule>
    <cfRule type="cellIs" dxfId="82" priority="10" operator="lessThan">
      <formula>0</formula>
    </cfRule>
  </conditionalFormatting>
  <conditionalFormatting sqref="E59:F68">
    <cfRule type="cellIs" dxfId="81" priority="11" operator="greaterThan">
      <formula>0</formula>
    </cfRule>
    <cfRule type="cellIs" dxfId="80" priority="12" operator="lessThan">
      <formula>0</formula>
    </cfRule>
  </conditionalFormatting>
  <conditionalFormatting sqref="F73:F82">
    <cfRule type="cellIs" dxfId="79" priority="13" operator="lessThan">
      <formula>0.05</formula>
    </cfRule>
    <cfRule type="cellIs" dxfId="78" priority="14" operator="greaterThan">
      <formula>0.15</formula>
    </cfRule>
  </conditionalFormatting>
  <conditionalFormatting sqref="F35:H40">
    <cfRule type="cellIs" dxfId="77" priority="7" operator="greaterThan">
      <formula>0</formula>
    </cfRule>
    <cfRule type="cellIs" dxfId="76" priority="8" operator="lessThan">
      <formula>0</formula>
    </cfRule>
  </conditionalFormatting>
  <conditionalFormatting sqref="F111:H120">
    <cfRule type="cellIs" dxfId="75" priority="15" operator="greaterThan">
      <formula>0</formula>
    </cfRule>
    <cfRule type="cellIs" dxfId="74" priority="16" operator="lessThan">
      <formula>0</formula>
    </cfRule>
  </conditionalFormatting>
  <conditionalFormatting sqref="F125:H134">
    <cfRule type="cellIs" dxfId="73" priority="17" operator="greaterThan">
      <formula>0</formula>
    </cfRule>
    <cfRule type="cellIs" dxfId="72" priority="18" operator="lessThan">
      <formula>0</formula>
    </cfRule>
  </conditionalFormatting>
  <conditionalFormatting sqref="M5:M6">
    <cfRule type="cellIs" dxfId="71" priority="19" operator="greaterThan">
      <formula>0</formula>
    </cfRule>
    <cfRule type="cellIs" dxfId="70" priority="20" operator="lessThan">
      <formula>0</formula>
    </cfRule>
  </conditionalFormatting>
  <conditionalFormatting sqref="M32:M41">
    <cfRule type="cellIs" dxfId="69" priority="21" operator="greaterThan">
      <formula>0</formula>
    </cfRule>
    <cfRule type="cellIs" dxfId="68" priority="22" operator="lessThan">
      <formula>0</formula>
    </cfRule>
  </conditionalFormatting>
  <conditionalFormatting sqref="M46:M55">
    <cfRule type="cellIs" dxfId="67" priority="23" operator="greaterThan">
      <formula>0</formula>
    </cfRule>
    <cfRule type="cellIs" dxfId="66" priority="24" operator="lessThan">
      <formula>0</formula>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25" stopIfTrue="1" id="{F5DAE31A-F60F-499C-A390-5D88BF0B616D}">
            <xm:f>VLOOKUP($J32, Satellite_Watchlist!$B$2:$C$5000, 2, FALSE)="BLUE"</xm:f>
            <x14:dxf>
              <font>
                <b/>
                <i val="0"/>
                <color rgb="FF1F4E78"/>
              </font>
              <fill>
                <patternFill>
                  <bgColor rgb="FFDDEBF7"/>
                </patternFill>
              </fill>
            </x14:dxf>
          </x14:cfRule>
          <x14:cfRule type="expression" priority="26" stopIfTrue="1" id="{F840F0F3-9A64-42FD-A992-634BA33FC141}">
            <xm:f>VLOOKUP($J32, Satellite_Watchlist!$B$2:$C$5000, 2, FALSE)="ORANGE"</xm:f>
            <x14:dxf>
              <font>
                <b/>
                <i val="0"/>
                <color rgb="FFC65911"/>
              </font>
              <fill>
                <patternFill>
                  <bgColor rgb="FFFCE4D6"/>
                </patternFill>
              </fill>
            </x14:dxf>
          </x14:cfRule>
          <x14:cfRule type="expression" priority="27" stopIfTrue="1" id="{2AC14A92-5D20-4104-8463-83EF8ABAA609}">
            <xm:f>VLOOKUP($J32, Satellite_Watchlist!$B$2:$C$5000, 2, FALSE)="GREEN"</xm:f>
            <x14:dxf>
              <font>
                <b/>
                <i val="0"/>
                <color rgb="FF375623"/>
              </font>
              <fill>
                <patternFill>
                  <bgColor rgb="FFE2EFDA"/>
                </patternFill>
              </fill>
            </x14:dxf>
          </x14:cfRule>
          <x14:cfRule type="expression" priority="28" stopIfTrue="1" id="{B666EA7C-27A6-4BC0-B16F-E395C967ED23}">
            <xm:f>VLOOKUP($J32, Satellite_Watchlist!$B$2:$C$5000, 2, FALSE)="RED"</xm:f>
            <x14:dxf>
              <font>
                <b/>
                <i val="0"/>
                <color rgb="FFA93226"/>
              </font>
              <fill>
                <patternFill>
                  <bgColor rgb="FFFADBD8"/>
                </patternFill>
              </fill>
            </x14:dxf>
          </x14:cfRule>
          <x14:cfRule type="expression" priority="29" stopIfTrue="1" id="{1AB2E493-FD28-48AC-9C9B-6072F1A7792D}">
            <xm:f>VLOOKUP($J32, Satellite_Watchlist!$B$2:$C$5000, 2, FALSE)="PINK"</xm:f>
            <x14:dxf>
              <font>
                <b/>
                <i val="0"/>
                <color rgb="FFA93226"/>
              </font>
              <fill>
                <patternFill>
                  <bgColor rgb="FFFADBD8"/>
                </patternFill>
              </fill>
            </x14:dxf>
          </x14:cfRule>
          <x14:cfRule type="expression" priority="30" stopIfTrue="1" id="{E4051EF3-8969-40A4-B6AD-69B763C4884D}">
            <xm:f>VLOOKUP($J32, Satellite_Watchlist!$B$2:$C$5000, 2, FALSE)="YELLOW"</xm:f>
            <x14:dxf>
              <font>
                <b/>
                <i val="0"/>
                <color rgb="FF7F6000"/>
              </font>
              <fill>
                <patternFill>
                  <bgColor rgb="FFFFF2CC"/>
                </patternFill>
              </fill>
            </x14:dxf>
          </x14:cfRule>
          <x14:cfRule type="expression" priority="31" stopIfTrue="1" id="{18AC6DE9-C820-4360-BD7C-556A558A3ACB}">
            <xm:f>VLOOKUP($J32, Satellite_Watchlist!$B$2:$C$5000, 2, FALSE)="PURPLE"</xm:f>
            <x14:dxf>
              <font>
                <b/>
                <i val="0"/>
                <color rgb="FF60497A"/>
              </font>
              <fill>
                <patternFill>
                  <bgColor rgb="FFE1D5E7"/>
                </patternFill>
              </fill>
            </x14:dxf>
          </x14:cfRule>
          <x14:cfRule type="expression" priority="32" stopIfTrue="1" id="{36F10632-C0EB-4321-9034-53A0CC8DECC2}">
            <xm:f>ISNA(VLOOKUP($J32, Satellite_Watchlist!$B$2:$C$5000, 2, FALSE))</xm:f>
            <x14:dxf>
              <font>
                <b/>
                <i val="0"/>
                <color rgb="FF8B0000"/>
              </font>
            </x14:dxf>
          </x14:cfRule>
          <xm:sqref>J32:J41</xm:sqref>
        </x14:conditionalFormatting>
        <x14:conditionalFormatting xmlns:xm="http://schemas.microsoft.com/office/excel/2006/main">
          <x14:cfRule type="expression" priority="33" stopIfTrue="1" id="{943B09CC-86BC-49F8-A5E5-B24FBB953041}">
            <xm:f>VLOOKUP($J46, Satellite_Watchlist!$B$2:$C$5000, 2, FALSE)="BLUE"</xm:f>
            <x14:dxf>
              <font>
                <b/>
                <i val="0"/>
                <color rgb="FF1F4E78"/>
              </font>
              <fill>
                <patternFill>
                  <bgColor rgb="FFDDEBF7"/>
                </patternFill>
              </fill>
            </x14:dxf>
          </x14:cfRule>
          <x14:cfRule type="expression" priority="34" stopIfTrue="1" id="{605DC5EF-25D7-4AA2-827C-143980B32D48}">
            <xm:f>VLOOKUP($J46, Satellite_Watchlist!$B$2:$C$5000, 2, FALSE)="ORANGE"</xm:f>
            <x14:dxf>
              <font>
                <b/>
                <i val="0"/>
                <color rgb="FFC65911"/>
              </font>
              <fill>
                <patternFill>
                  <bgColor rgb="FFFCE4D6"/>
                </patternFill>
              </fill>
            </x14:dxf>
          </x14:cfRule>
          <x14:cfRule type="expression" priority="35" stopIfTrue="1" id="{B0FB687C-524A-42D3-9582-BA122992928B}">
            <xm:f>VLOOKUP($J46, Satellite_Watchlist!$B$2:$C$5000, 2, FALSE)="GREEN"</xm:f>
            <x14:dxf>
              <font>
                <b/>
                <i val="0"/>
                <color rgb="FF375623"/>
              </font>
              <fill>
                <patternFill>
                  <bgColor rgb="FFE2EFDA"/>
                </patternFill>
              </fill>
            </x14:dxf>
          </x14:cfRule>
          <x14:cfRule type="expression" priority="36" stopIfTrue="1" id="{563DF263-8D9B-48A1-894F-65581F593EF0}">
            <xm:f>VLOOKUP($J46, Satellite_Watchlist!$B$2:$C$5000, 2, FALSE)="RED"</xm:f>
            <x14:dxf>
              <font>
                <b/>
                <i val="0"/>
                <color rgb="FFA93226"/>
              </font>
              <fill>
                <patternFill>
                  <bgColor rgb="FFFADBD8"/>
                </patternFill>
              </fill>
            </x14:dxf>
          </x14:cfRule>
          <x14:cfRule type="expression" priority="37" stopIfTrue="1" id="{52C4410C-1B60-4E21-BFF2-18E393B3E44F}">
            <xm:f>VLOOKUP($J46, Satellite_Watchlist!$B$2:$C$5000, 2, FALSE)="PINK"</xm:f>
            <x14:dxf>
              <font>
                <b/>
                <i val="0"/>
                <color rgb="FFA93226"/>
              </font>
              <fill>
                <patternFill>
                  <bgColor rgb="FFFADBD8"/>
                </patternFill>
              </fill>
            </x14:dxf>
          </x14:cfRule>
          <x14:cfRule type="expression" priority="38" stopIfTrue="1" id="{FBA1D22A-039F-40B3-B3B2-8DD0EF591845}">
            <xm:f>VLOOKUP($J46, Satellite_Watchlist!$B$2:$C$5000, 2, FALSE)="YELLOW"</xm:f>
            <x14:dxf>
              <font>
                <b/>
                <i val="0"/>
                <color rgb="FF7F6000"/>
              </font>
              <fill>
                <patternFill>
                  <bgColor rgb="FFFFF2CC"/>
                </patternFill>
              </fill>
            </x14:dxf>
          </x14:cfRule>
          <x14:cfRule type="expression" priority="39" stopIfTrue="1" id="{C5CC76C5-58A9-428A-B98A-94A3636080EB}">
            <xm:f>VLOOKUP($J46, Satellite_Watchlist!$B$2:$C$5000, 2, FALSE)="PURPLE"</xm:f>
            <x14:dxf>
              <font>
                <b/>
                <i val="0"/>
                <color rgb="FF60497A"/>
              </font>
              <fill>
                <patternFill>
                  <bgColor rgb="FFE1D5E7"/>
                </patternFill>
              </fill>
            </x14:dxf>
          </x14:cfRule>
          <x14:cfRule type="expression" priority="40" stopIfTrue="1" id="{12136020-6C64-4F34-A749-6CC01B55140E}">
            <xm:f>ISNA(VLOOKUP($J46, Satellite_Watchlist!$B$2:$C$5000, 2, FALSE))</xm:f>
            <x14:dxf>
              <font>
                <b/>
                <i val="0"/>
                <color rgb="FF8B0000"/>
              </font>
            </x14:dxf>
          </x14:cfRule>
          <xm:sqref>J46:J55</xm:sqref>
        </x14:conditionalFormatting>
        <x14:conditionalFormatting xmlns:xm="http://schemas.microsoft.com/office/excel/2006/main">
          <x14:cfRule type="expression" priority="41" stopIfTrue="1" id="{8833EA02-DB65-4228-A601-87EE8F29CFD7}">
            <xm:f>VLOOKUP($A45, Satellite_Watchlist!$B$2:$C$5000, 2, FALSE)="BLUE"</xm:f>
            <x14:dxf>
              <font>
                <b/>
                <i val="0"/>
                <color rgb="FF1F4E78"/>
              </font>
              <fill>
                <patternFill>
                  <bgColor rgb="FFDDEBF7"/>
                </patternFill>
              </fill>
            </x14:dxf>
          </x14:cfRule>
          <x14:cfRule type="expression" priority="42" stopIfTrue="1" id="{04962EDA-55E6-44B5-BDAC-82084FBA41F7}">
            <xm:f>VLOOKUP($A45, Satellite_Watchlist!$B$2:$C$5000, 2, FALSE)="ORANGE"</xm:f>
            <x14:dxf>
              <font>
                <b/>
                <i val="0"/>
                <color rgb="FFC65911"/>
              </font>
              <fill>
                <patternFill>
                  <bgColor rgb="FFFCE4D6"/>
                </patternFill>
              </fill>
            </x14:dxf>
          </x14:cfRule>
          <x14:cfRule type="expression" priority="43" stopIfTrue="1" id="{FB2CA4B1-C45F-417E-A0DC-9D9884EA4AF4}">
            <xm:f>VLOOKUP($A45, Satellite_Watchlist!$B$2:$C$5000, 2, FALSE)="GREEN"</xm:f>
            <x14:dxf>
              <font>
                <b/>
                <i val="0"/>
                <color rgb="FF375623"/>
              </font>
              <fill>
                <patternFill>
                  <bgColor rgb="FFE2EFDA"/>
                </patternFill>
              </fill>
            </x14:dxf>
          </x14:cfRule>
          <x14:cfRule type="expression" priority="44" stopIfTrue="1" id="{0997490F-DCC5-4622-B6FC-D22DA56B18C5}">
            <xm:f>VLOOKUP($A45, Satellite_Watchlist!$B$2:$C$5000, 2, FALSE)="RED"</xm:f>
            <x14:dxf>
              <font>
                <b/>
                <i val="0"/>
                <color rgb="FFA93226"/>
              </font>
              <fill>
                <patternFill>
                  <bgColor rgb="FFFADBD8"/>
                </patternFill>
              </fill>
            </x14:dxf>
          </x14:cfRule>
          <x14:cfRule type="expression" priority="45" stopIfTrue="1" id="{2945DD45-57CA-4CF6-A41C-050AAB876319}">
            <xm:f>VLOOKUP($A45, Satellite_Watchlist!$B$2:$C$5000, 2, FALSE)="PINK"</xm:f>
            <x14:dxf>
              <font>
                <b/>
                <i val="0"/>
                <color rgb="FFA93226"/>
              </font>
              <fill>
                <patternFill>
                  <bgColor rgb="FFFADBD8"/>
                </patternFill>
              </fill>
            </x14:dxf>
          </x14:cfRule>
          <x14:cfRule type="expression" priority="46" stopIfTrue="1" id="{D5712F09-FBF0-4FB0-A61C-A0DED48A18D8}">
            <xm:f>VLOOKUP($A45, Satellite_Watchlist!$B$2:$C$5000, 2, FALSE)="YELLOW"</xm:f>
            <x14:dxf>
              <font>
                <b/>
                <i val="0"/>
                <color rgb="FF7F6000"/>
              </font>
              <fill>
                <patternFill>
                  <bgColor rgb="FFFFF2CC"/>
                </patternFill>
              </fill>
            </x14:dxf>
          </x14:cfRule>
          <x14:cfRule type="expression" priority="47" stopIfTrue="1" id="{072323B3-365C-426B-8B01-451761CB9462}">
            <xm:f>VLOOKUP($A45, Satellite_Watchlist!$B$2:$C$5000, 2, FALSE)="PURPLE"</xm:f>
            <x14:dxf>
              <font>
                <b/>
                <i val="0"/>
                <color rgb="FF60497A"/>
              </font>
              <fill>
                <patternFill>
                  <bgColor rgb="FFE1D5E7"/>
                </patternFill>
              </fill>
            </x14:dxf>
          </x14:cfRule>
          <x14:cfRule type="expression" priority="48" stopIfTrue="1" id="{2ED0C8B6-02CA-41C3-8C17-ACFA4FE3B6A6}">
            <xm:f>ISNA(VLOOKUP($A45, Satellite_Watchlist!$B$2:$C$5000, 2, FALSE))</xm:f>
            <x14:dxf>
              <font>
                <b/>
                <i val="0"/>
                <color rgb="FF8B0000"/>
              </font>
            </x14:dxf>
          </x14:cfRule>
          <xm:sqref>A45:A54</xm:sqref>
        </x14:conditionalFormatting>
        <x14:conditionalFormatting xmlns:xm="http://schemas.microsoft.com/office/excel/2006/main">
          <x14:cfRule type="expression" priority="49" stopIfTrue="1" id="{F8F7D52A-FFAE-4192-84B4-02AADA6AF291}">
            <xm:f>VLOOKUP($A59, Core_Watchlist!$B$2:$G$5000, 6, FALSE)="Strong Trend- Green"</xm:f>
            <x14:dxf>
              <font>
                <b/>
                <i val="0"/>
                <color rgb="FFFFFFFF"/>
              </font>
              <fill>
                <patternFill>
                  <bgColor rgb="FF00B050"/>
                </patternFill>
              </fill>
            </x14:dxf>
          </x14:cfRule>
          <x14:cfRule type="expression" priority="50" stopIfTrue="1" id="{7B3888E8-0D62-49C1-843A-5C28FA128417}">
            <xm:f>VLOOKUP($A59, Core_Watchlist!$B$2:$G$5000, 6, FALSE)="Medium Trend"</xm:f>
            <x14:dxf>
              <font>
                <b/>
                <i val="0"/>
                <color rgb="FF000000"/>
              </font>
              <fill>
                <patternFill>
                  <bgColor rgb="FFFFC000"/>
                </patternFill>
              </fill>
            </x14:dxf>
          </x14:cfRule>
          <x14:cfRule type="expression" priority="51" stopIfTrue="1" id="{5CC8298B-55FA-43A7-8D95-09ECB3565500}">
            <xm:f>VLOOKUP($A59, Core_Watchlist!$B$2:$G$5000, 6, FALSE)="Weak Trend- Red"</xm:f>
            <x14:dxf>
              <font>
                <b/>
                <i val="0"/>
                <color rgb="FFFFFFFF"/>
              </font>
              <fill>
                <patternFill>
                  <bgColor rgb="FFDC3939"/>
                </patternFill>
              </fill>
            </x14:dxf>
          </x14:cfRule>
          <x14:cfRule type="expression" priority="52" stopIfTrue="1" id="{3BE6B644-2D98-4732-A3A2-5D3CA6AC9E72}">
            <xm:f>VLOOKUP($A59, Core_Watchlist!$B$2:$G$5000, 6, FALSE)="Core-Weekly"</xm:f>
            <x14:dxf>
              <font>
                <b/>
                <i val="0"/>
                <color rgb="FF000000"/>
              </font>
              <fill>
                <patternFill>
                  <bgColor rgb="FFB1A0C7"/>
                </patternFill>
              </fill>
            </x14:dxf>
          </x14:cfRule>
          <xm:sqref>A59:A68</xm:sqref>
        </x14:conditionalFormatting>
        <x14:conditionalFormatting xmlns:xm="http://schemas.microsoft.com/office/excel/2006/main">
          <x14:cfRule type="expression" priority="53" stopIfTrue="1" id="{C9501A84-4ED4-4D41-B096-1E415BB5E8EF}">
            <xm:f>VLOOKUP($A73, Satellite_Watchlist!$B$2:$C$5000, 2, FALSE)="BLUE"</xm:f>
            <x14:dxf>
              <font>
                <b/>
                <i val="0"/>
                <color rgb="FF1F4E78"/>
              </font>
              <fill>
                <patternFill>
                  <bgColor rgb="FFDDEBF7"/>
                </patternFill>
              </fill>
            </x14:dxf>
          </x14:cfRule>
          <x14:cfRule type="expression" priority="54" stopIfTrue="1" id="{F348AB10-7106-45DC-9C2F-DC883FA1382B}">
            <xm:f>VLOOKUP($A73, Satellite_Watchlist!$B$2:$C$5000, 2, FALSE)="ORANGE"</xm:f>
            <x14:dxf>
              <font>
                <b/>
                <i val="0"/>
                <color rgb="FFC65911"/>
              </font>
              <fill>
                <patternFill>
                  <bgColor rgb="FFFCE4D6"/>
                </patternFill>
              </fill>
            </x14:dxf>
          </x14:cfRule>
          <x14:cfRule type="expression" priority="55" stopIfTrue="1" id="{C6998E6D-F0F0-455D-827A-492F17047724}">
            <xm:f>VLOOKUP($A73, Satellite_Watchlist!$B$2:$C$5000, 2, FALSE)="GREEN"</xm:f>
            <x14:dxf>
              <font>
                <b/>
                <i val="0"/>
                <color rgb="FF375623"/>
              </font>
              <fill>
                <patternFill>
                  <bgColor rgb="FFE2EFDA"/>
                </patternFill>
              </fill>
            </x14:dxf>
          </x14:cfRule>
          <x14:cfRule type="expression" priority="56" stopIfTrue="1" id="{6AD0C4EB-1086-4092-A537-E97DC3900D99}">
            <xm:f>VLOOKUP($A73, Satellite_Watchlist!$B$2:$C$5000, 2, FALSE)="RED"</xm:f>
            <x14:dxf>
              <font>
                <b/>
                <i val="0"/>
                <color rgb="FFA93226"/>
              </font>
              <fill>
                <patternFill>
                  <bgColor rgb="FFFADBD8"/>
                </patternFill>
              </fill>
            </x14:dxf>
          </x14:cfRule>
          <x14:cfRule type="expression" priority="57" stopIfTrue="1" id="{39C4BE54-1949-4BAD-8479-923AA989D739}">
            <xm:f>VLOOKUP($A73, Satellite_Watchlist!$B$2:$C$5000, 2, FALSE)="PINK"</xm:f>
            <x14:dxf>
              <font>
                <b/>
                <i val="0"/>
                <color rgb="FFA93226"/>
              </font>
              <fill>
                <patternFill>
                  <bgColor rgb="FFFADBD8"/>
                </patternFill>
              </fill>
            </x14:dxf>
          </x14:cfRule>
          <x14:cfRule type="expression" priority="58" stopIfTrue="1" id="{F81F995F-CCD3-4121-86F7-81B211A9C808}">
            <xm:f>VLOOKUP($A73, Satellite_Watchlist!$B$2:$C$5000, 2, FALSE)="YELLOW"</xm:f>
            <x14:dxf>
              <font>
                <b/>
                <i val="0"/>
                <color rgb="FF7F6000"/>
              </font>
              <fill>
                <patternFill>
                  <bgColor rgb="FFFFF2CC"/>
                </patternFill>
              </fill>
            </x14:dxf>
          </x14:cfRule>
          <x14:cfRule type="expression" priority="59" stopIfTrue="1" id="{A483B6C7-784E-4E3C-B953-E602D536C5D5}">
            <xm:f>VLOOKUP($A73, Satellite_Watchlist!$B$2:$C$5000, 2, FALSE)="PURPLE"</xm:f>
            <x14:dxf>
              <font>
                <b/>
                <i val="0"/>
                <color rgb="FF60497A"/>
              </font>
              <fill>
                <patternFill>
                  <bgColor rgb="FFE1D5E7"/>
                </patternFill>
              </fill>
            </x14:dxf>
          </x14:cfRule>
          <x14:cfRule type="expression" priority="60" stopIfTrue="1" id="{2132FF7D-05DD-4F2D-B386-653716605C8D}">
            <xm:f>ISNA(VLOOKUP($A73, Satellite_Watchlist!$B$2:$C$5000, 2, FALSE))</xm:f>
            <x14:dxf>
              <font>
                <b/>
                <i val="0"/>
                <color rgb="FF8B0000"/>
              </font>
            </x14:dxf>
          </x14:cfRule>
          <xm:sqref>A73:A82</xm:sqref>
        </x14:conditionalFormatting>
        <x14:conditionalFormatting xmlns:xm="http://schemas.microsoft.com/office/excel/2006/main">
          <x14:cfRule type="expression" priority="61" stopIfTrue="1" id="{46CA4948-B9B0-4F04-B0A5-40CF9D4914EE}">
            <xm:f>VLOOKUP($A111, Satellite_Watchlist!$B$2:$C$5000, 2, FALSE)="BLUE"</xm:f>
            <x14:dxf>
              <font>
                <b/>
                <i val="0"/>
                <color rgb="FF1F4E78"/>
              </font>
              <fill>
                <patternFill>
                  <bgColor rgb="FFDDEBF7"/>
                </patternFill>
              </fill>
            </x14:dxf>
          </x14:cfRule>
          <x14:cfRule type="expression" priority="62" stopIfTrue="1" id="{11EF8BE8-451F-4372-83F3-F5F29BC2EDAC}">
            <xm:f>VLOOKUP($A111, Satellite_Watchlist!$B$2:$C$5000, 2, FALSE)="ORANGE"</xm:f>
            <x14:dxf>
              <font>
                <b/>
                <i val="0"/>
                <color rgb="FFC65911"/>
              </font>
              <fill>
                <patternFill>
                  <bgColor rgb="FFFCE4D6"/>
                </patternFill>
              </fill>
            </x14:dxf>
          </x14:cfRule>
          <x14:cfRule type="expression" priority="63" stopIfTrue="1" id="{1AA9D5F6-7F38-4F51-9B2B-51C7BA65F49B}">
            <xm:f>VLOOKUP($A111, Satellite_Watchlist!$B$2:$C$5000, 2, FALSE)="GREEN"</xm:f>
            <x14:dxf>
              <font>
                <b/>
                <i val="0"/>
                <color rgb="FF375623"/>
              </font>
              <fill>
                <patternFill>
                  <bgColor rgb="FFE2EFDA"/>
                </patternFill>
              </fill>
            </x14:dxf>
          </x14:cfRule>
          <x14:cfRule type="expression" priority="64" stopIfTrue="1" id="{83AA131C-4C43-4FE2-8E98-8F84199FBCF7}">
            <xm:f>VLOOKUP($A111, Satellite_Watchlist!$B$2:$C$5000, 2, FALSE)="RED"</xm:f>
            <x14:dxf>
              <font>
                <b/>
                <i val="0"/>
                <color rgb="FFA93226"/>
              </font>
              <fill>
                <patternFill>
                  <bgColor rgb="FFFADBD8"/>
                </patternFill>
              </fill>
            </x14:dxf>
          </x14:cfRule>
          <x14:cfRule type="expression" priority="65" stopIfTrue="1" id="{99091AA3-2ADB-4753-8511-D43C9A28FE9D}">
            <xm:f>VLOOKUP($A111, Satellite_Watchlist!$B$2:$C$5000, 2, FALSE)="PINK"</xm:f>
            <x14:dxf>
              <font>
                <b/>
                <i val="0"/>
                <color rgb="FFA93226"/>
              </font>
              <fill>
                <patternFill>
                  <bgColor rgb="FFFADBD8"/>
                </patternFill>
              </fill>
            </x14:dxf>
          </x14:cfRule>
          <x14:cfRule type="expression" priority="66" stopIfTrue="1" id="{57706526-1819-46B9-A8B6-43746A4FE944}">
            <xm:f>VLOOKUP($A111, Satellite_Watchlist!$B$2:$C$5000, 2, FALSE)="YELLOW"</xm:f>
            <x14:dxf>
              <font>
                <b/>
                <i val="0"/>
                <color rgb="FF7F6000"/>
              </font>
              <fill>
                <patternFill>
                  <bgColor rgb="FFFFF2CC"/>
                </patternFill>
              </fill>
            </x14:dxf>
          </x14:cfRule>
          <x14:cfRule type="expression" priority="67" stopIfTrue="1" id="{C3528CE9-FEC2-4DF8-B8A9-9FBC2E21CCDC}">
            <xm:f>VLOOKUP($A111, Satellite_Watchlist!$B$2:$C$5000, 2, FALSE)="PURPLE"</xm:f>
            <x14:dxf>
              <font>
                <b/>
                <i val="0"/>
                <color rgb="FF60497A"/>
              </font>
              <fill>
                <patternFill>
                  <bgColor rgb="FFE1D5E7"/>
                </patternFill>
              </fill>
            </x14:dxf>
          </x14:cfRule>
          <x14:cfRule type="expression" priority="68" stopIfTrue="1" id="{53889BF7-EC1A-4623-83EA-616479419E71}">
            <xm:f>ISNA(VLOOKUP($A111, Satellite_Watchlist!$B$2:$C$5000, 2, FALSE))</xm:f>
            <x14:dxf>
              <font>
                <b/>
                <i val="0"/>
                <color rgb="FF8B0000"/>
              </font>
            </x14:dxf>
          </x14:cfRule>
          <xm:sqref>A111:A120</xm:sqref>
        </x14:conditionalFormatting>
        <x14:conditionalFormatting xmlns:xm="http://schemas.microsoft.com/office/excel/2006/main">
          <x14:cfRule type="expression" priority="69" stopIfTrue="1" id="{48E6EEE7-A941-4DF3-A344-9253C1B2E4B9}">
            <xm:f>VLOOKUP($A125, Core_Watchlist!$B$2:$G$5000, 6, FALSE)="Strong Trend- Green"</xm:f>
            <x14:dxf>
              <font>
                <b/>
                <i val="0"/>
                <color rgb="FFFFFFFF"/>
              </font>
              <fill>
                <patternFill>
                  <bgColor rgb="FF00B050"/>
                </patternFill>
              </fill>
            </x14:dxf>
          </x14:cfRule>
          <x14:cfRule type="expression" priority="70" stopIfTrue="1" id="{E107ED41-E6FC-407F-A76E-CCE188D6ED4C}">
            <xm:f>VLOOKUP($A125, Core_Watchlist!$B$2:$G$5000, 6, FALSE)="Medium Trend"</xm:f>
            <x14:dxf>
              <font>
                <b/>
                <i val="0"/>
                <color rgb="FF000000"/>
              </font>
              <fill>
                <patternFill>
                  <bgColor rgb="FFFFC000"/>
                </patternFill>
              </fill>
            </x14:dxf>
          </x14:cfRule>
          <x14:cfRule type="expression" priority="71" stopIfTrue="1" id="{AC89FB16-B7DF-4C1A-8579-C88CEE4FD27D}">
            <xm:f>VLOOKUP($A125, Core_Watchlist!$B$2:$G$5000, 6, FALSE)="Weak Trend- Red"</xm:f>
            <x14:dxf>
              <font>
                <b/>
                <i val="0"/>
                <color rgb="FFFFFFFF"/>
              </font>
              <fill>
                <patternFill>
                  <bgColor rgb="FFDC3939"/>
                </patternFill>
              </fill>
            </x14:dxf>
          </x14:cfRule>
          <x14:cfRule type="expression" priority="72" stopIfTrue="1" id="{7AD2F346-4CBB-478C-AE1F-9F5D327D617C}">
            <xm:f>VLOOKUP($A125, Core_Watchlist!$B$2:$G$5000, 6, FALSE)="Core-Weekly"</xm:f>
            <x14:dxf>
              <font>
                <b/>
                <i val="0"/>
                <color rgb="FF000000"/>
              </font>
              <fill>
                <patternFill>
                  <bgColor rgb="FFB1A0C7"/>
                </patternFill>
              </fill>
            </x14:dxf>
          </x14:cfRule>
          <xm:sqref>A125:A134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4"/>
  <sheetViews>
    <sheetView tabSelected="1" workbookViewId="0">
      <pane ySplit="1" topLeftCell="A2" activePane="bottomLeft" state="frozen"/>
      <selection pane="bottomLeft" activeCell="A2" sqref="A2"/>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27" t="s">
        <v>135</v>
      </c>
      <c r="B1" s="27" t="s">
        <v>136</v>
      </c>
      <c r="C1" s="27" t="s">
        <v>137</v>
      </c>
      <c r="D1" s="27" t="s">
        <v>82</v>
      </c>
      <c r="E1" s="27" t="s">
        <v>138</v>
      </c>
      <c r="F1" s="27" t="s">
        <v>139</v>
      </c>
      <c r="G1" s="27" t="s">
        <v>140</v>
      </c>
      <c r="H1" s="27" t="s">
        <v>141</v>
      </c>
      <c r="I1" s="27" t="s">
        <v>142</v>
      </c>
      <c r="J1" s="27" t="s">
        <v>143</v>
      </c>
    </row>
    <row r="2" spans="1:10">
      <c r="A2" s="28" t="s">
        <v>144</v>
      </c>
      <c r="B2" s="28" t="s">
        <v>75</v>
      </c>
      <c r="C2" s="33" t="s">
        <v>145</v>
      </c>
      <c r="D2" s="30" t="s">
        <v>86</v>
      </c>
      <c r="E2" s="28" t="s">
        <v>75</v>
      </c>
      <c r="F2" s="28" t="s">
        <v>40</v>
      </c>
      <c r="G2" s="32" t="s">
        <v>146</v>
      </c>
      <c r="H2" s="30" t="s">
        <v>147</v>
      </c>
      <c r="I2" s="30" t="s">
        <v>107</v>
      </c>
      <c r="J2" s="30" t="s">
        <v>148</v>
      </c>
    </row>
    <row r="3" spans="1:10">
      <c r="A3" s="28" t="s">
        <v>144</v>
      </c>
      <c r="B3" s="28" t="s">
        <v>75</v>
      </c>
      <c r="C3" s="34" t="s">
        <v>118</v>
      </c>
      <c r="D3" s="30" t="s">
        <v>87</v>
      </c>
      <c r="E3" s="28" t="s">
        <v>75</v>
      </c>
      <c r="F3" s="28" t="s">
        <v>40</v>
      </c>
      <c r="G3" s="32" t="s">
        <v>146</v>
      </c>
      <c r="H3" s="30" t="s">
        <v>149</v>
      </c>
      <c r="I3" s="30" t="s">
        <v>107</v>
      </c>
      <c r="J3" s="30" t="s">
        <v>148</v>
      </c>
    </row>
    <row r="4" spans="1:10">
      <c r="A4" s="28" t="s">
        <v>144</v>
      </c>
      <c r="B4" s="28" t="s">
        <v>75</v>
      </c>
      <c r="C4" s="35" t="s">
        <v>150</v>
      </c>
      <c r="D4" s="30" t="s">
        <v>87</v>
      </c>
      <c r="E4" s="28" t="s">
        <v>75</v>
      </c>
      <c r="F4" s="28" t="s">
        <v>34</v>
      </c>
      <c r="G4" s="32" t="s">
        <v>146</v>
      </c>
      <c r="H4" s="30" t="s">
        <v>151</v>
      </c>
      <c r="I4" s="30" t="s">
        <v>107</v>
      </c>
      <c r="J4" s="30" t="s">
        <v>148</v>
      </c>
    </row>
    <row r="5" spans="1:10">
      <c r="A5" s="28" t="s">
        <v>144</v>
      </c>
      <c r="B5" s="28" t="s">
        <v>75</v>
      </c>
      <c r="C5" s="34" t="s">
        <v>120</v>
      </c>
      <c r="D5" s="30" t="s">
        <v>87</v>
      </c>
      <c r="E5" s="28" t="s">
        <v>75</v>
      </c>
      <c r="F5" s="28" t="s">
        <v>34</v>
      </c>
      <c r="G5" s="32" t="s">
        <v>146</v>
      </c>
      <c r="H5" s="30" t="s">
        <v>152</v>
      </c>
      <c r="I5" s="30" t="s">
        <v>107</v>
      </c>
      <c r="J5" s="30" t="s">
        <v>148</v>
      </c>
    </row>
    <row r="6" spans="1:10">
      <c r="A6" s="28" t="s">
        <v>144</v>
      </c>
      <c r="B6" s="28" t="s">
        <v>75</v>
      </c>
      <c r="C6" s="34" t="s">
        <v>153</v>
      </c>
      <c r="D6" s="30" t="s">
        <v>87</v>
      </c>
      <c r="E6" s="28" t="s">
        <v>75</v>
      </c>
      <c r="F6" s="28" t="s">
        <v>34</v>
      </c>
      <c r="G6" s="32" t="s">
        <v>146</v>
      </c>
      <c r="H6" s="30" t="s">
        <v>154</v>
      </c>
      <c r="I6" s="30" t="s">
        <v>107</v>
      </c>
      <c r="J6" s="30" t="s">
        <v>148</v>
      </c>
    </row>
    <row r="7" spans="1:10">
      <c r="A7" s="28" t="s">
        <v>144</v>
      </c>
      <c r="B7" s="28" t="s">
        <v>75</v>
      </c>
      <c r="C7" s="36" t="s">
        <v>155</v>
      </c>
      <c r="D7" s="30" t="s">
        <v>86</v>
      </c>
      <c r="E7" s="28" t="s">
        <v>75</v>
      </c>
      <c r="F7" s="28" t="s">
        <v>46</v>
      </c>
      <c r="G7" s="32" t="s">
        <v>146</v>
      </c>
      <c r="H7" s="30" t="s">
        <v>156</v>
      </c>
      <c r="I7" s="30" t="s">
        <v>107</v>
      </c>
      <c r="J7" s="30" t="s">
        <v>157</v>
      </c>
    </row>
    <row r="8" spans="1:10" ht="150" customHeight="1">
      <c r="A8" s="28" t="s">
        <v>144</v>
      </c>
      <c r="B8" s="28" t="s">
        <v>75</v>
      </c>
      <c r="C8" s="33" t="s">
        <v>117</v>
      </c>
      <c r="D8" s="30" t="s">
        <v>158</v>
      </c>
      <c r="E8" s="28" t="s">
        <v>75</v>
      </c>
      <c r="F8" s="28" t="s">
        <v>40</v>
      </c>
      <c r="G8" s="36" t="s">
        <v>159</v>
      </c>
      <c r="H8" s="30" t="s">
        <v>160</v>
      </c>
      <c r="I8" s="30" t="s">
        <v>107</v>
      </c>
      <c r="J8" s="31" t="s">
        <v>161</v>
      </c>
    </row>
    <row r="9" spans="1:10" ht="60" customHeight="1">
      <c r="A9" s="28" t="s">
        <v>144</v>
      </c>
      <c r="B9" s="28" t="s">
        <v>75</v>
      </c>
      <c r="C9" s="36" t="s">
        <v>162</v>
      </c>
      <c r="D9" s="30" t="s">
        <v>86</v>
      </c>
      <c r="E9" s="28" t="s">
        <v>75</v>
      </c>
      <c r="F9" s="28" t="s">
        <v>34</v>
      </c>
      <c r="G9" s="36" t="s">
        <v>159</v>
      </c>
      <c r="H9" s="30" t="s">
        <v>163</v>
      </c>
      <c r="I9" s="30" t="s">
        <v>164</v>
      </c>
      <c r="J9" s="31" t="s">
        <v>165</v>
      </c>
    </row>
    <row r="10" spans="1:10" ht="60" customHeight="1">
      <c r="A10" s="28" t="s">
        <v>144</v>
      </c>
      <c r="B10" s="28" t="s">
        <v>75</v>
      </c>
      <c r="C10" s="36" t="s">
        <v>119</v>
      </c>
      <c r="D10" s="30" t="s">
        <v>86</v>
      </c>
      <c r="E10" s="28" t="s">
        <v>75</v>
      </c>
      <c r="F10" s="28" t="s">
        <v>43</v>
      </c>
      <c r="G10" s="36" t="s">
        <v>159</v>
      </c>
      <c r="H10" s="30" t="s">
        <v>166</v>
      </c>
      <c r="I10" s="30" t="s">
        <v>167</v>
      </c>
      <c r="J10" s="31" t="s">
        <v>168</v>
      </c>
    </row>
    <row r="11" spans="1:10">
      <c r="A11" s="28" t="s">
        <v>144</v>
      </c>
      <c r="B11" s="28" t="s">
        <v>75</v>
      </c>
      <c r="C11" s="35" t="s">
        <v>169</v>
      </c>
      <c r="D11" s="30" t="s">
        <v>86</v>
      </c>
      <c r="E11" s="28" t="s">
        <v>75</v>
      </c>
      <c r="F11" s="28" t="s">
        <v>170</v>
      </c>
      <c r="G11" s="36" t="s">
        <v>159</v>
      </c>
      <c r="H11" s="30" t="s">
        <v>171</v>
      </c>
      <c r="I11" s="30" t="s">
        <v>164</v>
      </c>
      <c r="J11" s="30" t="s">
        <v>172</v>
      </c>
    </row>
    <row r="12" spans="1:10">
      <c r="A12" s="28" t="s">
        <v>144</v>
      </c>
      <c r="B12" s="28" t="s">
        <v>75</v>
      </c>
      <c r="C12" s="35" t="s">
        <v>173</v>
      </c>
      <c r="D12" s="30" t="s">
        <v>86</v>
      </c>
      <c r="E12" s="28" t="s">
        <v>75</v>
      </c>
      <c r="F12" s="28" t="s">
        <v>34</v>
      </c>
      <c r="G12" s="36" t="s">
        <v>159</v>
      </c>
      <c r="H12" s="30" t="s">
        <v>174</v>
      </c>
      <c r="I12" s="30" t="s">
        <v>164</v>
      </c>
      <c r="J12" s="30" t="s">
        <v>175</v>
      </c>
    </row>
    <row r="13" spans="1:10">
      <c r="A13" s="28" t="s">
        <v>144</v>
      </c>
      <c r="B13" s="28" t="s">
        <v>75</v>
      </c>
      <c r="C13" s="32" t="s">
        <v>176</v>
      </c>
      <c r="D13" s="30" t="s">
        <v>86</v>
      </c>
      <c r="E13" s="28" t="s">
        <v>75</v>
      </c>
      <c r="F13" s="28" t="s">
        <v>34</v>
      </c>
      <c r="G13" s="36" t="s">
        <v>159</v>
      </c>
      <c r="H13" s="30" t="s">
        <v>177</v>
      </c>
      <c r="I13" s="30" t="s">
        <v>164</v>
      </c>
      <c r="J13" s="30" t="s">
        <v>175</v>
      </c>
    </row>
    <row r="14" spans="1:10">
      <c r="A14" s="28" t="s">
        <v>144</v>
      </c>
      <c r="B14" s="28" t="s">
        <v>75</v>
      </c>
      <c r="C14" s="33" t="s">
        <v>178</v>
      </c>
      <c r="D14" s="30" t="s">
        <v>89</v>
      </c>
      <c r="E14" s="28" t="s">
        <v>75</v>
      </c>
      <c r="F14" s="28" t="s">
        <v>34</v>
      </c>
      <c r="G14" s="36" t="s">
        <v>159</v>
      </c>
      <c r="H14" s="30" t="s">
        <v>179</v>
      </c>
      <c r="I14" s="30" t="s">
        <v>164</v>
      </c>
      <c r="J14" s="30" t="s">
        <v>175</v>
      </c>
    </row>
    <row r="15" spans="1:10">
      <c r="A15" s="28" t="s">
        <v>144</v>
      </c>
      <c r="B15" s="28" t="s">
        <v>75</v>
      </c>
      <c r="C15" s="35" t="s">
        <v>180</v>
      </c>
      <c r="D15" s="30" t="s">
        <v>86</v>
      </c>
      <c r="E15" s="28" t="s">
        <v>75</v>
      </c>
      <c r="F15" s="28" t="s">
        <v>46</v>
      </c>
      <c r="G15" s="36" t="s">
        <v>159</v>
      </c>
      <c r="H15" s="30" t="s">
        <v>181</v>
      </c>
      <c r="I15" s="30" t="s">
        <v>164</v>
      </c>
      <c r="J15" s="30" t="s">
        <v>175</v>
      </c>
    </row>
    <row r="16" spans="1:10">
      <c r="A16" s="28" t="s">
        <v>144</v>
      </c>
      <c r="B16" s="28" t="s">
        <v>75</v>
      </c>
      <c r="C16" s="34" t="s">
        <v>182</v>
      </c>
      <c r="D16" s="30" t="s">
        <v>87</v>
      </c>
      <c r="E16" s="28" t="s">
        <v>75</v>
      </c>
      <c r="F16" s="28" t="s">
        <v>46</v>
      </c>
      <c r="G16" s="36" t="s">
        <v>159</v>
      </c>
      <c r="H16" s="30" t="s">
        <v>183</v>
      </c>
      <c r="I16" s="30" t="s">
        <v>184</v>
      </c>
      <c r="J16" s="30" t="s">
        <v>185</v>
      </c>
    </row>
    <row r="17" spans="1:10">
      <c r="A17" s="28" t="s">
        <v>144</v>
      </c>
      <c r="B17" s="28" t="s">
        <v>75</v>
      </c>
      <c r="C17" s="35" t="s">
        <v>105</v>
      </c>
      <c r="D17" s="30" t="s">
        <v>158</v>
      </c>
      <c r="E17" s="28" t="s">
        <v>75</v>
      </c>
      <c r="F17" s="28" t="s">
        <v>48</v>
      </c>
      <c r="G17" s="36" t="s">
        <v>159</v>
      </c>
      <c r="H17" s="30" t="s">
        <v>186</v>
      </c>
      <c r="I17" s="30"/>
      <c r="J17" s="30"/>
    </row>
    <row r="18" spans="1:10">
      <c r="A18" s="28" t="s">
        <v>144</v>
      </c>
      <c r="B18" s="28" t="s">
        <v>75</v>
      </c>
      <c r="C18" s="33" t="s">
        <v>187</v>
      </c>
      <c r="D18" s="30" t="s">
        <v>86</v>
      </c>
      <c r="E18" s="28" t="s">
        <v>75</v>
      </c>
      <c r="F18" s="28" t="s">
        <v>50</v>
      </c>
      <c r="G18" s="36" t="s">
        <v>159</v>
      </c>
      <c r="H18" s="30" t="s">
        <v>188</v>
      </c>
      <c r="I18" s="30"/>
      <c r="J18" s="30"/>
    </row>
    <row r="19" spans="1:10">
      <c r="A19" s="28" t="s">
        <v>144</v>
      </c>
      <c r="B19" s="28" t="s">
        <v>75</v>
      </c>
      <c r="C19" s="34" t="s">
        <v>189</v>
      </c>
      <c r="D19" s="30"/>
      <c r="E19" s="28" t="s">
        <v>75</v>
      </c>
      <c r="F19" s="28" t="s">
        <v>190</v>
      </c>
      <c r="G19" s="34" t="s">
        <v>191</v>
      </c>
      <c r="H19" s="30" t="s">
        <v>192</v>
      </c>
      <c r="I19" s="30"/>
      <c r="J19" s="30"/>
    </row>
    <row r="20" spans="1:10">
      <c r="A20" s="28" t="s">
        <v>144</v>
      </c>
      <c r="B20" s="28" t="s">
        <v>75</v>
      </c>
      <c r="C20" s="35" t="s">
        <v>193</v>
      </c>
      <c r="D20" s="30"/>
      <c r="E20" s="28" t="s">
        <v>75</v>
      </c>
      <c r="F20" s="28" t="s">
        <v>190</v>
      </c>
      <c r="G20" s="34" t="s">
        <v>191</v>
      </c>
      <c r="H20" s="30" t="s">
        <v>194</v>
      </c>
      <c r="I20" s="30"/>
      <c r="J20" s="30"/>
    </row>
    <row r="21" spans="1:10">
      <c r="A21" s="28" t="s">
        <v>144</v>
      </c>
      <c r="B21" s="28" t="s">
        <v>75</v>
      </c>
      <c r="C21" s="36" t="s">
        <v>195</v>
      </c>
      <c r="D21" s="30"/>
      <c r="E21" s="28" t="s">
        <v>75</v>
      </c>
      <c r="F21" s="28" t="s">
        <v>190</v>
      </c>
      <c r="G21" s="34" t="s">
        <v>191</v>
      </c>
      <c r="H21" s="30" t="s">
        <v>196</v>
      </c>
      <c r="I21" s="30"/>
      <c r="J21" s="30"/>
    </row>
    <row r="22" spans="1:10">
      <c r="A22" s="28" t="s">
        <v>144</v>
      </c>
      <c r="B22" s="28" t="s">
        <v>75</v>
      </c>
      <c r="C22" s="36" t="s">
        <v>197</v>
      </c>
      <c r="D22" s="30"/>
      <c r="E22" s="28" t="s">
        <v>75</v>
      </c>
      <c r="F22" s="28" t="s">
        <v>190</v>
      </c>
      <c r="G22" s="34" t="s">
        <v>191</v>
      </c>
      <c r="H22" s="30" t="s">
        <v>198</v>
      </c>
      <c r="I22" s="30"/>
      <c r="J22" s="30"/>
    </row>
    <row r="23" spans="1:10">
      <c r="A23" s="28" t="s">
        <v>144</v>
      </c>
      <c r="B23" s="28" t="s">
        <v>75</v>
      </c>
      <c r="C23" s="36" t="s">
        <v>199</v>
      </c>
      <c r="D23" s="30"/>
      <c r="E23" s="28" t="s">
        <v>75</v>
      </c>
      <c r="F23" s="28" t="s">
        <v>190</v>
      </c>
      <c r="G23" s="34" t="s">
        <v>191</v>
      </c>
      <c r="H23" s="30" t="s">
        <v>200</v>
      </c>
      <c r="I23" s="30"/>
      <c r="J23" s="30"/>
    </row>
    <row r="24" spans="1:10">
      <c r="A24" s="28" t="s">
        <v>144</v>
      </c>
      <c r="B24" s="28" t="s">
        <v>75</v>
      </c>
      <c r="C24" s="34" t="s">
        <v>201</v>
      </c>
      <c r="D24" s="30"/>
      <c r="E24" s="28" t="s">
        <v>75</v>
      </c>
      <c r="F24" s="28" t="s">
        <v>190</v>
      </c>
      <c r="G24" s="34" t="s">
        <v>191</v>
      </c>
      <c r="H24" s="30" t="s">
        <v>202</v>
      </c>
      <c r="I24" s="30"/>
      <c r="J24" s="30"/>
    </row>
    <row r="25" spans="1:10">
      <c r="A25" s="28" t="s">
        <v>144</v>
      </c>
      <c r="B25" s="28" t="s">
        <v>75</v>
      </c>
      <c r="C25" s="35" t="s">
        <v>203</v>
      </c>
      <c r="D25" s="30"/>
      <c r="E25" s="28" t="s">
        <v>75</v>
      </c>
      <c r="F25" s="28" t="s">
        <v>190</v>
      </c>
      <c r="G25" s="34" t="s">
        <v>191</v>
      </c>
      <c r="H25" s="30" t="s">
        <v>204</v>
      </c>
      <c r="I25" s="30"/>
      <c r="J25" s="30"/>
    </row>
    <row r="26" spans="1:10">
      <c r="A26" s="28" t="s">
        <v>144</v>
      </c>
      <c r="B26" s="28" t="s">
        <v>75</v>
      </c>
      <c r="C26" s="36" t="s">
        <v>205</v>
      </c>
      <c r="D26" s="30"/>
      <c r="E26" s="28" t="s">
        <v>75</v>
      </c>
      <c r="F26" s="28" t="s">
        <v>190</v>
      </c>
      <c r="G26" s="34" t="s">
        <v>191</v>
      </c>
      <c r="H26" s="30" t="s">
        <v>206</v>
      </c>
      <c r="I26" s="30"/>
      <c r="J26" s="30"/>
    </row>
    <row r="27" spans="1:10">
      <c r="A27" s="28" t="s">
        <v>144</v>
      </c>
      <c r="B27" s="28" t="s">
        <v>75</v>
      </c>
      <c r="C27" s="34" t="s">
        <v>207</v>
      </c>
      <c r="D27" s="30"/>
      <c r="E27" s="28" t="s">
        <v>75</v>
      </c>
      <c r="F27" s="28" t="s">
        <v>190</v>
      </c>
      <c r="G27" s="34" t="s">
        <v>191</v>
      </c>
      <c r="H27" s="30" t="s">
        <v>208</v>
      </c>
      <c r="I27" s="30" t="s">
        <v>209</v>
      </c>
      <c r="J27" s="30"/>
    </row>
    <row r="28" spans="1:10">
      <c r="A28" s="29">
        <v>46028</v>
      </c>
      <c r="B28" s="28" t="s">
        <v>75</v>
      </c>
      <c r="C28" s="34" t="s">
        <v>210</v>
      </c>
      <c r="D28" s="30"/>
      <c r="E28" s="28" t="s">
        <v>75</v>
      </c>
      <c r="F28" s="28" t="s">
        <v>190</v>
      </c>
      <c r="G28" s="34" t="s">
        <v>191</v>
      </c>
      <c r="H28" s="30" t="s">
        <v>211</v>
      </c>
      <c r="I28" s="30"/>
      <c r="J28" s="30"/>
    </row>
    <row r="29" spans="1:10">
      <c r="A29" s="29">
        <v>46028</v>
      </c>
      <c r="B29" s="28" t="s">
        <v>75</v>
      </c>
      <c r="C29" s="34" t="s">
        <v>189</v>
      </c>
      <c r="D29" s="30"/>
      <c r="E29" s="28" t="s">
        <v>75</v>
      </c>
      <c r="F29" s="28" t="s">
        <v>190</v>
      </c>
      <c r="G29" s="34" t="s">
        <v>191</v>
      </c>
      <c r="H29" s="30" t="s">
        <v>212</v>
      </c>
      <c r="I29" s="30"/>
      <c r="J29" s="30"/>
    </row>
    <row r="30" spans="1:10">
      <c r="A30" s="29">
        <v>46028</v>
      </c>
      <c r="B30" s="28" t="s">
        <v>75</v>
      </c>
      <c r="C30" s="34" t="s">
        <v>213</v>
      </c>
      <c r="D30" s="30"/>
      <c r="E30" s="28" t="s">
        <v>75</v>
      </c>
      <c r="F30" s="28" t="s">
        <v>190</v>
      </c>
      <c r="G30" s="34" t="s">
        <v>191</v>
      </c>
      <c r="H30" s="30" t="s">
        <v>214</v>
      </c>
      <c r="I30" s="30"/>
      <c r="J30" s="30"/>
    </row>
    <row r="31" spans="1:10">
      <c r="A31" s="29">
        <v>46028</v>
      </c>
      <c r="B31" s="28" t="s">
        <v>75</v>
      </c>
      <c r="C31" s="34" t="s">
        <v>215</v>
      </c>
      <c r="D31" s="30"/>
      <c r="E31" s="28" t="s">
        <v>75</v>
      </c>
      <c r="F31" s="28" t="s">
        <v>190</v>
      </c>
      <c r="G31" s="34" t="s">
        <v>191</v>
      </c>
      <c r="H31" s="30" t="s">
        <v>216</v>
      </c>
      <c r="I31" s="30"/>
      <c r="J31" s="30"/>
    </row>
    <row r="32" spans="1:10">
      <c r="A32" s="29">
        <v>46028</v>
      </c>
      <c r="B32" s="28" t="s">
        <v>75</v>
      </c>
      <c r="C32" s="34" t="s">
        <v>217</v>
      </c>
      <c r="D32" s="30"/>
      <c r="E32" s="28" t="s">
        <v>75</v>
      </c>
      <c r="F32" s="28" t="s">
        <v>190</v>
      </c>
      <c r="G32" s="34" t="s">
        <v>191</v>
      </c>
      <c r="H32" s="30" t="s">
        <v>218</v>
      </c>
      <c r="I32" s="30"/>
      <c r="J32" s="30"/>
    </row>
    <row r="33" spans="1:10">
      <c r="A33" s="29">
        <v>46028</v>
      </c>
      <c r="B33" s="28" t="s">
        <v>75</v>
      </c>
      <c r="C33" s="34" t="s">
        <v>126</v>
      </c>
      <c r="D33" s="30"/>
      <c r="E33" s="28" t="s">
        <v>75</v>
      </c>
      <c r="F33" s="28" t="s">
        <v>190</v>
      </c>
      <c r="G33" s="34" t="s">
        <v>191</v>
      </c>
      <c r="H33" s="30" t="s">
        <v>219</v>
      </c>
      <c r="I33" s="30"/>
      <c r="J33" s="30"/>
    </row>
    <row r="34" spans="1:10">
      <c r="A34" s="29">
        <v>46028</v>
      </c>
      <c r="B34" s="28" t="s">
        <v>75</v>
      </c>
      <c r="C34" s="34" t="s">
        <v>220</v>
      </c>
      <c r="D34" s="30"/>
      <c r="E34" s="28" t="s">
        <v>75</v>
      </c>
      <c r="F34" s="28" t="s">
        <v>190</v>
      </c>
      <c r="G34" s="34" t="s">
        <v>191</v>
      </c>
      <c r="H34" s="30" t="s">
        <v>221</v>
      </c>
      <c r="I34" s="30"/>
      <c r="J34" s="30"/>
    </row>
    <row r="35" spans="1:10">
      <c r="A35" s="29">
        <v>46028</v>
      </c>
      <c r="B35" s="28" t="s">
        <v>75</v>
      </c>
      <c r="C35" s="34" t="s">
        <v>222</v>
      </c>
      <c r="D35" s="30"/>
      <c r="E35" s="28" t="s">
        <v>75</v>
      </c>
      <c r="F35" s="28" t="s">
        <v>190</v>
      </c>
      <c r="G35" s="34" t="s">
        <v>191</v>
      </c>
      <c r="H35" s="30" t="s">
        <v>223</v>
      </c>
      <c r="I35" s="30"/>
      <c r="J35" s="30"/>
    </row>
    <row r="36" spans="1:10">
      <c r="A36" s="29">
        <v>46028</v>
      </c>
      <c r="B36" s="28" t="s">
        <v>75</v>
      </c>
      <c r="C36" s="34" t="s">
        <v>224</v>
      </c>
      <c r="D36" s="30"/>
      <c r="E36" s="28" t="s">
        <v>75</v>
      </c>
      <c r="F36" s="28" t="s">
        <v>190</v>
      </c>
      <c r="G36" s="34" t="s">
        <v>191</v>
      </c>
      <c r="H36" s="30" t="s">
        <v>225</v>
      </c>
      <c r="I36" s="30"/>
      <c r="J36" s="30"/>
    </row>
    <row r="37" spans="1:10">
      <c r="A37" s="29">
        <v>46028</v>
      </c>
      <c r="B37" s="28" t="s">
        <v>75</v>
      </c>
      <c r="C37" s="36" t="s">
        <v>226</v>
      </c>
      <c r="D37" s="30"/>
      <c r="E37" s="28" t="s">
        <v>75</v>
      </c>
      <c r="F37" s="28" t="s">
        <v>190</v>
      </c>
      <c r="G37" s="34" t="s">
        <v>191</v>
      </c>
      <c r="H37" s="30" t="s">
        <v>227</v>
      </c>
      <c r="I37" s="30"/>
      <c r="J37" s="30"/>
    </row>
    <row r="38" spans="1:10">
      <c r="A38" s="29">
        <v>46028</v>
      </c>
      <c r="B38" s="28" t="s">
        <v>75</v>
      </c>
      <c r="C38" s="34" t="s">
        <v>228</v>
      </c>
      <c r="D38" s="30"/>
      <c r="E38" s="28" t="s">
        <v>75</v>
      </c>
      <c r="F38" s="28" t="s">
        <v>190</v>
      </c>
      <c r="G38" s="34" t="s">
        <v>191</v>
      </c>
      <c r="H38" s="30" t="s">
        <v>229</v>
      </c>
      <c r="I38" s="30"/>
      <c r="J38" s="30"/>
    </row>
    <row r="39" spans="1:10">
      <c r="A39" s="29">
        <v>46028</v>
      </c>
      <c r="B39" s="28" t="s">
        <v>75</v>
      </c>
      <c r="C39" s="36" t="s">
        <v>205</v>
      </c>
      <c r="D39" s="30"/>
      <c r="E39" s="28" t="s">
        <v>75</v>
      </c>
      <c r="F39" s="28" t="s">
        <v>190</v>
      </c>
      <c r="G39" s="34" t="s">
        <v>191</v>
      </c>
      <c r="H39" s="30" t="s">
        <v>230</v>
      </c>
      <c r="I39" s="30"/>
      <c r="J39" s="30"/>
    </row>
    <row r="40" spans="1:10">
      <c r="A40" s="29">
        <v>46028</v>
      </c>
      <c r="B40" s="28" t="s">
        <v>75</v>
      </c>
      <c r="C40" s="34" t="s">
        <v>125</v>
      </c>
      <c r="D40" s="30"/>
      <c r="E40" s="28" t="s">
        <v>75</v>
      </c>
      <c r="F40" s="28" t="s">
        <v>190</v>
      </c>
      <c r="G40" s="34" t="s">
        <v>191</v>
      </c>
      <c r="H40" s="30" t="s">
        <v>231</v>
      </c>
      <c r="I40" s="30"/>
      <c r="J40" s="30"/>
    </row>
    <row r="41" spans="1:10">
      <c r="A41" s="29">
        <v>46177</v>
      </c>
      <c r="B41" s="28" t="s">
        <v>75</v>
      </c>
      <c r="C41" s="33" t="s">
        <v>145</v>
      </c>
      <c r="D41" s="30" t="s">
        <v>86</v>
      </c>
      <c r="E41" s="28" t="s">
        <v>75</v>
      </c>
      <c r="F41" s="28" t="s">
        <v>40</v>
      </c>
      <c r="G41" s="32" t="s">
        <v>146</v>
      </c>
      <c r="H41" s="30" t="s">
        <v>232</v>
      </c>
      <c r="I41" s="30"/>
      <c r="J41" s="30"/>
    </row>
    <row r="42" spans="1:10">
      <c r="A42" s="29">
        <v>46177</v>
      </c>
      <c r="B42" s="28" t="s">
        <v>75</v>
      </c>
      <c r="C42" s="34" t="s">
        <v>118</v>
      </c>
      <c r="D42" s="30" t="s">
        <v>87</v>
      </c>
      <c r="E42" s="28" t="s">
        <v>75</v>
      </c>
      <c r="F42" s="28" t="s">
        <v>40</v>
      </c>
      <c r="G42" s="32" t="s">
        <v>146</v>
      </c>
      <c r="H42" s="30" t="s">
        <v>233</v>
      </c>
      <c r="I42" s="30"/>
      <c r="J42" s="30"/>
    </row>
    <row r="43" spans="1:10">
      <c r="A43" s="29">
        <v>46177</v>
      </c>
      <c r="B43" s="28" t="s">
        <v>75</v>
      </c>
      <c r="C43" s="34" t="s">
        <v>120</v>
      </c>
      <c r="D43" s="30" t="s">
        <v>87</v>
      </c>
      <c r="E43" s="28" t="s">
        <v>75</v>
      </c>
      <c r="F43" s="28" t="s">
        <v>34</v>
      </c>
      <c r="G43" s="32" t="s">
        <v>146</v>
      </c>
      <c r="H43" s="30" t="s">
        <v>234</v>
      </c>
      <c r="I43" s="30"/>
      <c r="J43" s="30"/>
    </row>
    <row r="44" spans="1:10">
      <c r="A44" s="29">
        <v>46177</v>
      </c>
      <c r="B44" s="28" t="s">
        <v>75</v>
      </c>
      <c r="C44" s="34" t="s">
        <v>153</v>
      </c>
      <c r="D44" s="30" t="s">
        <v>87</v>
      </c>
      <c r="E44" s="28" t="s">
        <v>75</v>
      </c>
      <c r="F44" s="28" t="s">
        <v>34</v>
      </c>
      <c r="G44" s="32" t="s">
        <v>146</v>
      </c>
      <c r="H44" s="30" t="s">
        <v>235</v>
      </c>
      <c r="I44" s="30"/>
      <c r="J44" s="30"/>
    </row>
    <row r="45" spans="1:10">
      <c r="A45" s="29">
        <v>46177</v>
      </c>
      <c r="B45" s="28" t="s">
        <v>75</v>
      </c>
      <c r="C45" s="36" t="s">
        <v>236</v>
      </c>
      <c r="D45" s="30" t="s">
        <v>86</v>
      </c>
      <c r="E45" s="28" t="s">
        <v>75</v>
      </c>
      <c r="F45" s="28" t="s">
        <v>40</v>
      </c>
      <c r="G45" s="32" t="s">
        <v>146</v>
      </c>
      <c r="H45" s="30" t="s">
        <v>237</v>
      </c>
      <c r="I45" s="30"/>
      <c r="J45" s="30"/>
    </row>
    <row r="46" spans="1:10">
      <c r="A46" s="29">
        <v>46177</v>
      </c>
      <c r="B46" s="28" t="s">
        <v>75</v>
      </c>
      <c r="C46" s="35" t="s">
        <v>169</v>
      </c>
      <c r="D46" s="30" t="s">
        <v>86</v>
      </c>
      <c r="E46" s="28" t="s">
        <v>75</v>
      </c>
      <c r="F46" s="28" t="s">
        <v>48</v>
      </c>
      <c r="G46" s="32" t="s">
        <v>146</v>
      </c>
      <c r="H46" s="30" t="s">
        <v>156</v>
      </c>
      <c r="I46" s="30"/>
      <c r="J46" s="30"/>
    </row>
    <row r="47" spans="1:10">
      <c r="A47" s="29">
        <v>46177</v>
      </c>
      <c r="B47" s="28" t="s">
        <v>75</v>
      </c>
      <c r="C47" s="33" t="s">
        <v>117</v>
      </c>
      <c r="D47" s="30" t="s">
        <v>158</v>
      </c>
      <c r="E47" s="28" t="s">
        <v>75</v>
      </c>
      <c r="F47" s="28" t="s">
        <v>40</v>
      </c>
      <c r="G47" s="36" t="s">
        <v>159</v>
      </c>
      <c r="H47" s="30" t="s">
        <v>238</v>
      </c>
      <c r="I47" s="30"/>
      <c r="J47" s="30"/>
    </row>
    <row r="48" spans="1:10">
      <c r="A48" s="29">
        <v>46177</v>
      </c>
      <c r="B48" s="28" t="s">
        <v>75</v>
      </c>
      <c r="C48" s="36" t="s">
        <v>119</v>
      </c>
      <c r="D48" s="30" t="s">
        <v>86</v>
      </c>
      <c r="E48" s="28" t="s">
        <v>75</v>
      </c>
      <c r="F48" s="28" t="s">
        <v>43</v>
      </c>
      <c r="G48" s="36" t="s">
        <v>159</v>
      </c>
      <c r="H48" s="30" t="s">
        <v>239</v>
      </c>
      <c r="I48" s="30"/>
      <c r="J48" s="30"/>
    </row>
    <row r="49" spans="1:10">
      <c r="A49" s="29">
        <v>46177</v>
      </c>
      <c r="B49" s="28" t="s">
        <v>75</v>
      </c>
      <c r="C49" s="34" t="s">
        <v>217</v>
      </c>
      <c r="D49" s="30" t="s">
        <v>86</v>
      </c>
      <c r="E49" s="28" t="s">
        <v>75</v>
      </c>
      <c r="F49" s="28" t="s">
        <v>34</v>
      </c>
      <c r="G49" s="36" t="s">
        <v>159</v>
      </c>
      <c r="H49" s="30" t="s">
        <v>240</v>
      </c>
      <c r="I49" s="30"/>
      <c r="J49" s="30"/>
    </row>
    <row r="50" spans="1:10">
      <c r="A50" s="29">
        <v>46177</v>
      </c>
      <c r="B50" s="28" t="s">
        <v>75</v>
      </c>
      <c r="C50" s="36" t="s">
        <v>226</v>
      </c>
      <c r="D50" s="30" t="s">
        <v>89</v>
      </c>
      <c r="E50" s="28" t="s">
        <v>75</v>
      </c>
      <c r="F50" s="28" t="s">
        <v>34</v>
      </c>
      <c r="G50" s="36" t="s">
        <v>159</v>
      </c>
      <c r="H50" s="30" t="s">
        <v>241</v>
      </c>
      <c r="I50" s="30"/>
      <c r="J50" s="30"/>
    </row>
    <row r="51" spans="1:10">
      <c r="A51" s="29">
        <v>46177</v>
      </c>
      <c r="B51" s="28" t="s">
        <v>75</v>
      </c>
      <c r="C51" s="34" t="s">
        <v>228</v>
      </c>
      <c r="D51" s="30" t="s">
        <v>86</v>
      </c>
      <c r="E51" s="28" t="s">
        <v>75</v>
      </c>
      <c r="F51" s="28" t="s">
        <v>34</v>
      </c>
      <c r="G51" s="36" t="s">
        <v>159</v>
      </c>
      <c r="H51" s="30" t="s">
        <v>242</v>
      </c>
      <c r="I51" s="30"/>
      <c r="J51" s="30"/>
    </row>
    <row r="52" spans="1:10">
      <c r="A52" s="29">
        <v>46177</v>
      </c>
      <c r="B52" s="28" t="s">
        <v>75</v>
      </c>
      <c r="C52" s="32" t="s">
        <v>176</v>
      </c>
      <c r="D52" s="30" t="s">
        <v>86</v>
      </c>
      <c r="E52" s="28" t="s">
        <v>75</v>
      </c>
      <c r="F52" s="28" t="s">
        <v>46</v>
      </c>
      <c r="G52" s="36" t="s">
        <v>159</v>
      </c>
      <c r="H52" s="30" t="s">
        <v>243</v>
      </c>
      <c r="I52" s="30"/>
      <c r="J52" s="30"/>
    </row>
    <row r="53" spans="1:10">
      <c r="A53" s="29">
        <v>46177</v>
      </c>
      <c r="B53" s="28" t="s">
        <v>75</v>
      </c>
      <c r="C53" s="35" t="s">
        <v>180</v>
      </c>
      <c r="D53" s="30" t="s">
        <v>86</v>
      </c>
      <c r="E53" s="28" t="s">
        <v>75</v>
      </c>
      <c r="F53" s="28" t="s">
        <v>48</v>
      </c>
      <c r="G53" s="36" t="s">
        <v>159</v>
      </c>
      <c r="H53" s="30" t="s">
        <v>244</v>
      </c>
      <c r="I53" s="30"/>
      <c r="J53" s="30"/>
    </row>
    <row r="54" spans="1:10">
      <c r="A54" s="29">
        <v>46177</v>
      </c>
      <c r="B54" s="28" t="s">
        <v>75</v>
      </c>
      <c r="C54" s="34" t="s">
        <v>182</v>
      </c>
      <c r="D54" s="30" t="s">
        <v>87</v>
      </c>
      <c r="E54" s="28" t="s">
        <v>75</v>
      </c>
      <c r="F54" s="28" t="s">
        <v>46</v>
      </c>
      <c r="G54" s="36" t="s">
        <v>159</v>
      </c>
      <c r="H54" s="30" t="s">
        <v>245</v>
      </c>
      <c r="I54" s="30"/>
      <c r="J54" s="30"/>
    </row>
    <row r="55" spans="1:10">
      <c r="A55" s="29">
        <v>46177</v>
      </c>
      <c r="B55" s="28" t="s">
        <v>75</v>
      </c>
      <c r="C55" s="35" t="s">
        <v>105</v>
      </c>
      <c r="D55" s="30" t="s">
        <v>158</v>
      </c>
      <c r="E55" s="28" t="s">
        <v>75</v>
      </c>
      <c r="F55" s="28" t="s">
        <v>48</v>
      </c>
      <c r="G55" s="36" t="s">
        <v>159</v>
      </c>
      <c r="H55" s="30" t="s">
        <v>246</v>
      </c>
      <c r="I55" s="30"/>
      <c r="J55" s="30"/>
    </row>
    <row r="56" spans="1:10">
      <c r="A56" s="29">
        <v>46177</v>
      </c>
      <c r="B56" s="28" t="s">
        <v>75</v>
      </c>
      <c r="C56" s="35" t="s">
        <v>150</v>
      </c>
      <c r="D56" s="30" t="s">
        <v>87</v>
      </c>
      <c r="E56" s="28" t="s">
        <v>75</v>
      </c>
      <c r="F56" s="28" t="s">
        <v>46</v>
      </c>
      <c r="G56" s="36" t="s">
        <v>159</v>
      </c>
      <c r="H56" s="30" t="s">
        <v>247</v>
      </c>
      <c r="I56" s="30"/>
      <c r="J56" s="30"/>
    </row>
    <row r="57" spans="1:10">
      <c r="A57" s="29">
        <v>46177</v>
      </c>
      <c r="B57" s="28" t="s">
        <v>75</v>
      </c>
      <c r="C57" s="33" t="s">
        <v>178</v>
      </c>
      <c r="D57" s="30" t="s">
        <v>89</v>
      </c>
      <c r="E57" s="28" t="s">
        <v>75</v>
      </c>
      <c r="F57" s="28" t="s">
        <v>46</v>
      </c>
      <c r="G57" s="36" t="s">
        <v>159</v>
      </c>
      <c r="H57" s="30" t="s">
        <v>248</v>
      </c>
      <c r="I57" s="30"/>
      <c r="J57" s="30"/>
    </row>
    <row r="58" spans="1:10">
      <c r="A58" s="29">
        <v>46178</v>
      </c>
      <c r="B58" s="28" t="s">
        <v>75</v>
      </c>
      <c r="C58" s="34" t="s">
        <v>189</v>
      </c>
      <c r="D58" s="30"/>
      <c r="E58" s="28" t="s">
        <v>75</v>
      </c>
      <c r="F58" s="28" t="s">
        <v>190</v>
      </c>
      <c r="G58" s="34" t="s">
        <v>191</v>
      </c>
      <c r="H58" s="30" t="s">
        <v>249</v>
      </c>
      <c r="I58" s="30"/>
      <c r="J58" s="30"/>
    </row>
    <row r="59" spans="1:10">
      <c r="A59" s="29">
        <v>46178</v>
      </c>
      <c r="B59" s="28" t="s">
        <v>75</v>
      </c>
      <c r="C59" s="34" t="s">
        <v>213</v>
      </c>
      <c r="D59" s="30"/>
      <c r="E59" s="28" t="s">
        <v>75</v>
      </c>
      <c r="F59" s="28" t="s">
        <v>190</v>
      </c>
      <c r="G59" s="34" t="s">
        <v>191</v>
      </c>
      <c r="H59" s="30" t="s">
        <v>250</v>
      </c>
      <c r="I59" s="30"/>
      <c r="J59" s="30"/>
    </row>
    <row r="60" spans="1:10">
      <c r="A60" s="29">
        <v>46178</v>
      </c>
      <c r="B60" s="28" t="s">
        <v>75</v>
      </c>
      <c r="C60" s="34" t="s">
        <v>215</v>
      </c>
      <c r="D60" s="30"/>
      <c r="E60" s="28" t="s">
        <v>75</v>
      </c>
      <c r="F60" s="28" t="s">
        <v>190</v>
      </c>
      <c r="G60" s="34" t="s">
        <v>191</v>
      </c>
      <c r="H60" s="30" t="s">
        <v>251</v>
      </c>
      <c r="I60" s="30"/>
      <c r="J60" s="30"/>
    </row>
    <row r="61" spans="1:10">
      <c r="A61" s="29">
        <v>46178</v>
      </c>
      <c r="B61" s="28" t="s">
        <v>75</v>
      </c>
      <c r="C61" s="34" t="s">
        <v>252</v>
      </c>
      <c r="D61" s="30"/>
      <c r="E61" s="28" t="s">
        <v>75</v>
      </c>
      <c r="F61" s="28" t="s">
        <v>190</v>
      </c>
      <c r="G61" s="34" t="s">
        <v>191</v>
      </c>
      <c r="H61" s="30" t="s">
        <v>253</v>
      </c>
      <c r="I61" s="30"/>
      <c r="J61" s="30"/>
    </row>
    <row r="62" spans="1:10">
      <c r="A62" s="29">
        <v>46178</v>
      </c>
      <c r="B62" s="28" t="s">
        <v>75</v>
      </c>
      <c r="C62" s="34" t="s">
        <v>254</v>
      </c>
      <c r="D62" s="30"/>
      <c r="E62" s="28" t="s">
        <v>75</v>
      </c>
      <c r="F62" s="28" t="s">
        <v>190</v>
      </c>
      <c r="G62" s="34" t="s">
        <v>191</v>
      </c>
      <c r="H62" s="30" t="s">
        <v>255</v>
      </c>
      <c r="I62" s="30"/>
      <c r="J62" s="30"/>
    </row>
    <row r="63" spans="1:10">
      <c r="A63" s="29">
        <v>46178</v>
      </c>
      <c r="B63" s="28" t="s">
        <v>75</v>
      </c>
      <c r="C63" s="36" t="s">
        <v>256</v>
      </c>
      <c r="D63" s="30"/>
      <c r="E63" s="28" t="s">
        <v>75</v>
      </c>
      <c r="F63" s="28" t="s">
        <v>190</v>
      </c>
      <c r="G63" s="34" t="s">
        <v>191</v>
      </c>
      <c r="H63" s="30" t="s">
        <v>257</v>
      </c>
      <c r="I63" s="30"/>
      <c r="J63" s="30"/>
    </row>
    <row r="64" spans="1:10">
      <c r="A64" s="29">
        <v>46178</v>
      </c>
      <c r="B64" s="28" t="s">
        <v>75</v>
      </c>
      <c r="C64" s="34" t="s">
        <v>224</v>
      </c>
      <c r="D64" s="30"/>
      <c r="E64" s="28" t="s">
        <v>75</v>
      </c>
      <c r="F64" s="28" t="s">
        <v>190</v>
      </c>
      <c r="G64" s="34" t="s">
        <v>191</v>
      </c>
      <c r="H64" s="30" t="s">
        <v>258</v>
      </c>
      <c r="I64" s="30"/>
      <c r="J64" s="3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24"/>
  <sheetViews>
    <sheetView workbookViewId="0">
      <pane ySplit="1" topLeftCell="A692" activePane="bottomLeft" state="frozen"/>
      <selection pane="bottomLeft" activeCell="B2" sqref="B2:B724"/>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72" t="s">
        <v>259</v>
      </c>
      <c r="B1" s="72" t="s">
        <v>77</v>
      </c>
      <c r="C1" s="72" t="s">
        <v>260</v>
      </c>
      <c r="D1" s="72" t="s">
        <v>261</v>
      </c>
      <c r="E1" s="72" t="s">
        <v>262</v>
      </c>
      <c r="F1" s="72" t="s">
        <v>263</v>
      </c>
      <c r="G1" s="72" t="s">
        <v>264</v>
      </c>
      <c r="H1" s="72" t="s">
        <v>265</v>
      </c>
      <c r="I1" s="72" t="s">
        <v>266</v>
      </c>
      <c r="J1" s="72" t="s">
        <v>267</v>
      </c>
      <c r="K1" s="72" t="s">
        <v>96</v>
      </c>
      <c r="L1" s="72" t="s">
        <v>268</v>
      </c>
      <c r="M1" s="72" t="s">
        <v>269</v>
      </c>
      <c r="N1" s="72" t="s">
        <v>270</v>
      </c>
      <c r="O1" s="72" t="s">
        <v>271</v>
      </c>
    </row>
    <row r="2" spans="1:15">
      <c r="A2" s="60"/>
      <c r="B2" s="60" t="s">
        <v>272</v>
      </c>
      <c r="C2" s="60" t="s">
        <v>273</v>
      </c>
      <c r="D2" s="60" t="s">
        <v>274</v>
      </c>
      <c r="E2" s="60" t="s">
        <v>275</v>
      </c>
      <c r="F2" s="60" t="s">
        <v>276</v>
      </c>
      <c r="G2" s="60" t="s">
        <v>276</v>
      </c>
      <c r="H2" s="60" t="s">
        <v>277</v>
      </c>
      <c r="I2" s="60" t="b">
        <v>0</v>
      </c>
      <c r="J2" s="60">
        <v>13</v>
      </c>
      <c r="K2" s="60">
        <v>7343</v>
      </c>
      <c r="L2" s="61">
        <v>405271862</v>
      </c>
      <c r="M2" s="61">
        <v>1200000047930385</v>
      </c>
      <c r="N2" s="60" t="s">
        <v>278</v>
      </c>
      <c r="O2" s="60"/>
    </row>
    <row r="3" spans="1:15">
      <c r="A3" s="60"/>
      <c r="B3" s="60" t="s">
        <v>279</v>
      </c>
      <c r="C3" s="60" t="s">
        <v>280</v>
      </c>
      <c r="D3" s="60" t="s">
        <v>274</v>
      </c>
      <c r="E3" s="60" t="s">
        <v>275</v>
      </c>
      <c r="F3" s="60" t="s">
        <v>276</v>
      </c>
      <c r="G3" s="60" t="s">
        <v>276</v>
      </c>
      <c r="H3" s="60" t="s">
        <v>277</v>
      </c>
      <c r="I3" s="60" t="b">
        <v>0</v>
      </c>
      <c r="J3" s="60">
        <v>64</v>
      </c>
      <c r="K3" s="60">
        <v>1548.9</v>
      </c>
      <c r="L3" s="61">
        <v>3877073</v>
      </c>
      <c r="M3" s="61">
        <v>1000000036265725</v>
      </c>
      <c r="N3" s="60" t="s">
        <v>281</v>
      </c>
      <c r="O3" s="60"/>
    </row>
    <row r="4" spans="1:15">
      <c r="A4" s="60"/>
      <c r="B4" s="60" t="s">
        <v>127</v>
      </c>
      <c r="C4" s="60" t="s">
        <v>282</v>
      </c>
      <c r="D4" s="60" t="s">
        <v>274</v>
      </c>
      <c r="E4" s="60" t="s">
        <v>275</v>
      </c>
      <c r="F4" s="60" t="s">
        <v>276</v>
      </c>
      <c r="G4" s="60" t="s">
        <v>276</v>
      </c>
      <c r="H4" s="60" t="s">
        <v>277</v>
      </c>
      <c r="I4" s="60" t="b">
        <v>0</v>
      </c>
      <c r="J4" s="60">
        <v>7</v>
      </c>
      <c r="K4" s="60">
        <v>844.15</v>
      </c>
      <c r="L4" s="61">
        <v>205329072</v>
      </c>
      <c r="M4" s="61">
        <v>1100000044831951</v>
      </c>
      <c r="N4" s="60" t="s">
        <v>283</v>
      </c>
      <c r="O4" s="60"/>
    </row>
    <row r="5" spans="1:15">
      <c r="A5" s="60"/>
      <c r="B5" s="60" t="s">
        <v>127</v>
      </c>
      <c r="C5" s="60" t="s">
        <v>282</v>
      </c>
      <c r="D5" s="60" t="s">
        <v>274</v>
      </c>
      <c r="E5" s="60" t="s">
        <v>275</v>
      </c>
      <c r="F5" s="60" t="s">
        <v>276</v>
      </c>
      <c r="G5" s="60" t="s">
        <v>276</v>
      </c>
      <c r="H5" s="60" t="s">
        <v>277</v>
      </c>
      <c r="I5" s="60" t="b">
        <v>0</v>
      </c>
      <c r="J5" s="60">
        <v>50</v>
      </c>
      <c r="K5" s="60">
        <v>844.15</v>
      </c>
      <c r="L5" s="61">
        <v>205330804</v>
      </c>
      <c r="M5" s="61">
        <v>1100000044831951</v>
      </c>
      <c r="N5" s="60" t="s">
        <v>283</v>
      </c>
      <c r="O5" s="60"/>
    </row>
    <row r="6" spans="1:15">
      <c r="A6" s="60"/>
      <c r="B6" s="60" t="s">
        <v>127</v>
      </c>
      <c r="C6" s="60" t="s">
        <v>282</v>
      </c>
      <c r="D6" s="60" t="s">
        <v>274</v>
      </c>
      <c r="E6" s="60" t="s">
        <v>275</v>
      </c>
      <c r="F6" s="60" t="s">
        <v>276</v>
      </c>
      <c r="G6" s="60" t="s">
        <v>276</v>
      </c>
      <c r="H6" s="60" t="s">
        <v>277</v>
      </c>
      <c r="I6" s="60" t="b">
        <v>0</v>
      </c>
      <c r="J6" s="60">
        <v>4</v>
      </c>
      <c r="K6" s="60">
        <v>844.15</v>
      </c>
      <c r="L6" s="61">
        <v>205330817</v>
      </c>
      <c r="M6" s="61">
        <v>1100000044831951</v>
      </c>
      <c r="N6" s="60" t="s">
        <v>283</v>
      </c>
      <c r="O6" s="60"/>
    </row>
    <row r="7" spans="1:15">
      <c r="A7" s="60"/>
      <c r="B7" s="60" t="s">
        <v>127</v>
      </c>
      <c r="C7" s="60" t="s">
        <v>282</v>
      </c>
      <c r="D7" s="60" t="s">
        <v>274</v>
      </c>
      <c r="E7" s="60" t="s">
        <v>275</v>
      </c>
      <c r="F7" s="60" t="s">
        <v>276</v>
      </c>
      <c r="G7" s="60" t="s">
        <v>276</v>
      </c>
      <c r="H7" s="60" t="s">
        <v>277</v>
      </c>
      <c r="I7" s="60" t="b">
        <v>0</v>
      </c>
      <c r="J7" s="60">
        <v>55</v>
      </c>
      <c r="K7" s="60">
        <v>844.15</v>
      </c>
      <c r="L7" s="61">
        <v>205331314</v>
      </c>
      <c r="M7" s="61">
        <v>1100000044831951</v>
      </c>
      <c r="N7" s="60" t="s">
        <v>283</v>
      </c>
      <c r="O7" s="60"/>
    </row>
    <row r="8" spans="1:15">
      <c r="A8" s="60"/>
      <c r="B8" s="60" t="s">
        <v>284</v>
      </c>
      <c r="C8" s="60" t="s">
        <v>285</v>
      </c>
      <c r="D8" s="60" t="s">
        <v>274</v>
      </c>
      <c r="E8" s="60" t="s">
        <v>275</v>
      </c>
      <c r="F8" s="60" t="s">
        <v>276</v>
      </c>
      <c r="G8" s="60" t="s">
        <v>276</v>
      </c>
      <c r="H8" s="60" t="s">
        <v>277</v>
      </c>
      <c r="I8" s="60" t="b">
        <v>0</v>
      </c>
      <c r="J8" s="60">
        <v>20</v>
      </c>
      <c r="K8" s="60">
        <v>4509</v>
      </c>
      <c r="L8" s="61">
        <v>605415434</v>
      </c>
      <c r="M8" s="61">
        <v>1300000045456483</v>
      </c>
      <c r="N8" s="60" t="s">
        <v>286</v>
      </c>
      <c r="O8" s="60"/>
    </row>
    <row r="9" spans="1:15">
      <c r="A9" s="60"/>
      <c r="B9" s="60" t="s">
        <v>287</v>
      </c>
      <c r="C9" s="60" t="s">
        <v>288</v>
      </c>
      <c r="D9" s="60" t="s">
        <v>274</v>
      </c>
      <c r="E9" s="60" t="s">
        <v>275</v>
      </c>
      <c r="F9" s="60" t="s">
        <v>276</v>
      </c>
      <c r="G9" s="60" t="s">
        <v>276</v>
      </c>
      <c r="H9" s="60" t="s">
        <v>277</v>
      </c>
      <c r="I9" s="60" t="b">
        <v>0</v>
      </c>
      <c r="J9" s="60">
        <v>11</v>
      </c>
      <c r="K9" s="60">
        <v>3662.7</v>
      </c>
      <c r="L9" s="61">
        <v>605630531</v>
      </c>
      <c r="M9" s="61">
        <v>1300000047488914</v>
      </c>
      <c r="N9" s="60" t="s">
        <v>289</v>
      </c>
      <c r="O9" s="60"/>
    </row>
    <row r="10" spans="1:15">
      <c r="A10" s="60"/>
      <c r="B10" s="60" t="s">
        <v>287</v>
      </c>
      <c r="C10" s="60" t="s">
        <v>288</v>
      </c>
      <c r="D10" s="60" t="s">
        <v>274</v>
      </c>
      <c r="E10" s="60" t="s">
        <v>275</v>
      </c>
      <c r="F10" s="60" t="s">
        <v>276</v>
      </c>
      <c r="G10" s="60" t="s">
        <v>276</v>
      </c>
      <c r="H10" s="60" t="s">
        <v>277</v>
      </c>
      <c r="I10" s="60" t="b">
        <v>0</v>
      </c>
      <c r="J10" s="60">
        <v>14</v>
      </c>
      <c r="K10" s="60">
        <v>3662.7</v>
      </c>
      <c r="L10" s="61">
        <v>605630530</v>
      </c>
      <c r="M10" s="61">
        <v>1300000047488914</v>
      </c>
      <c r="N10" s="60" t="s">
        <v>289</v>
      </c>
      <c r="O10" s="60"/>
    </row>
    <row r="11" spans="1:15">
      <c r="A11" s="60"/>
      <c r="B11" s="60" t="s">
        <v>290</v>
      </c>
      <c r="C11" s="60" t="s">
        <v>291</v>
      </c>
      <c r="D11" s="60" t="s">
        <v>274</v>
      </c>
      <c r="E11" s="60" t="s">
        <v>275</v>
      </c>
      <c r="F11" s="60" t="s">
        <v>276</v>
      </c>
      <c r="G11" s="60" t="s">
        <v>276</v>
      </c>
      <c r="H11" s="60" t="s">
        <v>277</v>
      </c>
      <c r="I11" s="60" t="b">
        <v>0</v>
      </c>
      <c r="J11" s="60">
        <v>5</v>
      </c>
      <c r="K11" s="60">
        <v>4724.1000999999997</v>
      </c>
      <c r="L11" s="61">
        <v>205904922</v>
      </c>
      <c r="M11" s="61">
        <v>1100000049703254</v>
      </c>
      <c r="N11" s="60" t="s">
        <v>292</v>
      </c>
      <c r="O11" s="60"/>
    </row>
    <row r="12" spans="1:15">
      <c r="A12" s="60"/>
      <c r="B12" s="60" t="s">
        <v>290</v>
      </c>
      <c r="C12" s="60" t="s">
        <v>291</v>
      </c>
      <c r="D12" s="60" t="s">
        <v>274</v>
      </c>
      <c r="E12" s="60" t="s">
        <v>275</v>
      </c>
      <c r="F12" s="60" t="s">
        <v>276</v>
      </c>
      <c r="G12" s="60" t="s">
        <v>276</v>
      </c>
      <c r="H12" s="60" t="s">
        <v>277</v>
      </c>
      <c r="I12" s="60" t="b">
        <v>0</v>
      </c>
      <c r="J12" s="60">
        <v>1</v>
      </c>
      <c r="K12" s="60">
        <v>4724.1000999999997</v>
      </c>
      <c r="L12" s="61">
        <v>205904923</v>
      </c>
      <c r="M12" s="61">
        <v>1100000049703254</v>
      </c>
      <c r="N12" s="60" t="s">
        <v>292</v>
      </c>
      <c r="O12" s="60"/>
    </row>
    <row r="13" spans="1:15">
      <c r="A13" s="60"/>
      <c r="B13" s="60" t="s">
        <v>290</v>
      </c>
      <c r="C13" s="60" t="s">
        <v>291</v>
      </c>
      <c r="D13" s="60" t="s">
        <v>274</v>
      </c>
      <c r="E13" s="60" t="s">
        <v>275</v>
      </c>
      <c r="F13" s="60" t="s">
        <v>276</v>
      </c>
      <c r="G13" s="60" t="s">
        <v>276</v>
      </c>
      <c r="H13" s="60" t="s">
        <v>277</v>
      </c>
      <c r="I13" s="60" t="b">
        <v>0</v>
      </c>
      <c r="J13" s="60">
        <v>1</v>
      </c>
      <c r="K13" s="60">
        <v>4724</v>
      </c>
      <c r="L13" s="61">
        <v>205904921</v>
      </c>
      <c r="M13" s="61">
        <v>1100000049703254</v>
      </c>
      <c r="N13" s="60" t="s">
        <v>292</v>
      </c>
      <c r="O13" s="60"/>
    </row>
    <row r="14" spans="1:15">
      <c r="A14" s="60"/>
      <c r="B14" s="60" t="s">
        <v>290</v>
      </c>
      <c r="C14" s="60" t="s">
        <v>291</v>
      </c>
      <c r="D14" s="60" t="s">
        <v>274</v>
      </c>
      <c r="E14" s="60" t="s">
        <v>275</v>
      </c>
      <c r="F14" s="60" t="s">
        <v>276</v>
      </c>
      <c r="G14" s="60" t="s">
        <v>276</v>
      </c>
      <c r="H14" s="60" t="s">
        <v>277</v>
      </c>
      <c r="I14" s="60" t="b">
        <v>0</v>
      </c>
      <c r="J14" s="60">
        <v>12</v>
      </c>
      <c r="K14" s="60">
        <v>4724</v>
      </c>
      <c r="L14" s="61">
        <v>205904920</v>
      </c>
      <c r="M14" s="61">
        <v>1100000049703254</v>
      </c>
      <c r="N14" s="60" t="s">
        <v>292</v>
      </c>
      <c r="O14" s="60"/>
    </row>
    <row r="15" spans="1:15">
      <c r="A15" s="60"/>
      <c r="B15" s="60" t="s">
        <v>108</v>
      </c>
      <c r="C15" s="60" t="s">
        <v>293</v>
      </c>
      <c r="D15" s="60" t="s">
        <v>274</v>
      </c>
      <c r="E15" s="60" t="s">
        <v>275</v>
      </c>
      <c r="F15" s="60" t="s">
        <v>276</v>
      </c>
      <c r="G15" s="60" t="s">
        <v>276</v>
      </c>
      <c r="H15" s="60" t="s">
        <v>277</v>
      </c>
      <c r="I15" s="60" t="b">
        <v>0</v>
      </c>
      <c r="J15" s="60">
        <v>168</v>
      </c>
      <c r="K15" s="60">
        <v>543</v>
      </c>
      <c r="L15" s="61">
        <v>406172265</v>
      </c>
      <c r="M15" s="61">
        <v>1200000056506188</v>
      </c>
      <c r="N15" s="60" t="s">
        <v>294</v>
      </c>
      <c r="O15" s="60"/>
    </row>
    <row r="16" spans="1:15">
      <c r="A16" s="60"/>
      <c r="B16" s="60" t="s">
        <v>295</v>
      </c>
      <c r="C16" s="60" t="s">
        <v>296</v>
      </c>
      <c r="D16" s="60" t="s">
        <v>297</v>
      </c>
      <c r="E16" s="60" t="s">
        <v>275</v>
      </c>
      <c r="F16" s="60" t="s">
        <v>276</v>
      </c>
      <c r="G16" s="60" t="s">
        <v>276</v>
      </c>
      <c r="H16" s="60" t="s">
        <v>277</v>
      </c>
      <c r="I16" s="60" t="b">
        <v>0</v>
      </c>
      <c r="J16" s="60">
        <v>48</v>
      </c>
      <c r="K16" s="60">
        <v>175.36</v>
      </c>
      <c r="L16" s="61">
        <v>2344605</v>
      </c>
      <c r="M16" s="61">
        <v>1000000022356020</v>
      </c>
      <c r="N16" s="60" t="s">
        <v>298</v>
      </c>
      <c r="O16" s="60"/>
    </row>
    <row r="17" spans="1:15">
      <c r="A17" s="60"/>
      <c r="B17" s="60" t="s">
        <v>295</v>
      </c>
      <c r="C17" s="60" t="s">
        <v>296</v>
      </c>
      <c r="D17" s="60" t="s">
        <v>297</v>
      </c>
      <c r="E17" s="60" t="s">
        <v>275</v>
      </c>
      <c r="F17" s="60" t="s">
        <v>276</v>
      </c>
      <c r="G17" s="60" t="s">
        <v>276</v>
      </c>
      <c r="H17" s="60" t="s">
        <v>277</v>
      </c>
      <c r="I17" s="60" t="b">
        <v>0</v>
      </c>
      <c r="J17" s="60">
        <v>6</v>
      </c>
      <c r="K17" s="60">
        <v>175.36</v>
      </c>
      <c r="L17" s="61">
        <v>2344520</v>
      </c>
      <c r="M17" s="61">
        <v>1000000022356020</v>
      </c>
      <c r="N17" s="60" t="s">
        <v>298</v>
      </c>
      <c r="O17" s="60"/>
    </row>
    <row r="18" spans="1:15">
      <c r="A18" s="60"/>
      <c r="B18" s="60" t="s">
        <v>295</v>
      </c>
      <c r="C18" s="60" t="s">
        <v>296</v>
      </c>
      <c r="D18" s="60" t="s">
        <v>297</v>
      </c>
      <c r="E18" s="60" t="s">
        <v>275</v>
      </c>
      <c r="F18" s="60" t="s">
        <v>276</v>
      </c>
      <c r="G18" s="60" t="s">
        <v>276</v>
      </c>
      <c r="H18" s="60" t="s">
        <v>277</v>
      </c>
      <c r="I18" s="60" t="b">
        <v>0</v>
      </c>
      <c r="J18" s="60">
        <v>86</v>
      </c>
      <c r="K18" s="60">
        <v>175.36</v>
      </c>
      <c r="L18" s="61">
        <v>2342640</v>
      </c>
      <c r="M18" s="61">
        <v>1000000022356020</v>
      </c>
      <c r="N18" s="60" t="s">
        <v>298</v>
      </c>
      <c r="O18" s="60"/>
    </row>
    <row r="19" spans="1:15">
      <c r="A19" s="60"/>
      <c r="B19" s="60" t="s">
        <v>299</v>
      </c>
      <c r="C19" s="60" t="s">
        <v>300</v>
      </c>
      <c r="D19" s="60" t="s">
        <v>297</v>
      </c>
      <c r="E19" s="60" t="s">
        <v>275</v>
      </c>
      <c r="F19" s="60" t="s">
        <v>276</v>
      </c>
      <c r="G19" s="60" t="s">
        <v>276</v>
      </c>
      <c r="H19" s="60" t="s">
        <v>277</v>
      </c>
      <c r="I19" s="60" t="b">
        <v>0</v>
      </c>
      <c r="J19" s="60">
        <v>28</v>
      </c>
      <c r="K19" s="60">
        <v>517.1</v>
      </c>
      <c r="L19" s="61">
        <v>203621195</v>
      </c>
      <c r="M19" s="61">
        <v>1100000031435771</v>
      </c>
      <c r="N19" s="60" t="s">
        <v>301</v>
      </c>
      <c r="O19" s="60"/>
    </row>
    <row r="20" spans="1:15">
      <c r="A20" s="60"/>
      <c r="B20" s="60" t="s">
        <v>299</v>
      </c>
      <c r="C20" s="60" t="s">
        <v>300</v>
      </c>
      <c r="D20" s="60" t="s">
        <v>297</v>
      </c>
      <c r="E20" s="60" t="s">
        <v>275</v>
      </c>
      <c r="F20" s="60" t="s">
        <v>276</v>
      </c>
      <c r="G20" s="60" t="s">
        <v>276</v>
      </c>
      <c r="H20" s="60" t="s">
        <v>277</v>
      </c>
      <c r="I20" s="60" t="b">
        <v>0</v>
      </c>
      <c r="J20" s="60">
        <v>5</v>
      </c>
      <c r="K20" s="60">
        <v>517.1</v>
      </c>
      <c r="L20" s="61">
        <v>203618990</v>
      </c>
      <c r="M20" s="61">
        <v>1100000031435771</v>
      </c>
      <c r="N20" s="60" t="s">
        <v>301</v>
      </c>
      <c r="O20" s="60"/>
    </row>
    <row r="21" spans="1:15">
      <c r="A21" s="60"/>
      <c r="B21" s="60" t="s">
        <v>299</v>
      </c>
      <c r="C21" s="60" t="s">
        <v>300</v>
      </c>
      <c r="D21" s="60" t="s">
        <v>297</v>
      </c>
      <c r="E21" s="60" t="s">
        <v>275</v>
      </c>
      <c r="F21" s="60" t="s">
        <v>276</v>
      </c>
      <c r="G21" s="60" t="s">
        <v>276</v>
      </c>
      <c r="H21" s="60" t="s">
        <v>277</v>
      </c>
      <c r="I21" s="60" t="b">
        <v>0</v>
      </c>
      <c r="J21" s="60">
        <v>14</v>
      </c>
      <c r="K21" s="60">
        <v>517.1</v>
      </c>
      <c r="L21" s="61">
        <v>203667601</v>
      </c>
      <c r="M21" s="61">
        <v>1100000031435771</v>
      </c>
      <c r="N21" s="60" t="s">
        <v>301</v>
      </c>
      <c r="O21" s="60"/>
    </row>
    <row r="22" spans="1:15">
      <c r="A22" s="60"/>
      <c r="B22" s="60" t="s">
        <v>299</v>
      </c>
      <c r="C22" s="60" t="s">
        <v>300</v>
      </c>
      <c r="D22" s="60" t="s">
        <v>297</v>
      </c>
      <c r="E22" s="60" t="s">
        <v>275</v>
      </c>
      <c r="F22" s="60" t="s">
        <v>276</v>
      </c>
      <c r="G22" s="60" t="s">
        <v>276</v>
      </c>
      <c r="H22" s="60" t="s">
        <v>277</v>
      </c>
      <c r="I22" s="60" t="b">
        <v>0</v>
      </c>
      <c r="J22" s="60">
        <v>1</v>
      </c>
      <c r="K22" s="60">
        <v>517.1</v>
      </c>
      <c r="L22" s="61">
        <v>203621030</v>
      </c>
      <c r="M22" s="61">
        <v>1100000031435771</v>
      </c>
      <c r="N22" s="60" t="s">
        <v>301</v>
      </c>
      <c r="O22" s="60"/>
    </row>
    <row r="23" spans="1:15">
      <c r="A23" s="60"/>
      <c r="B23" s="60" t="s">
        <v>302</v>
      </c>
      <c r="C23" s="60" t="s">
        <v>303</v>
      </c>
      <c r="D23" s="60" t="s">
        <v>297</v>
      </c>
      <c r="E23" s="60" t="s">
        <v>275</v>
      </c>
      <c r="F23" s="60" t="s">
        <v>276</v>
      </c>
      <c r="G23" s="60" t="s">
        <v>276</v>
      </c>
      <c r="H23" s="60" t="s">
        <v>277</v>
      </c>
      <c r="I23" s="60" t="b">
        <v>0</v>
      </c>
      <c r="J23" s="60">
        <v>13</v>
      </c>
      <c r="K23" s="60">
        <v>1289.2</v>
      </c>
      <c r="L23" s="61">
        <v>603829142</v>
      </c>
      <c r="M23" s="61">
        <v>1300000030742059</v>
      </c>
      <c r="N23" s="60" t="s">
        <v>304</v>
      </c>
      <c r="O23" s="60"/>
    </row>
    <row r="24" spans="1:15">
      <c r="A24" s="60"/>
      <c r="B24" s="60" t="s">
        <v>302</v>
      </c>
      <c r="C24" s="60" t="s">
        <v>303</v>
      </c>
      <c r="D24" s="60" t="s">
        <v>297</v>
      </c>
      <c r="E24" s="60" t="s">
        <v>275</v>
      </c>
      <c r="F24" s="60" t="s">
        <v>276</v>
      </c>
      <c r="G24" s="60" t="s">
        <v>276</v>
      </c>
      <c r="H24" s="60" t="s">
        <v>277</v>
      </c>
      <c r="I24" s="60" t="b">
        <v>0</v>
      </c>
      <c r="J24" s="60">
        <v>11</v>
      </c>
      <c r="K24" s="60">
        <v>1289.2</v>
      </c>
      <c r="L24" s="61">
        <v>603829143</v>
      </c>
      <c r="M24" s="61">
        <v>1300000030742059</v>
      </c>
      <c r="N24" s="60" t="s">
        <v>304</v>
      </c>
      <c r="O24" s="60"/>
    </row>
    <row r="25" spans="1:15">
      <c r="A25" s="60"/>
      <c r="B25" s="60" t="s">
        <v>302</v>
      </c>
      <c r="C25" s="60" t="s">
        <v>303</v>
      </c>
      <c r="D25" s="60" t="s">
        <v>297</v>
      </c>
      <c r="E25" s="60" t="s">
        <v>275</v>
      </c>
      <c r="F25" s="60" t="s">
        <v>276</v>
      </c>
      <c r="G25" s="60" t="s">
        <v>276</v>
      </c>
      <c r="H25" s="60" t="s">
        <v>277</v>
      </c>
      <c r="I25" s="60" t="b">
        <v>0</v>
      </c>
      <c r="J25" s="60">
        <v>10</v>
      </c>
      <c r="K25" s="60">
        <v>1289.2</v>
      </c>
      <c r="L25" s="61">
        <v>603825496</v>
      </c>
      <c r="M25" s="61">
        <v>1300000030742059</v>
      </c>
      <c r="N25" s="60" t="s">
        <v>304</v>
      </c>
      <c r="O25" s="60"/>
    </row>
    <row r="26" spans="1:15">
      <c r="A26" s="60"/>
      <c r="B26" s="60" t="s">
        <v>302</v>
      </c>
      <c r="C26" s="60" t="s">
        <v>303</v>
      </c>
      <c r="D26" s="60" t="s">
        <v>297</v>
      </c>
      <c r="E26" s="60" t="s">
        <v>275</v>
      </c>
      <c r="F26" s="60" t="s">
        <v>276</v>
      </c>
      <c r="G26" s="60" t="s">
        <v>276</v>
      </c>
      <c r="H26" s="60" t="s">
        <v>277</v>
      </c>
      <c r="I26" s="60" t="b">
        <v>0</v>
      </c>
      <c r="J26" s="60">
        <v>3</v>
      </c>
      <c r="K26" s="60">
        <v>1289.2</v>
      </c>
      <c r="L26" s="61">
        <v>603832890</v>
      </c>
      <c r="M26" s="61">
        <v>1300000030742059</v>
      </c>
      <c r="N26" s="60" t="s">
        <v>304</v>
      </c>
      <c r="O26" s="60"/>
    </row>
    <row r="27" spans="1:15">
      <c r="A27" s="60"/>
      <c r="B27" s="60" t="s">
        <v>305</v>
      </c>
      <c r="C27" s="60" t="s">
        <v>306</v>
      </c>
      <c r="D27" s="60" t="s">
        <v>297</v>
      </c>
      <c r="E27" s="60" t="s">
        <v>275</v>
      </c>
      <c r="F27" s="60" t="s">
        <v>276</v>
      </c>
      <c r="G27" s="60" t="s">
        <v>276</v>
      </c>
      <c r="H27" s="60" t="s">
        <v>277</v>
      </c>
      <c r="I27" s="60" t="b">
        <v>0</v>
      </c>
      <c r="J27" s="60">
        <v>60</v>
      </c>
      <c r="K27" s="60">
        <v>1562.4</v>
      </c>
      <c r="L27" s="61">
        <v>403366394</v>
      </c>
      <c r="M27" s="61">
        <v>1200000033081200</v>
      </c>
      <c r="N27" s="60" t="s">
        <v>307</v>
      </c>
      <c r="O27" s="60"/>
    </row>
    <row r="28" spans="1:15">
      <c r="A28" s="60"/>
      <c r="B28" s="60" t="s">
        <v>169</v>
      </c>
      <c r="C28" s="60" t="s">
        <v>308</v>
      </c>
      <c r="D28" s="60" t="s">
        <v>309</v>
      </c>
      <c r="E28" s="60" t="s">
        <v>275</v>
      </c>
      <c r="F28" s="60" t="s">
        <v>276</v>
      </c>
      <c r="G28" s="60" t="s">
        <v>276</v>
      </c>
      <c r="H28" s="60" t="s">
        <v>277</v>
      </c>
      <c r="I28" s="60" t="b">
        <v>0</v>
      </c>
      <c r="J28" s="60">
        <v>17</v>
      </c>
      <c r="K28" s="60">
        <v>785.35</v>
      </c>
      <c r="L28" s="61">
        <v>1789285</v>
      </c>
      <c r="M28" s="61">
        <v>1000000016049556</v>
      </c>
      <c r="N28" s="60" t="s">
        <v>310</v>
      </c>
      <c r="O28" s="60"/>
    </row>
    <row r="29" spans="1:15">
      <c r="A29" s="60"/>
      <c r="B29" s="60" t="s">
        <v>169</v>
      </c>
      <c r="C29" s="60" t="s">
        <v>308</v>
      </c>
      <c r="D29" s="60" t="s">
        <v>309</v>
      </c>
      <c r="E29" s="60" t="s">
        <v>275</v>
      </c>
      <c r="F29" s="60" t="s">
        <v>276</v>
      </c>
      <c r="G29" s="60" t="s">
        <v>276</v>
      </c>
      <c r="H29" s="60" t="s">
        <v>277</v>
      </c>
      <c r="I29" s="60" t="b">
        <v>0</v>
      </c>
      <c r="J29" s="60">
        <v>16</v>
      </c>
      <c r="K29" s="60">
        <v>785.35</v>
      </c>
      <c r="L29" s="61">
        <v>1789286</v>
      </c>
      <c r="M29" s="61">
        <v>1000000016049556</v>
      </c>
      <c r="N29" s="60" t="s">
        <v>310</v>
      </c>
      <c r="O29" s="60"/>
    </row>
    <row r="30" spans="1:15">
      <c r="A30" s="60"/>
      <c r="B30" s="60" t="s">
        <v>311</v>
      </c>
      <c r="C30" s="60" t="s">
        <v>312</v>
      </c>
      <c r="D30" s="60" t="s">
        <v>313</v>
      </c>
      <c r="E30" s="60" t="s">
        <v>275</v>
      </c>
      <c r="F30" s="60" t="s">
        <v>276</v>
      </c>
      <c r="G30" s="60" t="s">
        <v>276</v>
      </c>
      <c r="H30" s="60" t="s">
        <v>277</v>
      </c>
      <c r="I30" s="60" t="b">
        <v>0</v>
      </c>
      <c r="J30" s="60">
        <v>35</v>
      </c>
      <c r="K30" s="60">
        <v>716.85</v>
      </c>
      <c r="L30" s="61">
        <v>208118057</v>
      </c>
      <c r="M30" s="61">
        <v>1100000062670206</v>
      </c>
      <c r="N30" s="60" t="s">
        <v>314</v>
      </c>
      <c r="O30" s="60"/>
    </row>
    <row r="31" spans="1:15">
      <c r="A31" s="60"/>
      <c r="B31" s="60" t="s">
        <v>315</v>
      </c>
      <c r="C31" s="60" t="s">
        <v>316</v>
      </c>
      <c r="D31" s="60" t="s">
        <v>317</v>
      </c>
      <c r="E31" s="60" t="s">
        <v>275</v>
      </c>
      <c r="F31" s="60" t="s">
        <v>276</v>
      </c>
      <c r="G31" s="60" t="s">
        <v>276</v>
      </c>
      <c r="H31" s="60" t="s">
        <v>277</v>
      </c>
      <c r="I31" s="60" t="b">
        <v>0</v>
      </c>
      <c r="J31" s="60">
        <v>43</v>
      </c>
      <c r="K31" s="60">
        <v>119.3</v>
      </c>
      <c r="L31" s="61">
        <v>5959861</v>
      </c>
      <c r="M31" s="61">
        <v>1000000060868317</v>
      </c>
      <c r="N31" s="60" t="s">
        <v>318</v>
      </c>
      <c r="O31" s="60"/>
    </row>
    <row r="32" spans="1:15">
      <c r="A32" s="60"/>
      <c r="B32" s="60" t="s">
        <v>315</v>
      </c>
      <c r="C32" s="60" t="s">
        <v>316</v>
      </c>
      <c r="D32" s="60" t="s">
        <v>317</v>
      </c>
      <c r="E32" s="60" t="s">
        <v>275</v>
      </c>
      <c r="F32" s="60" t="s">
        <v>276</v>
      </c>
      <c r="G32" s="60" t="s">
        <v>276</v>
      </c>
      <c r="H32" s="60" t="s">
        <v>277</v>
      </c>
      <c r="I32" s="60" t="b">
        <v>0</v>
      </c>
      <c r="J32" s="60">
        <v>77</v>
      </c>
      <c r="K32" s="60">
        <v>119.3</v>
      </c>
      <c r="L32" s="61">
        <v>5959859</v>
      </c>
      <c r="M32" s="61">
        <v>1000000060868317</v>
      </c>
      <c r="N32" s="60" t="s">
        <v>318</v>
      </c>
      <c r="O32" s="60"/>
    </row>
    <row r="33" spans="1:15">
      <c r="A33" s="60"/>
      <c r="B33" s="60" t="s">
        <v>315</v>
      </c>
      <c r="C33" s="60" t="s">
        <v>316</v>
      </c>
      <c r="D33" s="60" t="s">
        <v>317</v>
      </c>
      <c r="E33" s="60" t="s">
        <v>275</v>
      </c>
      <c r="F33" s="60" t="s">
        <v>276</v>
      </c>
      <c r="G33" s="60" t="s">
        <v>276</v>
      </c>
      <c r="H33" s="60" t="s">
        <v>277</v>
      </c>
      <c r="I33" s="60" t="b">
        <v>0</v>
      </c>
      <c r="J33" s="60">
        <v>100</v>
      </c>
      <c r="K33" s="60">
        <v>119.3</v>
      </c>
      <c r="L33" s="61">
        <v>5959860</v>
      </c>
      <c r="M33" s="61">
        <v>1000000060868317</v>
      </c>
      <c r="N33" s="60" t="s">
        <v>318</v>
      </c>
      <c r="O33" s="60"/>
    </row>
    <row r="34" spans="1:15">
      <c r="A34" s="60"/>
      <c r="B34" s="60" t="s">
        <v>295</v>
      </c>
      <c r="C34" s="60" t="s">
        <v>296</v>
      </c>
      <c r="D34" s="60" t="s">
        <v>317</v>
      </c>
      <c r="E34" s="60" t="s">
        <v>275</v>
      </c>
      <c r="F34" s="60" t="s">
        <v>276</v>
      </c>
      <c r="G34" s="60" t="s">
        <v>276</v>
      </c>
      <c r="H34" s="60" t="s">
        <v>277</v>
      </c>
      <c r="I34" s="60" t="b">
        <v>0</v>
      </c>
      <c r="J34" s="60">
        <v>55</v>
      </c>
      <c r="K34" s="60">
        <v>189</v>
      </c>
      <c r="L34" s="61">
        <v>6217725</v>
      </c>
      <c r="M34" s="61">
        <v>1000000063494426</v>
      </c>
      <c r="N34" s="60" t="s">
        <v>319</v>
      </c>
      <c r="O34" s="60"/>
    </row>
    <row r="35" spans="1:15">
      <c r="A35" s="60"/>
      <c r="B35" s="60" t="s">
        <v>295</v>
      </c>
      <c r="C35" s="60" t="s">
        <v>296</v>
      </c>
      <c r="D35" s="60" t="s">
        <v>317</v>
      </c>
      <c r="E35" s="60" t="s">
        <v>275</v>
      </c>
      <c r="F35" s="60" t="s">
        <v>276</v>
      </c>
      <c r="G35" s="60" t="s">
        <v>276</v>
      </c>
      <c r="H35" s="60" t="s">
        <v>277</v>
      </c>
      <c r="I35" s="60" t="b">
        <v>0</v>
      </c>
      <c r="J35" s="60">
        <v>62</v>
      </c>
      <c r="K35" s="60">
        <v>188.99</v>
      </c>
      <c r="L35" s="61">
        <v>6217724</v>
      </c>
      <c r="M35" s="61">
        <v>1000000063494426</v>
      </c>
      <c r="N35" s="60" t="s">
        <v>319</v>
      </c>
      <c r="O35" s="60"/>
    </row>
    <row r="36" spans="1:15">
      <c r="A36" s="60"/>
      <c r="B36" s="60" t="s">
        <v>295</v>
      </c>
      <c r="C36" s="60" t="s">
        <v>296</v>
      </c>
      <c r="D36" s="60" t="s">
        <v>317</v>
      </c>
      <c r="E36" s="60" t="s">
        <v>275</v>
      </c>
      <c r="F36" s="60" t="s">
        <v>276</v>
      </c>
      <c r="G36" s="60" t="s">
        <v>276</v>
      </c>
      <c r="H36" s="60" t="s">
        <v>277</v>
      </c>
      <c r="I36" s="60" t="b">
        <v>0</v>
      </c>
      <c r="J36" s="60">
        <v>14</v>
      </c>
      <c r="K36" s="60">
        <v>188.94</v>
      </c>
      <c r="L36" s="61">
        <v>6217723</v>
      </c>
      <c r="M36" s="61">
        <v>1000000063494426</v>
      </c>
      <c r="N36" s="60" t="s">
        <v>319</v>
      </c>
      <c r="O36" s="60"/>
    </row>
    <row r="37" spans="1:15">
      <c r="A37" s="60"/>
      <c r="B37" s="60" t="s">
        <v>299</v>
      </c>
      <c r="C37" s="60" t="s">
        <v>300</v>
      </c>
      <c r="D37" s="60" t="s">
        <v>317</v>
      </c>
      <c r="E37" s="60" t="s">
        <v>275</v>
      </c>
      <c r="F37" s="60" t="s">
        <v>276</v>
      </c>
      <c r="G37" s="60" t="s">
        <v>276</v>
      </c>
      <c r="H37" s="60" t="s">
        <v>277</v>
      </c>
      <c r="I37" s="60" t="b">
        <v>0</v>
      </c>
      <c r="J37" s="60">
        <v>54</v>
      </c>
      <c r="K37" s="60">
        <v>577.79999999999995</v>
      </c>
      <c r="L37" s="61">
        <v>206567205</v>
      </c>
      <c r="M37" s="61">
        <v>1100000055164659</v>
      </c>
      <c r="N37" s="60" t="s">
        <v>320</v>
      </c>
      <c r="O37" s="60"/>
    </row>
    <row r="38" spans="1:15">
      <c r="A38" s="60"/>
      <c r="B38" s="60" t="s">
        <v>299</v>
      </c>
      <c r="C38" s="60" t="s">
        <v>300</v>
      </c>
      <c r="D38" s="60" t="s">
        <v>317</v>
      </c>
      <c r="E38" s="60" t="s">
        <v>275</v>
      </c>
      <c r="F38" s="60" t="s">
        <v>276</v>
      </c>
      <c r="G38" s="60" t="s">
        <v>276</v>
      </c>
      <c r="H38" s="60" t="s">
        <v>277</v>
      </c>
      <c r="I38" s="60" t="b">
        <v>0</v>
      </c>
      <c r="J38" s="60">
        <v>33</v>
      </c>
      <c r="K38" s="60">
        <v>577.85</v>
      </c>
      <c r="L38" s="61">
        <v>206567206</v>
      </c>
      <c r="M38" s="61">
        <v>1100000055164659</v>
      </c>
      <c r="N38" s="60" t="s">
        <v>320</v>
      </c>
      <c r="O38" s="60"/>
    </row>
    <row r="39" spans="1:15">
      <c r="A39" s="60"/>
      <c r="B39" s="60" t="s">
        <v>321</v>
      </c>
      <c r="C39" s="60" t="s">
        <v>322</v>
      </c>
      <c r="D39" s="60" t="s">
        <v>323</v>
      </c>
      <c r="E39" s="60" t="s">
        <v>275</v>
      </c>
      <c r="F39" s="60" t="s">
        <v>276</v>
      </c>
      <c r="G39" s="60" t="s">
        <v>276</v>
      </c>
      <c r="H39" s="60" t="s">
        <v>277</v>
      </c>
      <c r="I39" s="60" t="b">
        <v>0</v>
      </c>
      <c r="J39" s="60">
        <v>16</v>
      </c>
      <c r="K39" s="60">
        <v>880</v>
      </c>
      <c r="L39" s="61">
        <v>606877843</v>
      </c>
      <c r="M39" s="61">
        <v>1300000066618858</v>
      </c>
      <c r="N39" s="60" t="s">
        <v>324</v>
      </c>
      <c r="O39" s="60"/>
    </row>
    <row r="40" spans="1:15">
      <c r="A40" s="60"/>
      <c r="B40" s="60" t="s">
        <v>321</v>
      </c>
      <c r="C40" s="60" t="s">
        <v>322</v>
      </c>
      <c r="D40" s="60" t="s">
        <v>323</v>
      </c>
      <c r="E40" s="60" t="s">
        <v>275</v>
      </c>
      <c r="F40" s="60" t="s">
        <v>276</v>
      </c>
      <c r="G40" s="60" t="s">
        <v>276</v>
      </c>
      <c r="H40" s="60" t="s">
        <v>277</v>
      </c>
      <c r="I40" s="60" t="b">
        <v>0</v>
      </c>
      <c r="J40" s="60">
        <v>40</v>
      </c>
      <c r="K40" s="60">
        <v>880</v>
      </c>
      <c r="L40" s="61">
        <v>606877841</v>
      </c>
      <c r="M40" s="61">
        <v>1300000066618858</v>
      </c>
      <c r="N40" s="60" t="s">
        <v>324</v>
      </c>
      <c r="O40" s="60"/>
    </row>
    <row r="41" spans="1:15">
      <c r="A41" s="60"/>
      <c r="B41" s="60" t="s">
        <v>321</v>
      </c>
      <c r="C41" s="60" t="s">
        <v>322</v>
      </c>
      <c r="D41" s="60" t="s">
        <v>323</v>
      </c>
      <c r="E41" s="60" t="s">
        <v>275</v>
      </c>
      <c r="F41" s="60" t="s">
        <v>276</v>
      </c>
      <c r="G41" s="60" t="s">
        <v>276</v>
      </c>
      <c r="H41" s="60" t="s">
        <v>277</v>
      </c>
      <c r="I41" s="60" t="b">
        <v>0</v>
      </c>
      <c r="J41" s="60">
        <v>1</v>
      </c>
      <c r="K41" s="60">
        <v>880</v>
      </c>
      <c r="L41" s="61">
        <v>606877842</v>
      </c>
      <c r="M41" s="61">
        <v>1300000066618858</v>
      </c>
      <c r="N41" s="60" t="s">
        <v>324</v>
      </c>
      <c r="O41" s="60"/>
    </row>
    <row r="42" spans="1:15">
      <c r="A42" s="60"/>
      <c r="B42" s="60" t="s">
        <v>287</v>
      </c>
      <c r="C42" s="60" t="s">
        <v>288</v>
      </c>
      <c r="D42" s="60" t="s">
        <v>325</v>
      </c>
      <c r="E42" s="60" t="s">
        <v>275</v>
      </c>
      <c r="F42" s="60" t="s">
        <v>276</v>
      </c>
      <c r="G42" s="60" t="s">
        <v>276</v>
      </c>
      <c r="H42" s="60" t="s">
        <v>326</v>
      </c>
      <c r="I42" s="60" t="b">
        <v>0</v>
      </c>
      <c r="J42" s="60">
        <v>7</v>
      </c>
      <c r="K42" s="60">
        <v>3390.5</v>
      </c>
      <c r="L42" s="61">
        <v>602384371</v>
      </c>
      <c r="M42" s="61">
        <v>1300000019285280</v>
      </c>
      <c r="N42" s="60" t="s">
        <v>327</v>
      </c>
      <c r="O42" s="60"/>
    </row>
    <row r="43" spans="1:15">
      <c r="A43" s="60"/>
      <c r="B43" s="60" t="s">
        <v>287</v>
      </c>
      <c r="C43" s="60" t="s">
        <v>288</v>
      </c>
      <c r="D43" s="60" t="s">
        <v>325</v>
      </c>
      <c r="E43" s="60" t="s">
        <v>275</v>
      </c>
      <c r="F43" s="60" t="s">
        <v>276</v>
      </c>
      <c r="G43" s="60" t="s">
        <v>276</v>
      </c>
      <c r="H43" s="60" t="s">
        <v>326</v>
      </c>
      <c r="I43" s="60" t="b">
        <v>0</v>
      </c>
      <c r="J43" s="60">
        <v>8</v>
      </c>
      <c r="K43" s="60">
        <v>3390.5</v>
      </c>
      <c r="L43" s="61">
        <v>602384370</v>
      </c>
      <c r="M43" s="61">
        <v>1300000019285280</v>
      </c>
      <c r="N43" s="60" t="s">
        <v>327</v>
      </c>
      <c r="O43" s="60"/>
    </row>
    <row r="44" spans="1:15">
      <c r="A44" s="60"/>
      <c r="B44" s="60" t="s">
        <v>287</v>
      </c>
      <c r="C44" s="60" t="s">
        <v>288</v>
      </c>
      <c r="D44" s="60" t="s">
        <v>325</v>
      </c>
      <c r="E44" s="60" t="s">
        <v>275</v>
      </c>
      <c r="F44" s="60" t="s">
        <v>276</v>
      </c>
      <c r="G44" s="60" t="s">
        <v>276</v>
      </c>
      <c r="H44" s="60" t="s">
        <v>326</v>
      </c>
      <c r="I44" s="60" t="b">
        <v>0</v>
      </c>
      <c r="J44" s="60">
        <v>1</v>
      </c>
      <c r="K44" s="60">
        <v>3390.5</v>
      </c>
      <c r="L44" s="61">
        <v>602384368</v>
      </c>
      <c r="M44" s="61">
        <v>1300000019285280</v>
      </c>
      <c r="N44" s="60" t="s">
        <v>327</v>
      </c>
      <c r="O44" s="60"/>
    </row>
    <row r="45" spans="1:15">
      <c r="A45" s="60"/>
      <c r="B45" s="60" t="s">
        <v>287</v>
      </c>
      <c r="C45" s="60" t="s">
        <v>288</v>
      </c>
      <c r="D45" s="60" t="s">
        <v>325</v>
      </c>
      <c r="E45" s="60" t="s">
        <v>275</v>
      </c>
      <c r="F45" s="60" t="s">
        <v>276</v>
      </c>
      <c r="G45" s="60" t="s">
        <v>276</v>
      </c>
      <c r="H45" s="60" t="s">
        <v>326</v>
      </c>
      <c r="I45" s="60" t="b">
        <v>0</v>
      </c>
      <c r="J45" s="60">
        <v>9</v>
      </c>
      <c r="K45" s="60">
        <v>3390.5</v>
      </c>
      <c r="L45" s="61">
        <v>602384369</v>
      </c>
      <c r="M45" s="61">
        <v>1300000019285280</v>
      </c>
      <c r="N45" s="60" t="s">
        <v>327</v>
      </c>
      <c r="O45" s="60"/>
    </row>
    <row r="46" spans="1:15">
      <c r="A46" s="60"/>
      <c r="B46" s="60" t="s">
        <v>284</v>
      </c>
      <c r="C46" s="60" t="s">
        <v>285</v>
      </c>
      <c r="D46" s="60" t="s">
        <v>325</v>
      </c>
      <c r="E46" s="60" t="s">
        <v>275</v>
      </c>
      <c r="F46" s="60" t="s">
        <v>276</v>
      </c>
      <c r="G46" s="60" t="s">
        <v>276</v>
      </c>
      <c r="H46" s="60" t="s">
        <v>326</v>
      </c>
      <c r="I46" s="60" t="b">
        <v>0</v>
      </c>
      <c r="J46" s="60">
        <v>2</v>
      </c>
      <c r="K46" s="60">
        <v>4180.2002000000002</v>
      </c>
      <c r="L46" s="61">
        <v>602393098</v>
      </c>
      <c r="M46" s="61">
        <v>1300000019368715</v>
      </c>
      <c r="N46" s="60" t="s">
        <v>328</v>
      </c>
      <c r="O46" s="60"/>
    </row>
    <row r="47" spans="1:15">
      <c r="A47" s="60"/>
      <c r="B47" s="60" t="s">
        <v>284</v>
      </c>
      <c r="C47" s="60" t="s">
        <v>285</v>
      </c>
      <c r="D47" s="60" t="s">
        <v>325</v>
      </c>
      <c r="E47" s="60" t="s">
        <v>275</v>
      </c>
      <c r="F47" s="60" t="s">
        <v>276</v>
      </c>
      <c r="G47" s="60" t="s">
        <v>276</v>
      </c>
      <c r="H47" s="60" t="s">
        <v>326</v>
      </c>
      <c r="I47" s="60" t="b">
        <v>0</v>
      </c>
      <c r="J47" s="60">
        <v>4</v>
      </c>
      <c r="K47" s="60">
        <v>4180.2997999999998</v>
      </c>
      <c r="L47" s="61">
        <v>602393093</v>
      </c>
      <c r="M47" s="61">
        <v>1300000019368715</v>
      </c>
      <c r="N47" s="60" t="s">
        <v>328</v>
      </c>
      <c r="O47" s="60"/>
    </row>
    <row r="48" spans="1:15">
      <c r="A48" s="60"/>
      <c r="B48" s="60" t="s">
        <v>284</v>
      </c>
      <c r="C48" s="60" t="s">
        <v>285</v>
      </c>
      <c r="D48" s="60" t="s">
        <v>325</v>
      </c>
      <c r="E48" s="60" t="s">
        <v>275</v>
      </c>
      <c r="F48" s="60" t="s">
        <v>276</v>
      </c>
      <c r="G48" s="60" t="s">
        <v>276</v>
      </c>
      <c r="H48" s="60" t="s">
        <v>326</v>
      </c>
      <c r="I48" s="60" t="b">
        <v>0</v>
      </c>
      <c r="J48" s="60">
        <v>1</v>
      </c>
      <c r="K48" s="60">
        <v>4180.2002000000002</v>
      </c>
      <c r="L48" s="61">
        <v>602393095</v>
      </c>
      <c r="M48" s="61">
        <v>1300000019368715</v>
      </c>
      <c r="N48" s="60" t="s">
        <v>328</v>
      </c>
      <c r="O48" s="60"/>
    </row>
    <row r="49" spans="1:15">
      <c r="A49" s="60"/>
      <c r="B49" s="60" t="s">
        <v>284</v>
      </c>
      <c r="C49" s="60" t="s">
        <v>285</v>
      </c>
      <c r="D49" s="60" t="s">
        <v>325</v>
      </c>
      <c r="E49" s="60" t="s">
        <v>275</v>
      </c>
      <c r="F49" s="60" t="s">
        <v>276</v>
      </c>
      <c r="G49" s="60" t="s">
        <v>276</v>
      </c>
      <c r="H49" s="60" t="s">
        <v>326</v>
      </c>
      <c r="I49" s="60" t="b">
        <v>0</v>
      </c>
      <c r="J49" s="60">
        <v>1</v>
      </c>
      <c r="K49" s="60">
        <v>4180.2997999999998</v>
      </c>
      <c r="L49" s="61">
        <v>602393092</v>
      </c>
      <c r="M49" s="61">
        <v>1300000019368715</v>
      </c>
      <c r="N49" s="60" t="s">
        <v>328</v>
      </c>
      <c r="O49" s="60"/>
    </row>
    <row r="50" spans="1:15">
      <c r="A50" s="60"/>
      <c r="B50" s="60" t="s">
        <v>284</v>
      </c>
      <c r="C50" s="60" t="s">
        <v>285</v>
      </c>
      <c r="D50" s="60" t="s">
        <v>325</v>
      </c>
      <c r="E50" s="60" t="s">
        <v>275</v>
      </c>
      <c r="F50" s="60" t="s">
        <v>276</v>
      </c>
      <c r="G50" s="60" t="s">
        <v>276</v>
      </c>
      <c r="H50" s="60" t="s">
        <v>326</v>
      </c>
      <c r="I50" s="60" t="b">
        <v>0</v>
      </c>
      <c r="J50" s="60">
        <v>8</v>
      </c>
      <c r="K50" s="60">
        <v>4180</v>
      </c>
      <c r="L50" s="61">
        <v>602393099</v>
      </c>
      <c r="M50" s="61">
        <v>1300000019368715</v>
      </c>
      <c r="N50" s="60" t="s">
        <v>328</v>
      </c>
      <c r="O50" s="60"/>
    </row>
    <row r="51" spans="1:15">
      <c r="A51" s="60"/>
      <c r="B51" s="60" t="s">
        <v>305</v>
      </c>
      <c r="C51" s="60" t="s">
        <v>306</v>
      </c>
      <c r="D51" s="60" t="s">
        <v>325</v>
      </c>
      <c r="E51" s="60" t="s">
        <v>275</v>
      </c>
      <c r="F51" s="60" t="s">
        <v>276</v>
      </c>
      <c r="G51" s="60" t="s">
        <v>276</v>
      </c>
      <c r="H51" s="60" t="s">
        <v>326</v>
      </c>
      <c r="I51" s="60" t="b">
        <v>0</v>
      </c>
      <c r="J51" s="60">
        <v>8</v>
      </c>
      <c r="K51" s="60">
        <v>1476.9</v>
      </c>
      <c r="L51" s="61">
        <v>402017002</v>
      </c>
      <c r="M51" s="61">
        <v>1200000018561473</v>
      </c>
      <c r="N51" s="60" t="s">
        <v>329</v>
      </c>
      <c r="O51" s="60"/>
    </row>
    <row r="52" spans="1:15">
      <c r="A52" s="60"/>
      <c r="B52" s="60" t="s">
        <v>305</v>
      </c>
      <c r="C52" s="60" t="s">
        <v>306</v>
      </c>
      <c r="D52" s="60" t="s">
        <v>325</v>
      </c>
      <c r="E52" s="60" t="s">
        <v>275</v>
      </c>
      <c r="F52" s="60" t="s">
        <v>276</v>
      </c>
      <c r="G52" s="60" t="s">
        <v>276</v>
      </c>
      <c r="H52" s="60" t="s">
        <v>326</v>
      </c>
      <c r="I52" s="60" t="b">
        <v>0</v>
      </c>
      <c r="J52" s="60">
        <v>7</v>
      </c>
      <c r="K52" s="60">
        <v>1476.9</v>
      </c>
      <c r="L52" s="61">
        <v>402017003</v>
      </c>
      <c r="M52" s="61">
        <v>1200000018561473</v>
      </c>
      <c r="N52" s="60" t="s">
        <v>329</v>
      </c>
      <c r="O52" s="60"/>
    </row>
    <row r="53" spans="1:15">
      <c r="A53" s="60"/>
      <c r="B53" s="60" t="s">
        <v>305</v>
      </c>
      <c r="C53" s="60" t="s">
        <v>306</v>
      </c>
      <c r="D53" s="60" t="s">
        <v>325</v>
      </c>
      <c r="E53" s="60" t="s">
        <v>275</v>
      </c>
      <c r="F53" s="60" t="s">
        <v>276</v>
      </c>
      <c r="G53" s="60" t="s">
        <v>276</v>
      </c>
      <c r="H53" s="60" t="s">
        <v>326</v>
      </c>
      <c r="I53" s="60" t="b">
        <v>0</v>
      </c>
      <c r="J53" s="60">
        <v>4</v>
      </c>
      <c r="K53" s="60">
        <v>1477.1</v>
      </c>
      <c r="L53" s="61">
        <v>402016996</v>
      </c>
      <c r="M53" s="61">
        <v>1200000018561473</v>
      </c>
      <c r="N53" s="60" t="s">
        <v>329</v>
      </c>
      <c r="O53" s="60"/>
    </row>
    <row r="54" spans="1:15">
      <c r="A54" s="60"/>
      <c r="B54" s="60" t="s">
        <v>305</v>
      </c>
      <c r="C54" s="60" t="s">
        <v>306</v>
      </c>
      <c r="D54" s="60" t="s">
        <v>325</v>
      </c>
      <c r="E54" s="60" t="s">
        <v>275</v>
      </c>
      <c r="F54" s="60" t="s">
        <v>276</v>
      </c>
      <c r="G54" s="60" t="s">
        <v>276</v>
      </c>
      <c r="H54" s="60" t="s">
        <v>326</v>
      </c>
      <c r="I54" s="60" t="b">
        <v>0</v>
      </c>
      <c r="J54" s="60">
        <v>2</v>
      </c>
      <c r="K54" s="60">
        <v>1477.1</v>
      </c>
      <c r="L54" s="61">
        <v>402016994</v>
      </c>
      <c r="M54" s="61">
        <v>1200000018561473</v>
      </c>
      <c r="N54" s="60" t="s">
        <v>329</v>
      </c>
      <c r="O54" s="60"/>
    </row>
    <row r="55" spans="1:15">
      <c r="A55" s="60"/>
      <c r="B55" s="60" t="s">
        <v>305</v>
      </c>
      <c r="C55" s="60" t="s">
        <v>306</v>
      </c>
      <c r="D55" s="60" t="s">
        <v>325</v>
      </c>
      <c r="E55" s="60" t="s">
        <v>275</v>
      </c>
      <c r="F55" s="60" t="s">
        <v>276</v>
      </c>
      <c r="G55" s="60" t="s">
        <v>276</v>
      </c>
      <c r="H55" s="60" t="s">
        <v>326</v>
      </c>
      <c r="I55" s="60" t="b">
        <v>0</v>
      </c>
      <c r="J55" s="60">
        <v>1</v>
      </c>
      <c r="K55" s="60">
        <v>1477</v>
      </c>
      <c r="L55" s="61">
        <v>402017000</v>
      </c>
      <c r="M55" s="61">
        <v>1200000018561473</v>
      </c>
      <c r="N55" s="60" t="s">
        <v>329</v>
      </c>
      <c r="O55" s="60"/>
    </row>
    <row r="56" spans="1:15">
      <c r="A56" s="60"/>
      <c r="B56" s="60" t="s">
        <v>305</v>
      </c>
      <c r="C56" s="60" t="s">
        <v>306</v>
      </c>
      <c r="D56" s="60" t="s">
        <v>325</v>
      </c>
      <c r="E56" s="60" t="s">
        <v>275</v>
      </c>
      <c r="F56" s="60" t="s">
        <v>276</v>
      </c>
      <c r="G56" s="60" t="s">
        <v>276</v>
      </c>
      <c r="H56" s="60" t="s">
        <v>326</v>
      </c>
      <c r="I56" s="60" t="b">
        <v>0</v>
      </c>
      <c r="J56" s="60">
        <v>1</v>
      </c>
      <c r="K56" s="60">
        <v>1477.1</v>
      </c>
      <c r="L56" s="61">
        <v>402016997</v>
      </c>
      <c r="M56" s="61">
        <v>1200000018561473</v>
      </c>
      <c r="N56" s="60" t="s">
        <v>329</v>
      </c>
      <c r="O56" s="60"/>
    </row>
    <row r="57" spans="1:15">
      <c r="A57" s="60"/>
      <c r="B57" s="60" t="s">
        <v>305</v>
      </c>
      <c r="C57" s="60" t="s">
        <v>306</v>
      </c>
      <c r="D57" s="60" t="s">
        <v>325</v>
      </c>
      <c r="E57" s="60" t="s">
        <v>275</v>
      </c>
      <c r="F57" s="60" t="s">
        <v>276</v>
      </c>
      <c r="G57" s="60" t="s">
        <v>276</v>
      </c>
      <c r="H57" s="60" t="s">
        <v>326</v>
      </c>
      <c r="I57" s="60" t="b">
        <v>0</v>
      </c>
      <c r="J57" s="60">
        <v>14</v>
      </c>
      <c r="K57" s="60">
        <v>1477</v>
      </c>
      <c r="L57" s="61">
        <v>402017001</v>
      </c>
      <c r="M57" s="61">
        <v>1200000018561473</v>
      </c>
      <c r="N57" s="60" t="s">
        <v>329</v>
      </c>
      <c r="O57" s="60"/>
    </row>
    <row r="58" spans="1:15">
      <c r="A58" s="60"/>
      <c r="B58" s="60" t="s">
        <v>305</v>
      </c>
      <c r="C58" s="60" t="s">
        <v>306</v>
      </c>
      <c r="D58" s="60" t="s">
        <v>325</v>
      </c>
      <c r="E58" s="60" t="s">
        <v>275</v>
      </c>
      <c r="F58" s="60" t="s">
        <v>276</v>
      </c>
      <c r="G58" s="60" t="s">
        <v>276</v>
      </c>
      <c r="H58" s="60" t="s">
        <v>326</v>
      </c>
      <c r="I58" s="60" t="b">
        <v>0</v>
      </c>
      <c r="J58" s="60">
        <v>5</v>
      </c>
      <c r="K58" s="60">
        <v>1477.1</v>
      </c>
      <c r="L58" s="61">
        <v>402016998</v>
      </c>
      <c r="M58" s="61">
        <v>1200000018561473</v>
      </c>
      <c r="N58" s="60" t="s">
        <v>329</v>
      </c>
      <c r="O58" s="60"/>
    </row>
    <row r="59" spans="1:15">
      <c r="A59" s="60"/>
      <c r="B59" s="60" t="s">
        <v>305</v>
      </c>
      <c r="C59" s="60" t="s">
        <v>306</v>
      </c>
      <c r="D59" s="60" t="s">
        <v>325</v>
      </c>
      <c r="E59" s="60" t="s">
        <v>275</v>
      </c>
      <c r="F59" s="60" t="s">
        <v>276</v>
      </c>
      <c r="G59" s="60" t="s">
        <v>276</v>
      </c>
      <c r="H59" s="60" t="s">
        <v>326</v>
      </c>
      <c r="I59" s="60" t="b">
        <v>0</v>
      </c>
      <c r="J59" s="60">
        <v>10</v>
      </c>
      <c r="K59" s="60">
        <v>1477.1</v>
      </c>
      <c r="L59" s="61">
        <v>402016999</v>
      </c>
      <c r="M59" s="61">
        <v>1200000018561473</v>
      </c>
      <c r="N59" s="60" t="s">
        <v>329</v>
      </c>
      <c r="O59" s="60"/>
    </row>
    <row r="60" spans="1:15">
      <c r="A60" s="60"/>
      <c r="B60" s="60" t="s">
        <v>315</v>
      </c>
      <c r="C60" s="60" t="s">
        <v>316</v>
      </c>
      <c r="D60" s="60" t="s">
        <v>330</v>
      </c>
      <c r="E60" s="60" t="s">
        <v>275</v>
      </c>
      <c r="F60" s="60" t="s">
        <v>276</v>
      </c>
      <c r="G60" s="60" t="s">
        <v>276</v>
      </c>
      <c r="H60" s="60" t="s">
        <v>277</v>
      </c>
      <c r="I60" s="60" t="b">
        <v>0</v>
      </c>
      <c r="J60" s="60">
        <v>1</v>
      </c>
      <c r="K60" s="60">
        <v>126.69</v>
      </c>
      <c r="L60" s="61">
        <v>5171536</v>
      </c>
      <c r="M60" s="61">
        <v>1000000056548613</v>
      </c>
      <c r="N60" s="60" t="s">
        <v>331</v>
      </c>
      <c r="O60" s="60"/>
    </row>
    <row r="61" spans="1:15">
      <c r="A61" s="60"/>
      <c r="B61" s="60" t="s">
        <v>315</v>
      </c>
      <c r="C61" s="60" t="s">
        <v>316</v>
      </c>
      <c r="D61" s="60" t="s">
        <v>330</v>
      </c>
      <c r="E61" s="60" t="s">
        <v>275</v>
      </c>
      <c r="F61" s="60" t="s">
        <v>276</v>
      </c>
      <c r="G61" s="60" t="s">
        <v>276</v>
      </c>
      <c r="H61" s="60" t="s">
        <v>277</v>
      </c>
      <c r="I61" s="60" t="b">
        <v>0</v>
      </c>
      <c r="J61" s="60">
        <v>2</v>
      </c>
      <c r="K61" s="60">
        <v>126.67</v>
      </c>
      <c r="L61" s="61">
        <v>5171523</v>
      </c>
      <c r="M61" s="61">
        <v>1000000056548613</v>
      </c>
      <c r="N61" s="60" t="s">
        <v>331</v>
      </c>
      <c r="O61" s="60"/>
    </row>
    <row r="62" spans="1:15">
      <c r="A62" s="60"/>
      <c r="B62" s="60" t="s">
        <v>315</v>
      </c>
      <c r="C62" s="60" t="s">
        <v>316</v>
      </c>
      <c r="D62" s="60" t="s">
        <v>330</v>
      </c>
      <c r="E62" s="60" t="s">
        <v>275</v>
      </c>
      <c r="F62" s="60" t="s">
        <v>276</v>
      </c>
      <c r="G62" s="60" t="s">
        <v>276</v>
      </c>
      <c r="H62" s="60" t="s">
        <v>277</v>
      </c>
      <c r="I62" s="60" t="b">
        <v>0</v>
      </c>
      <c r="J62" s="60">
        <v>1</v>
      </c>
      <c r="K62" s="60">
        <v>126.67</v>
      </c>
      <c r="L62" s="61">
        <v>5171524</v>
      </c>
      <c r="M62" s="61">
        <v>1000000056548613</v>
      </c>
      <c r="N62" s="60" t="s">
        <v>331</v>
      </c>
      <c r="O62" s="60"/>
    </row>
    <row r="63" spans="1:15">
      <c r="A63" s="60"/>
      <c r="B63" s="60" t="s">
        <v>315</v>
      </c>
      <c r="C63" s="60" t="s">
        <v>316</v>
      </c>
      <c r="D63" s="60" t="s">
        <v>330</v>
      </c>
      <c r="E63" s="60" t="s">
        <v>275</v>
      </c>
      <c r="F63" s="60" t="s">
        <v>276</v>
      </c>
      <c r="G63" s="60" t="s">
        <v>276</v>
      </c>
      <c r="H63" s="60" t="s">
        <v>277</v>
      </c>
      <c r="I63" s="60" t="b">
        <v>0</v>
      </c>
      <c r="J63" s="60">
        <v>369</v>
      </c>
      <c r="K63" s="60">
        <v>126.7</v>
      </c>
      <c r="L63" s="61">
        <v>5171538</v>
      </c>
      <c r="M63" s="61">
        <v>1000000056548613</v>
      </c>
      <c r="N63" s="60" t="s">
        <v>331</v>
      </c>
      <c r="O63" s="60"/>
    </row>
    <row r="64" spans="1:15">
      <c r="A64" s="60"/>
      <c r="B64" s="60" t="s">
        <v>315</v>
      </c>
      <c r="C64" s="60" t="s">
        <v>316</v>
      </c>
      <c r="D64" s="60" t="s">
        <v>330</v>
      </c>
      <c r="E64" s="60" t="s">
        <v>275</v>
      </c>
      <c r="F64" s="60" t="s">
        <v>276</v>
      </c>
      <c r="G64" s="60" t="s">
        <v>276</v>
      </c>
      <c r="H64" s="60" t="s">
        <v>277</v>
      </c>
      <c r="I64" s="60" t="b">
        <v>0</v>
      </c>
      <c r="J64" s="60">
        <v>60</v>
      </c>
      <c r="K64" s="60">
        <v>126.7</v>
      </c>
      <c r="L64" s="61">
        <v>5171540</v>
      </c>
      <c r="M64" s="61">
        <v>1000000056548613</v>
      </c>
      <c r="N64" s="60" t="s">
        <v>331</v>
      </c>
      <c r="O64" s="60"/>
    </row>
    <row r="65" spans="1:15">
      <c r="A65" s="60"/>
      <c r="B65" s="60" t="s">
        <v>315</v>
      </c>
      <c r="C65" s="60" t="s">
        <v>316</v>
      </c>
      <c r="D65" s="60" t="s">
        <v>330</v>
      </c>
      <c r="E65" s="60" t="s">
        <v>275</v>
      </c>
      <c r="F65" s="60" t="s">
        <v>276</v>
      </c>
      <c r="G65" s="60" t="s">
        <v>276</v>
      </c>
      <c r="H65" s="60" t="s">
        <v>277</v>
      </c>
      <c r="I65" s="60" t="b">
        <v>0</v>
      </c>
      <c r="J65" s="60">
        <v>125</v>
      </c>
      <c r="K65" s="60">
        <v>126.69</v>
      </c>
      <c r="L65" s="61">
        <v>5171535</v>
      </c>
      <c r="M65" s="61">
        <v>1000000056548613</v>
      </c>
      <c r="N65" s="60" t="s">
        <v>331</v>
      </c>
      <c r="O65" s="60"/>
    </row>
    <row r="66" spans="1:15">
      <c r="A66" s="60"/>
      <c r="B66" s="60" t="s">
        <v>315</v>
      </c>
      <c r="C66" s="60" t="s">
        <v>316</v>
      </c>
      <c r="D66" s="60" t="s">
        <v>330</v>
      </c>
      <c r="E66" s="60" t="s">
        <v>275</v>
      </c>
      <c r="F66" s="60" t="s">
        <v>276</v>
      </c>
      <c r="G66" s="60" t="s">
        <v>276</v>
      </c>
      <c r="H66" s="60" t="s">
        <v>277</v>
      </c>
      <c r="I66" s="60" t="b">
        <v>0</v>
      </c>
      <c r="J66" s="60">
        <v>110</v>
      </c>
      <c r="K66" s="60">
        <v>126.7</v>
      </c>
      <c r="L66" s="61">
        <v>5171539</v>
      </c>
      <c r="M66" s="61">
        <v>1000000056548613</v>
      </c>
      <c r="N66" s="60" t="s">
        <v>331</v>
      </c>
      <c r="O66" s="60"/>
    </row>
    <row r="67" spans="1:15">
      <c r="A67" s="60"/>
      <c r="B67" s="60" t="s">
        <v>315</v>
      </c>
      <c r="C67" s="60" t="s">
        <v>316</v>
      </c>
      <c r="D67" s="60" t="s">
        <v>330</v>
      </c>
      <c r="E67" s="60" t="s">
        <v>275</v>
      </c>
      <c r="F67" s="60" t="s">
        <v>276</v>
      </c>
      <c r="G67" s="60" t="s">
        <v>276</v>
      </c>
      <c r="H67" s="60" t="s">
        <v>277</v>
      </c>
      <c r="I67" s="60" t="b">
        <v>0</v>
      </c>
      <c r="J67" s="60">
        <v>59</v>
      </c>
      <c r="K67" s="60">
        <v>126.69</v>
      </c>
      <c r="L67" s="61">
        <v>5171537</v>
      </c>
      <c r="M67" s="61">
        <v>1000000056548613</v>
      </c>
      <c r="N67" s="60" t="s">
        <v>331</v>
      </c>
      <c r="O67" s="60"/>
    </row>
    <row r="68" spans="1:15">
      <c r="A68" s="60"/>
      <c r="B68" s="60" t="s">
        <v>315</v>
      </c>
      <c r="C68" s="60" t="s">
        <v>316</v>
      </c>
      <c r="D68" s="60" t="s">
        <v>330</v>
      </c>
      <c r="E68" s="60" t="s">
        <v>275</v>
      </c>
      <c r="F68" s="60" t="s">
        <v>276</v>
      </c>
      <c r="G68" s="60" t="s">
        <v>276</v>
      </c>
      <c r="H68" s="60" t="s">
        <v>277</v>
      </c>
      <c r="I68" s="60" t="b">
        <v>0</v>
      </c>
      <c r="J68" s="60">
        <v>7</v>
      </c>
      <c r="K68" s="60">
        <v>126.7</v>
      </c>
      <c r="L68" s="61">
        <v>5171541</v>
      </c>
      <c r="M68" s="61">
        <v>1000000056548613</v>
      </c>
      <c r="N68" s="60" t="s">
        <v>331</v>
      </c>
      <c r="O68" s="60"/>
    </row>
    <row r="69" spans="1:15">
      <c r="A69" s="60"/>
      <c r="B69" s="60" t="s">
        <v>295</v>
      </c>
      <c r="C69" s="60" t="s">
        <v>296</v>
      </c>
      <c r="D69" s="60" t="s">
        <v>330</v>
      </c>
      <c r="E69" s="60" t="s">
        <v>332</v>
      </c>
      <c r="F69" s="60" t="s">
        <v>276</v>
      </c>
      <c r="G69" s="60" t="s">
        <v>333</v>
      </c>
      <c r="H69" s="60" t="s">
        <v>277</v>
      </c>
      <c r="I69" s="60" t="b">
        <v>0</v>
      </c>
      <c r="J69" s="60">
        <v>250</v>
      </c>
      <c r="K69" s="60">
        <v>207</v>
      </c>
      <c r="L69" s="61">
        <v>8112900</v>
      </c>
      <c r="M69" s="61">
        <v>1.7597414366261729E+18</v>
      </c>
      <c r="N69" s="60" t="s">
        <v>334</v>
      </c>
      <c r="O69" s="60"/>
    </row>
    <row r="70" spans="1:15">
      <c r="A70" s="60"/>
      <c r="B70" s="60" t="s">
        <v>335</v>
      </c>
      <c r="C70" s="60" t="s">
        <v>336</v>
      </c>
      <c r="D70" s="60" t="s">
        <v>330</v>
      </c>
      <c r="E70" s="60" t="s">
        <v>275</v>
      </c>
      <c r="F70" s="60" t="s">
        <v>276</v>
      </c>
      <c r="G70" s="60" t="s">
        <v>276</v>
      </c>
      <c r="H70" s="60" t="s">
        <v>277</v>
      </c>
      <c r="I70" s="60" t="b">
        <v>0</v>
      </c>
      <c r="J70" s="60">
        <v>154</v>
      </c>
      <c r="K70" s="60">
        <v>531.35</v>
      </c>
      <c r="L70" s="61">
        <v>406721086</v>
      </c>
      <c r="M70" s="61">
        <v>1200000079369794</v>
      </c>
      <c r="N70" s="60" t="s">
        <v>337</v>
      </c>
      <c r="O70" s="60"/>
    </row>
    <row r="71" spans="1:15">
      <c r="A71" s="60"/>
      <c r="B71" s="60" t="s">
        <v>335</v>
      </c>
      <c r="C71" s="60" t="s">
        <v>336</v>
      </c>
      <c r="D71" s="60" t="s">
        <v>330</v>
      </c>
      <c r="E71" s="60" t="s">
        <v>275</v>
      </c>
      <c r="F71" s="60" t="s">
        <v>276</v>
      </c>
      <c r="G71" s="60" t="s">
        <v>276</v>
      </c>
      <c r="H71" s="60" t="s">
        <v>277</v>
      </c>
      <c r="I71" s="60" t="b">
        <v>0</v>
      </c>
      <c r="J71" s="60">
        <v>23</v>
      </c>
      <c r="K71" s="60">
        <v>531.29999999999995</v>
      </c>
      <c r="L71" s="61">
        <v>406721085</v>
      </c>
      <c r="M71" s="61">
        <v>1200000079369794</v>
      </c>
      <c r="N71" s="60" t="s">
        <v>337</v>
      </c>
      <c r="O71" s="60"/>
    </row>
    <row r="72" spans="1:15">
      <c r="A72" s="60"/>
      <c r="B72" s="60" t="s">
        <v>335</v>
      </c>
      <c r="C72" s="60" t="s">
        <v>336</v>
      </c>
      <c r="D72" s="60" t="s">
        <v>330</v>
      </c>
      <c r="E72" s="60" t="s">
        <v>275</v>
      </c>
      <c r="F72" s="60" t="s">
        <v>276</v>
      </c>
      <c r="G72" s="60" t="s">
        <v>276</v>
      </c>
      <c r="H72" s="60" t="s">
        <v>277</v>
      </c>
      <c r="I72" s="60" t="b">
        <v>0</v>
      </c>
      <c r="J72" s="60">
        <v>11</v>
      </c>
      <c r="K72" s="60">
        <v>531.35</v>
      </c>
      <c r="L72" s="61">
        <v>406721087</v>
      </c>
      <c r="M72" s="61">
        <v>1200000079369794</v>
      </c>
      <c r="N72" s="60" t="s">
        <v>337</v>
      </c>
      <c r="O72" s="60"/>
    </row>
    <row r="73" spans="1:15">
      <c r="A73" s="60"/>
      <c r="B73" s="60" t="s">
        <v>338</v>
      </c>
      <c r="C73" s="60" t="s">
        <v>339</v>
      </c>
      <c r="D73" s="60" t="s">
        <v>330</v>
      </c>
      <c r="E73" s="60" t="s">
        <v>275</v>
      </c>
      <c r="F73" s="60" t="s">
        <v>276</v>
      </c>
      <c r="G73" s="60" t="s">
        <v>276</v>
      </c>
      <c r="H73" s="60" t="s">
        <v>277</v>
      </c>
      <c r="I73" s="60" t="b">
        <v>0</v>
      </c>
      <c r="J73" s="60">
        <v>5</v>
      </c>
      <c r="K73" s="60">
        <v>210.48</v>
      </c>
      <c r="L73" s="61">
        <v>406814089</v>
      </c>
      <c r="M73" s="61">
        <v>1200000080227979</v>
      </c>
      <c r="N73" s="60" t="s">
        <v>340</v>
      </c>
      <c r="O73" s="60"/>
    </row>
    <row r="74" spans="1:15">
      <c r="A74" s="60"/>
      <c r="B74" s="60" t="s">
        <v>338</v>
      </c>
      <c r="C74" s="60" t="s">
        <v>339</v>
      </c>
      <c r="D74" s="60" t="s">
        <v>330</v>
      </c>
      <c r="E74" s="60" t="s">
        <v>275</v>
      </c>
      <c r="F74" s="60" t="s">
        <v>276</v>
      </c>
      <c r="G74" s="60" t="s">
        <v>276</v>
      </c>
      <c r="H74" s="60" t="s">
        <v>277</v>
      </c>
      <c r="I74" s="60" t="b">
        <v>0</v>
      </c>
      <c r="J74" s="60">
        <v>19</v>
      </c>
      <c r="K74" s="60">
        <v>210.48</v>
      </c>
      <c r="L74" s="61">
        <v>406814086</v>
      </c>
      <c r="M74" s="61">
        <v>1200000080227979</v>
      </c>
      <c r="N74" s="60" t="s">
        <v>340</v>
      </c>
      <c r="O74" s="60"/>
    </row>
    <row r="75" spans="1:15">
      <c r="A75" s="60"/>
      <c r="B75" s="60" t="s">
        <v>338</v>
      </c>
      <c r="C75" s="60" t="s">
        <v>339</v>
      </c>
      <c r="D75" s="60" t="s">
        <v>330</v>
      </c>
      <c r="E75" s="60" t="s">
        <v>275</v>
      </c>
      <c r="F75" s="60" t="s">
        <v>276</v>
      </c>
      <c r="G75" s="60" t="s">
        <v>276</v>
      </c>
      <c r="H75" s="60" t="s">
        <v>277</v>
      </c>
      <c r="I75" s="60" t="b">
        <v>0</v>
      </c>
      <c r="J75" s="60">
        <v>2</v>
      </c>
      <c r="K75" s="60">
        <v>210.49</v>
      </c>
      <c r="L75" s="61">
        <v>406814099</v>
      </c>
      <c r="M75" s="61">
        <v>1200000080227979</v>
      </c>
      <c r="N75" s="60" t="s">
        <v>340</v>
      </c>
      <c r="O75" s="60"/>
    </row>
    <row r="76" spans="1:15">
      <c r="A76" s="60"/>
      <c r="B76" s="60" t="s">
        <v>338</v>
      </c>
      <c r="C76" s="60" t="s">
        <v>339</v>
      </c>
      <c r="D76" s="60" t="s">
        <v>330</v>
      </c>
      <c r="E76" s="60" t="s">
        <v>275</v>
      </c>
      <c r="F76" s="60" t="s">
        <v>276</v>
      </c>
      <c r="G76" s="60" t="s">
        <v>276</v>
      </c>
      <c r="H76" s="60" t="s">
        <v>277</v>
      </c>
      <c r="I76" s="60" t="b">
        <v>0</v>
      </c>
      <c r="J76" s="60">
        <v>1</v>
      </c>
      <c r="K76" s="60">
        <v>210.48</v>
      </c>
      <c r="L76" s="61">
        <v>406814087</v>
      </c>
      <c r="M76" s="61">
        <v>1200000080227979</v>
      </c>
      <c r="N76" s="60" t="s">
        <v>340</v>
      </c>
      <c r="O76" s="60"/>
    </row>
    <row r="77" spans="1:15">
      <c r="A77" s="60"/>
      <c r="B77" s="60" t="s">
        <v>338</v>
      </c>
      <c r="C77" s="60" t="s">
        <v>339</v>
      </c>
      <c r="D77" s="60" t="s">
        <v>330</v>
      </c>
      <c r="E77" s="60" t="s">
        <v>275</v>
      </c>
      <c r="F77" s="60" t="s">
        <v>276</v>
      </c>
      <c r="G77" s="60" t="s">
        <v>276</v>
      </c>
      <c r="H77" s="60" t="s">
        <v>277</v>
      </c>
      <c r="I77" s="60" t="b">
        <v>0</v>
      </c>
      <c r="J77" s="60">
        <v>17</v>
      </c>
      <c r="K77" s="60">
        <v>210.49</v>
      </c>
      <c r="L77" s="61">
        <v>406814090</v>
      </c>
      <c r="M77" s="61">
        <v>1200000080227979</v>
      </c>
      <c r="N77" s="60" t="s">
        <v>340</v>
      </c>
      <c r="O77" s="60"/>
    </row>
    <row r="78" spans="1:15">
      <c r="A78" s="60"/>
      <c r="B78" s="60" t="s">
        <v>338</v>
      </c>
      <c r="C78" s="60" t="s">
        <v>339</v>
      </c>
      <c r="D78" s="60" t="s">
        <v>330</v>
      </c>
      <c r="E78" s="60" t="s">
        <v>275</v>
      </c>
      <c r="F78" s="60" t="s">
        <v>276</v>
      </c>
      <c r="G78" s="60" t="s">
        <v>276</v>
      </c>
      <c r="H78" s="60" t="s">
        <v>277</v>
      </c>
      <c r="I78" s="60" t="b">
        <v>0</v>
      </c>
      <c r="J78" s="60">
        <v>23</v>
      </c>
      <c r="K78" s="60">
        <v>210.5</v>
      </c>
      <c r="L78" s="61">
        <v>406814105</v>
      </c>
      <c r="M78" s="61">
        <v>1200000080227979</v>
      </c>
      <c r="N78" s="60" t="s">
        <v>340</v>
      </c>
      <c r="O78" s="60"/>
    </row>
    <row r="79" spans="1:15">
      <c r="A79" s="60"/>
      <c r="B79" s="60" t="s">
        <v>338</v>
      </c>
      <c r="C79" s="60" t="s">
        <v>339</v>
      </c>
      <c r="D79" s="60" t="s">
        <v>330</v>
      </c>
      <c r="E79" s="60" t="s">
        <v>275</v>
      </c>
      <c r="F79" s="60" t="s">
        <v>276</v>
      </c>
      <c r="G79" s="60" t="s">
        <v>276</v>
      </c>
      <c r="H79" s="60" t="s">
        <v>277</v>
      </c>
      <c r="I79" s="60" t="b">
        <v>0</v>
      </c>
      <c r="J79" s="60">
        <v>1</v>
      </c>
      <c r="K79" s="60">
        <v>210.49</v>
      </c>
      <c r="L79" s="61">
        <v>406814092</v>
      </c>
      <c r="M79" s="61">
        <v>1200000080227979</v>
      </c>
      <c r="N79" s="60" t="s">
        <v>340</v>
      </c>
      <c r="O79" s="60"/>
    </row>
    <row r="80" spans="1:15">
      <c r="A80" s="60"/>
      <c r="B80" s="60" t="s">
        <v>338</v>
      </c>
      <c r="C80" s="60" t="s">
        <v>339</v>
      </c>
      <c r="D80" s="60" t="s">
        <v>330</v>
      </c>
      <c r="E80" s="60" t="s">
        <v>275</v>
      </c>
      <c r="F80" s="60" t="s">
        <v>276</v>
      </c>
      <c r="G80" s="60" t="s">
        <v>276</v>
      </c>
      <c r="H80" s="60" t="s">
        <v>277</v>
      </c>
      <c r="I80" s="60" t="b">
        <v>0</v>
      </c>
      <c r="J80" s="60">
        <v>17</v>
      </c>
      <c r="K80" s="60">
        <v>210.48</v>
      </c>
      <c r="L80" s="61">
        <v>406814083</v>
      </c>
      <c r="M80" s="61">
        <v>1200000080227979</v>
      </c>
      <c r="N80" s="60" t="s">
        <v>340</v>
      </c>
      <c r="O80" s="60"/>
    </row>
    <row r="81" spans="1:15">
      <c r="A81" s="60"/>
      <c r="B81" s="60" t="s">
        <v>338</v>
      </c>
      <c r="C81" s="60" t="s">
        <v>339</v>
      </c>
      <c r="D81" s="60" t="s">
        <v>330</v>
      </c>
      <c r="E81" s="60" t="s">
        <v>275</v>
      </c>
      <c r="F81" s="60" t="s">
        <v>276</v>
      </c>
      <c r="G81" s="60" t="s">
        <v>276</v>
      </c>
      <c r="H81" s="60" t="s">
        <v>277</v>
      </c>
      <c r="I81" s="60" t="b">
        <v>0</v>
      </c>
      <c r="J81" s="60">
        <v>8</v>
      </c>
      <c r="K81" s="60">
        <v>210.48</v>
      </c>
      <c r="L81" s="61">
        <v>406814085</v>
      </c>
      <c r="M81" s="61">
        <v>1200000080227979</v>
      </c>
      <c r="N81" s="60" t="s">
        <v>340</v>
      </c>
      <c r="O81" s="60"/>
    </row>
    <row r="82" spans="1:15">
      <c r="A82" s="60"/>
      <c r="B82" s="60" t="s">
        <v>338</v>
      </c>
      <c r="C82" s="60" t="s">
        <v>339</v>
      </c>
      <c r="D82" s="60" t="s">
        <v>330</v>
      </c>
      <c r="E82" s="60" t="s">
        <v>275</v>
      </c>
      <c r="F82" s="60" t="s">
        <v>276</v>
      </c>
      <c r="G82" s="60" t="s">
        <v>276</v>
      </c>
      <c r="H82" s="60" t="s">
        <v>277</v>
      </c>
      <c r="I82" s="60" t="b">
        <v>0</v>
      </c>
      <c r="J82" s="60">
        <v>2</v>
      </c>
      <c r="K82" s="60">
        <v>210.5</v>
      </c>
      <c r="L82" s="61">
        <v>406814104</v>
      </c>
      <c r="M82" s="61">
        <v>1200000080227979</v>
      </c>
      <c r="N82" s="60" t="s">
        <v>340</v>
      </c>
      <c r="O82" s="60"/>
    </row>
    <row r="83" spans="1:15">
      <c r="A83" s="60"/>
      <c r="B83" s="60" t="s">
        <v>338</v>
      </c>
      <c r="C83" s="60" t="s">
        <v>339</v>
      </c>
      <c r="D83" s="60" t="s">
        <v>330</v>
      </c>
      <c r="E83" s="60" t="s">
        <v>275</v>
      </c>
      <c r="F83" s="60" t="s">
        <v>276</v>
      </c>
      <c r="G83" s="60" t="s">
        <v>276</v>
      </c>
      <c r="H83" s="60" t="s">
        <v>277</v>
      </c>
      <c r="I83" s="60" t="b">
        <v>0</v>
      </c>
      <c r="J83" s="60">
        <v>2</v>
      </c>
      <c r="K83" s="60">
        <v>210.48</v>
      </c>
      <c r="L83" s="61">
        <v>406814088</v>
      </c>
      <c r="M83" s="61">
        <v>1200000080227979</v>
      </c>
      <c r="N83" s="60" t="s">
        <v>340</v>
      </c>
      <c r="O83" s="60"/>
    </row>
    <row r="84" spans="1:15">
      <c r="A84" s="60"/>
      <c r="B84" s="60" t="s">
        <v>338</v>
      </c>
      <c r="C84" s="60" t="s">
        <v>339</v>
      </c>
      <c r="D84" s="60" t="s">
        <v>330</v>
      </c>
      <c r="E84" s="60" t="s">
        <v>275</v>
      </c>
      <c r="F84" s="60" t="s">
        <v>276</v>
      </c>
      <c r="G84" s="60" t="s">
        <v>276</v>
      </c>
      <c r="H84" s="60" t="s">
        <v>277</v>
      </c>
      <c r="I84" s="60" t="b">
        <v>0</v>
      </c>
      <c r="J84" s="60">
        <v>7</v>
      </c>
      <c r="K84" s="60">
        <v>210.49</v>
      </c>
      <c r="L84" s="61">
        <v>406814103</v>
      </c>
      <c r="M84" s="61">
        <v>1200000080227979</v>
      </c>
      <c r="N84" s="60" t="s">
        <v>340</v>
      </c>
      <c r="O84" s="60"/>
    </row>
    <row r="85" spans="1:15">
      <c r="A85" s="60"/>
      <c r="B85" s="60" t="s">
        <v>299</v>
      </c>
      <c r="C85" s="60" t="s">
        <v>300</v>
      </c>
      <c r="D85" s="60" t="s">
        <v>330</v>
      </c>
      <c r="E85" s="60" t="s">
        <v>332</v>
      </c>
      <c r="F85" s="60" t="s">
        <v>276</v>
      </c>
      <c r="G85" s="60" t="s">
        <v>333</v>
      </c>
      <c r="H85" s="60" t="s">
        <v>277</v>
      </c>
      <c r="I85" s="60" t="b">
        <v>0</v>
      </c>
      <c r="J85" s="60">
        <v>163</v>
      </c>
      <c r="K85" s="60">
        <v>612.20000000000005</v>
      </c>
      <c r="L85" s="61">
        <v>7270300</v>
      </c>
      <c r="M85" s="61">
        <v>1.7597411099705011E+18</v>
      </c>
      <c r="N85" s="60" t="s">
        <v>341</v>
      </c>
      <c r="O85" s="60"/>
    </row>
    <row r="86" spans="1:15">
      <c r="A86" s="60"/>
      <c r="B86" s="60" t="s">
        <v>187</v>
      </c>
      <c r="C86" s="60" t="s">
        <v>342</v>
      </c>
      <c r="D86" s="60" t="s">
        <v>330</v>
      </c>
      <c r="E86" s="60" t="s">
        <v>275</v>
      </c>
      <c r="F86" s="60" t="s">
        <v>276</v>
      </c>
      <c r="G86" s="60" t="s">
        <v>276</v>
      </c>
      <c r="H86" s="60" t="s">
        <v>277</v>
      </c>
      <c r="I86" s="60" t="b">
        <v>0</v>
      </c>
      <c r="J86" s="60">
        <v>87</v>
      </c>
      <c r="K86" s="60">
        <v>775.7</v>
      </c>
      <c r="L86" s="61">
        <v>208032320</v>
      </c>
      <c r="M86" s="61">
        <v>1100000078423165</v>
      </c>
      <c r="N86" s="60" t="s">
        <v>343</v>
      </c>
      <c r="O86" s="60"/>
    </row>
    <row r="87" spans="1:15">
      <c r="A87" s="60"/>
      <c r="B87" s="60" t="s">
        <v>187</v>
      </c>
      <c r="C87" s="60" t="s">
        <v>342</v>
      </c>
      <c r="D87" s="60" t="s">
        <v>330</v>
      </c>
      <c r="E87" s="60" t="s">
        <v>275</v>
      </c>
      <c r="F87" s="60" t="s">
        <v>276</v>
      </c>
      <c r="G87" s="60" t="s">
        <v>276</v>
      </c>
      <c r="H87" s="60" t="s">
        <v>277</v>
      </c>
      <c r="I87" s="60" t="b">
        <v>0</v>
      </c>
      <c r="J87" s="60">
        <v>42</v>
      </c>
      <c r="K87" s="60">
        <v>775.7</v>
      </c>
      <c r="L87" s="61">
        <v>208032319</v>
      </c>
      <c r="M87" s="61">
        <v>1100000078423165</v>
      </c>
      <c r="N87" s="60" t="s">
        <v>343</v>
      </c>
      <c r="O87" s="60"/>
    </row>
    <row r="88" spans="1:15">
      <c r="A88" s="60"/>
      <c r="B88" s="60" t="s">
        <v>321</v>
      </c>
      <c r="C88" s="60" t="s">
        <v>322</v>
      </c>
      <c r="D88" s="60" t="s">
        <v>344</v>
      </c>
      <c r="E88" s="60" t="s">
        <v>275</v>
      </c>
      <c r="F88" s="60" t="s">
        <v>276</v>
      </c>
      <c r="G88" s="60" t="s">
        <v>276</v>
      </c>
      <c r="H88" s="60" t="s">
        <v>326</v>
      </c>
      <c r="I88" s="60" t="b">
        <v>0</v>
      </c>
      <c r="J88" s="60">
        <v>8</v>
      </c>
      <c r="K88" s="60">
        <v>786.7</v>
      </c>
      <c r="L88" s="61">
        <v>605515333</v>
      </c>
      <c r="M88" s="61">
        <v>1300000051006281</v>
      </c>
      <c r="N88" s="60" t="s">
        <v>345</v>
      </c>
      <c r="O88" s="60"/>
    </row>
    <row r="89" spans="1:15">
      <c r="A89" s="60"/>
      <c r="B89" s="60" t="s">
        <v>321</v>
      </c>
      <c r="C89" s="60" t="s">
        <v>322</v>
      </c>
      <c r="D89" s="60" t="s">
        <v>344</v>
      </c>
      <c r="E89" s="60" t="s">
        <v>275</v>
      </c>
      <c r="F89" s="60" t="s">
        <v>276</v>
      </c>
      <c r="G89" s="60" t="s">
        <v>276</v>
      </c>
      <c r="H89" s="60" t="s">
        <v>326</v>
      </c>
      <c r="I89" s="60" t="b">
        <v>0</v>
      </c>
      <c r="J89" s="60">
        <v>1</v>
      </c>
      <c r="K89" s="60">
        <v>786.85</v>
      </c>
      <c r="L89" s="61">
        <v>605515329</v>
      </c>
      <c r="M89" s="61">
        <v>1300000051006281</v>
      </c>
      <c r="N89" s="60" t="s">
        <v>345</v>
      </c>
      <c r="O89" s="60"/>
    </row>
    <row r="90" spans="1:15">
      <c r="A90" s="60"/>
      <c r="B90" s="60" t="s">
        <v>321</v>
      </c>
      <c r="C90" s="60" t="s">
        <v>322</v>
      </c>
      <c r="D90" s="60" t="s">
        <v>344</v>
      </c>
      <c r="E90" s="60" t="s">
        <v>275</v>
      </c>
      <c r="F90" s="60" t="s">
        <v>276</v>
      </c>
      <c r="G90" s="60" t="s">
        <v>276</v>
      </c>
      <c r="H90" s="60" t="s">
        <v>326</v>
      </c>
      <c r="I90" s="60" t="b">
        <v>0</v>
      </c>
      <c r="J90" s="60">
        <v>9</v>
      </c>
      <c r="K90" s="60">
        <v>786.75</v>
      </c>
      <c r="L90" s="61">
        <v>605515330</v>
      </c>
      <c r="M90" s="61">
        <v>1300000051006281</v>
      </c>
      <c r="N90" s="60" t="s">
        <v>345</v>
      </c>
      <c r="O90" s="60"/>
    </row>
    <row r="91" spans="1:15">
      <c r="A91" s="60"/>
      <c r="B91" s="60" t="s">
        <v>321</v>
      </c>
      <c r="C91" s="60" t="s">
        <v>322</v>
      </c>
      <c r="D91" s="60" t="s">
        <v>344</v>
      </c>
      <c r="E91" s="60" t="s">
        <v>275</v>
      </c>
      <c r="F91" s="60" t="s">
        <v>276</v>
      </c>
      <c r="G91" s="60" t="s">
        <v>276</v>
      </c>
      <c r="H91" s="60" t="s">
        <v>326</v>
      </c>
      <c r="I91" s="60" t="b">
        <v>0</v>
      </c>
      <c r="J91" s="60">
        <v>3</v>
      </c>
      <c r="K91" s="60">
        <v>786.7</v>
      </c>
      <c r="L91" s="61">
        <v>605515331</v>
      </c>
      <c r="M91" s="61">
        <v>1300000051006281</v>
      </c>
      <c r="N91" s="60" t="s">
        <v>345</v>
      </c>
      <c r="O91" s="60"/>
    </row>
    <row r="92" spans="1:15">
      <c r="A92" s="60"/>
      <c r="B92" s="60" t="s">
        <v>321</v>
      </c>
      <c r="C92" s="60" t="s">
        <v>322</v>
      </c>
      <c r="D92" s="60" t="s">
        <v>344</v>
      </c>
      <c r="E92" s="60" t="s">
        <v>275</v>
      </c>
      <c r="F92" s="60" t="s">
        <v>276</v>
      </c>
      <c r="G92" s="60" t="s">
        <v>276</v>
      </c>
      <c r="H92" s="60" t="s">
        <v>326</v>
      </c>
      <c r="I92" s="60" t="b">
        <v>0</v>
      </c>
      <c r="J92" s="60">
        <v>16</v>
      </c>
      <c r="K92" s="60">
        <v>786.9</v>
      </c>
      <c r="L92" s="61">
        <v>605515328</v>
      </c>
      <c r="M92" s="61">
        <v>1300000051006281</v>
      </c>
      <c r="N92" s="60" t="s">
        <v>345</v>
      </c>
      <c r="O92" s="60"/>
    </row>
    <row r="93" spans="1:15">
      <c r="A93" s="60"/>
      <c r="B93" s="60" t="s">
        <v>321</v>
      </c>
      <c r="C93" s="60" t="s">
        <v>322</v>
      </c>
      <c r="D93" s="60" t="s">
        <v>344</v>
      </c>
      <c r="E93" s="60" t="s">
        <v>275</v>
      </c>
      <c r="F93" s="60" t="s">
        <v>276</v>
      </c>
      <c r="G93" s="60" t="s">
        <v>276</v>
      </c>
      <c r="H93" s="60" t="s">
        <v>326</v>
      </c>
      <c r="I93" s="60" t="b">
        <v>0</v>
      </c>
      <c r="J93" s="60">
        <v>1</v>
      </c>
      <c r="K93" s="60">
        <v>786.95</v>
      </c>
      <c r="L93" s="61">
        <v>605515326</v>
      </c>
      <c r="M93" s="61">
        <v>1300000051006281</v>
      </c>
      <c r="N93" s="60" t="s">
        <v>345</v>
      </c>
      <c r="O93" s="60"/>
    </row>
    <row r="94" spans="1:15">
      <c r="A94" s="60"/>
      <c r="B94" s="60" t="s">
        <v>321</v>
      </c>
      <c r="C94" s="60" t="s">
        <v>322</v>
      </c>
      <c r="D94" s="60" t="s">
        <v>344</v>
      </c>
      <c r="E94" s="60" t="s">
        <v>275</v>
      </c>
      <c r="F94" s="60" t="s">
        <v>276</v>
      </c>
      <c r="G94" s="60" t="s">
        <v>276</v>
      </c>
      <c r="H94" s="60" t="s">
        <v>326</v>
      </c>
      <c r="I94" s="60" t="b">
        <v>0</v>
      </c>
      <c r="J94" s="60">
        <v>15</v>
      </c>
      <c r="K94" s="60">
        <v>786.95</v>
      </c>
      <c r="L94" s="61">
        <v>605515327</v>
      </c>
      <c r="M94" s="61">
        <v>1300000051006281</v>
      </c>
      <c r="N94" s="60" t="s">
        <v>345</v>
      </c>
      <c r="O94" s="60"/>
    </row>
    <row r="95" spans="1:15">
      <c r="A95" s="60"/>
      <c r="B95" s="60" t="s">
        <v>321</v>
      </c>
      <c r="C95" s="60" t="s">
        <v>322</v>
      </c>
      <c r="D95" s="60" t="s">
        <v>344</v>
      </c>
      <c r="E95" s="60" t="s">
        <v>275</v>
      </c>
      <c r="F95" s="60" t="s">
        <v>276</v>
      </c>
      <c r="G95" s="60" t="s">
        <v>276</v>
      </c>
      <c r="H95" s="60" t="s">
        <v>326</v>
      </c>
      <c r="I95" s="60" t="b">
        <v>0</v>
      </c>
      <c r="J95" s="60">
        <v>1</v>
      </c>
      <c r="K95" s="60">
        <v>786.7</v>
      </c>
      <c r="L95" s="61">
        <v>605515332</v>
      </c>
      <c r="M95" s="61">
        <v>1300000051006281</v>
      </c>
      <c r="N95" s="60" t="s">
        <v>345</v>
      </c>
      <c r="O95" s="60"/>
    </row>
    <row r="96" spans="1:15">
      <c r="A96" s="60"/>
      <c r="B96" s="60" t="s">
        <v>321</v>
      </c>
      <c r="C96" s="60" t="s">
        <v>322</v>
      </c>
      <c r="D96" s="60" t="s">
        <v>344</v>
      </c>
      <c r="E96" s="60" t="s">
        <v>275</v>
      </c>
      <c r="F96" s="60" t="s">
        <v>276</v>
      </c>
      <c r="G96" s="60" t="s">
        <v>276</v>
      </c>
      <c r="H96" s="60" t="s">
        <v>326</v>
      </c>
      <c r="I96" s="60" t="b">
        <v>0</v>
      </c>
      <c r="J96" s="60">
        <v>3</v>
      </c>
      <c r="K96" s="60">
        <v>787</v>
      </c>
      <c r="L96" s="61">
        <v>605515325</v>
      </c>
      <c r="M96" s="61">
        <v>1300000051006281</v>
      </c>
      <c r="N96" s="60" t="s">
        <v>345</v>
      </c>
      <c r="O96" s="60"/>
    </row>
    <row r="97" spans="1:15">
      <c r="A97" s="60"/>
      <c r="B97" s="60" t="s">
        <v>272</v>
      </c>
      <c r="C97" s="60" t="s">
        <v>273</v>
      </c>
      <c r="D97" s="60" t="s">
        <v>346</v>
      </c>
      <c r="E97" s="60" t="s">
        <v>275</v>
      </c>
      <c r="F97" s="60" t="s">
        <v>276</v>
      </c>
      <c r="G97" s="60" t="s">
        <v>276</v>
      </c>
      <c r="H97" s="60" t="s">
        <v>277</v>
      </c>
      <c r="I97" s="60" t="b">
        <v>0</v>
      </c>
      <c r="J97" s="60">
        <v>13</v>
      </c>
      <c r="K97" s="60">
        <v>7609</v>
      </c>
      <c r="L97" s="61">
        <v>402573640</v>
      </c>
      <c r="M97" s="61">
        <v>1200000029961011</v>
      </c>
      <c r="N97" s="60" t="s">
        <v>347</v>
      </c>
      <c r="O97" s="60"/>
    </row>
    <row r="98" spans="1:15">
      <c r="A98" s="60"/>
      <c r="B98" s="60" t="s">
        <v>315</v>
      </c>
      <c r="C98" s="60" t="s">
        <v>316</v>
      </c>
      <c r="D98" s="60" t="s">
        <v>348</v>
      </c>
      <c r="E98" s="60" t="s">
        <v>275</v>
      </c>
      <c r="F98" s="60" t="s">
        <v>276</v>
      </c>
      <c r="G98" s="60" t="s">
        <v>276</v>
      </c>
      <c r="H98" s="60" t="s">
        <v>277</v>
      </c>
      <c r="I98" s="60" t="b">
        <v>0</v>
      </c>
      <c r="J98" s="60">
        <v>356</v>
      </c>
      <c r="K98" s="60">
        <v>127.49</v>
      </c>
      <c r="L98" s="61">
        <v>4798495</v>
      </c>
      <c r="M98" s="61">
        <v>1000000054465625</v>
      </c>
      <c r="N98" s="60" t="s">
        <v>349</v>
      </c>
      <c r="O98" s="60"/>
    </row>
    <row r="99" spans="1:15">
      <c r="A99" s="60"/>
      <c r="B99" s="60" t="s">
        <v>315</v>
      </c>
      <c r="C99" s="60" t="s">
        <v>316</v>
      </c>
      <c r="D99" s="60" t="s">
        <v>348</v>
      </c>
      <c r="E99" s="60" t="s">
        <v>275</v>
      </c>
      <c r="F99" s="60" t="s">
        <v>276</v>
      </c>
      <c r="G99" s="60" t="s">
        <v>276</v>
      </c>
      <c r="H99" s="60" t="s">
        <v>277</v>
      </c>
      <c r="I99" s="60" t="b">
        <v>0</v>
      </c>
      <c r="J99" s="60">
        <v>428</v>
      </c>
      <c r="K99" s="60">
        <v>127.5</v>
      </c>
      <c r="L99" s="61">
        <v>4798496</v>
      </c>
      <c r="M99" s="61">
        <v>1000000054465625</v>
      </c>
      <c r="N99" s="60" t="s">
        <v>349</v>
      </c>
      <c r="O99" s="60"/>
    </row>
    <row r="100" spans="1:15">
      <c r="A100" s="60"/>
      <c r="B100" s="60" t="s">
        <v>295</v>
      </c>
      <c r="C100" s="60" t="s">
        <v>296</v>
      </c>
      <c r="D100" s="60" t="s">
        <v>348</v>
      </c>
      <c r="E100" s="60" t="s">
        <v>275</v>
      </c>
      <c r="F100" s="60" t="s">
        <v>276</v>
      </c>
      <c r="G100" s="60" t="s">
        <v>276</v>
      </c>
      <c r="H100" s="60" t="s">
        <v>277</v>
      </c>
      <c r="I100" s="60" t="b">
        <v>0</v>
      </c>
      <c r="J100" s="60">
        <v>28</v>
      </c>
      <c r="K100" s="60">
        <v>190.93</v>
      </c>
      <c r="L100" s="61">
        <v>5398744</v>
      </c>
      <c r="M100" s="61">
        <v>1000000058915517</v>
      </c>
      <c r="N100" s="60" t="s">
        <v>350</v>
      </c>
      <c r="O100" s="60"/>
    </row>
    <row r="101" spans="1:15">
      <c r="A101" s="60"/>
      <c r="B101" s="60" t="s">
        <v>295</v>
      </c>
      <c r="C101" s="60" t="s">
        <v>296</v>
      </c>
      <c r="D101" s="60" t="s">
        <v>348</v>
      </c>
      <c r="E101" s="60" t="s">
        <v>275</v>
      </c>
      <c r="F101" s="60" t="s">
        <v>276</v>
      </c>
      <c r="G101" s="60" t="s">
        <v>276</v>
      </c>
      <c r="H101" s="60" t="s">
        <v>277</v>
      </c>
      <c r="I101" s="60" t="b">
        <v>0</v>
      </c>
      <c r="J101" s="60">
        <v>122</v>
      </c>
      <c r="K101" s="60">
        <v>190.9</v>
      </c>
      <c r="L101" s="61">
        <v>5398743</v>
      </c>
      <c r="M101" s="61">
        <v>1000000058915517</v>
      </c>
      <c r="N101" s="60" t="s">
        <v>350</v>
      </c>
      <c r="O101" s="60"/>
    </row>
    <row r="102" spans="1:15">
      <c r="A102" s="60"/>
      <c r="B102" s="60" t="s">
        <v>351</v>
      </c>
      <c r="C102" s="60" t="s">
        <v>352</v>
      </c>
      <c r="D102" s="60" t="s">
        <v>353</v>
      </c>
      <c r="E102" s="60" t="s">
        <v>275</v>
      </c>
      <c r="F102" s="60" t="s">
        <v>276</v>
      </c>
      <c r="G102" s="60" t="s">
        <v>276</v>
      </c>
      <c r="H102" s="60" t="s">
        <v>277</v>
      </c>
      <c r="I102" s="60" t="b">
        <v>0</v>
      </c>
      <c r="J102" s="60">
        <v>7</v>
      </c>
      <c r="K102" s="60">
        <v>1064.5999999999999</v>
      </c>
      <c r="L102" s="61">
        <v>5528442</v>
      </c>
      <c r="M102" s="61">
        <v>1000000054803594</v>
      </c>
      <c r="N102" s="60" t="s">
        <v>354</v>
      </c>
      <c r="O102" s="60"/>
    </row>
    <row r="103" spans="1:15">
      <c r="A103" s="60"/>
      <c r="B103" s="60" t="s">
        <v>351</v>
      </c>
      <c r="C103" s="60" t="s">
        <v>352</v>
      </c>
      <c r="D103" s="60" t="s">
        <v>353</v>
      </c>
      <c r="E103" s="60" t="s">
        <v>275</v>
      </c>
      <c r="F103" s="60" t="s">
        <v>276</v>
      </c>
      <c r="G103" s="60" t="s">
        <v>276</v>
      </c>
      <c r="H103" s="60" t="s">
        <v>277</v>
      </c>
      <c r="I103" s="60" t="b">
        <v>0</v>
      </c>
      <c r="J103" s="60">
        <v>41</v>
      </c>
      <c r="K103" s="60">
        <v>1064.5999999999999</v>
      </c>
      <c r="L103" s="61">
        <v>5528440</v>
      </c>
      <c r="M103" s="61">
        <v>1000000054803594</v>
      </c>
      <c r="N103" s="60" t="s">
        <v>354</v>
      </c>
      <c r="O103" s="60"/>
    </row>
    <row r="104" spans="1:15">
      <c r="A104" s="60"/>
      <c r="B104" s="60" t="s">
        <v>351</v>
      </c>
      <c r="C104" s="60" t="s">
        <v>352</v>
      </c>
      <c r="D104" s="60" t="s">
        <v>353</v>
      </c>
      <c r="E104" s="60" t="s">
        <v>275</v>
      </c>
      <c r="F104" s="60" t="s">
        <v>276</v>
      </c>
      <c r="G104" s="60" t="s">
        <v>276</v>
      </c>
      <c r="H104" s="60" t="s">
        <v>277</v>
      </c>
      <c r="I104" s="60" t="b">
        <v>0</v>
      </c>
      <c r="J104" s="60">
        <v>16</v>
      </c>
      <c r="K104" s="60">
        <v>1064.5999999999999</v>
      </c>
      <c r="L104" s="61">
        <v>5528441</v>
      </c>
      <c r="M104" s="61">
        <v>1000000054803594</v>
      </c>
      <c r="N104" s="60" t="s">
        <v>354</v>
      </c>
      <c r="O104" s="60"/>
    </row>
    <row r="105" spans="1:15">
      <c r="A105" s="60"/>
      <c r="B105" s="60" t="s">
        <v>351</v>
      </c>
      <c r="C105" s="60" t="s">
        <v>352</v>
      </c>
      <c r="D105" s="60" t="s">
        <v>353</v>
      </c>
      <c r="E105" s="60" t="s">
        <v>275</v>
      </c>
      <c r="F105" s="60" t="s">
        <v>276</v>
      </c>
      <c r="G105" s="60" t="s">
        <v>276</v>
      </c>
      <c r="H105" s="60" t="s">
        <v>277</v>
      </c>
      <c r="I105" s="60" t="b">
        <v>0</v>
      </c>
      <c r="J105" s="60">
        <v>30</v>
      </c>
      <c r="K105" s="60">
        <v>1064.5999999999999</v>
      </c>
      <c r="L105" s="61">
        <v>5528443</v>
      </c>
      <c r="M105" s="61">
        <v>1000000054803594</v>
      </c>
      <c r="N105" s="60" t="s">
        <v>354</v>
      </c>
      <c r="O105" s="60"/>
    </row>
    <row r="106" spans="1:15">
      <c r="A106" s="60"/>
      <c r="B106" s="60" t="s">
        <v>127</v>
      </c>
      <c r="C106" s="60" t="s">
        <v>282</v>
      </c>
      <c r="D106" s="60" t="s">
        <v>353</v>
      </c>
      <c r="E106" s="60" t="s">
        <v>275</v>
      </c>
      <c r="F106" s="60" t="s">
        <v>276</v>
      </c>
      <c r="G106" s="60" t="s">
        <v>276</v>
      </c>
      <c r="H106" s="60" t="s">
        <v>277</v>
      </c>
      <c r="I106" s="60" t="b">
        <v>0</v>
      </c>
      <c r="J106" s="60">
        <v>110</v>
      </c>
      <c r="K106" s="60">
        <v>914.55</v>
      </c>
      <c r="L106" s="61">
        <v>206824794</v>
      </c>
      <c r="M106" s="61">
        <v>1100000060857644</v>
      </c>
      <c r="N106" s="60" t="s">
        <v>355</v>
      </c>
      <c r="O106" s="60"/>
    </row>
    <row r="107" spans="1:15">
      <c r="A107" s="60"/>
      <c r="B107" s="60" t="s">
        <v>169</v>
      </c>
      <c r="C107" s="60" t="s">
        <v>308</v>
      </c>
      <c r="D107" s="60" t="s">
        <v>356</v>
      </c>
      <c r="E107" s="60" t="s">
        <v>275</v>
      </c>
      <c r="F107" s="60" t="s">
        <v>276</v>
      </c>
      <c r="G107" s="60" t="s">
        <v>276</v>
      </c>
      <c r="H107" s="60" t="s">
        <v>326</v>
      </c>
      <c r="I107" s="60" t="b">
        <v>0</v>
      </c>
      <c r="J107" s="60">
        <v>24</v>
      </c>
      <c r="K107" s="60">
        <v>757.6</v>
      </c>
      <c r="L107" s="61">
        <v>5988450</v>
      </c>
      <c r="M107" s="61">
        <v>1000000067422485</v>
      </c>
      <c r="N107" s="60" t="s">
        <v>357</v>
      </c>
      <c r="O107" s="60"/>
    </row>
    <row r="108" spans="1:15">
      <c r="A108" s="60"/>
      <c r="B108" s="60" t="s">
        <v>169</v>
      </c>
      <c r="C108" s="60" t="s">
        <v>308</v>
      </c>
      <c r="D108" s="60" t="s">
        <v>356</v>
      </c>
      <c r="E108" s="60" t="s">
        <v>275</v>
      </c>
      <c r="F108" s="60" t="s">
        <v>276</v>
      </c>
      <c r="G108" s="60" t="s">
        <v>276</v>
      </c>
      <c r="H108" s="60" t="s">
        <v>326</v>
      </c>
      <c r="I108" s="60" t="b">
        <v>0</v>
      </c>
      <c r="J108" s="60">
        <v>9</v>
      </c>
      <c r="K108" s="60">
        <v>757.6</v>
      </c>
      <c r="L108" s="61">
        <v>5988451</v>
      </c>
      <c r="M108" s="61">
        <v>1000000067422485</v>
      </c>
      <c r="N108" s="60" t="s">
        <v>357</v>
      </c>
      <c r="O108" s="60"/>
    </row>
    <row r="109" spans="1:15">
      <c r="A109" s="60"/>
      <c r="B109" s="60" t="s">
        <v>311</v>
      </c>
      <c r="C109" s="60" t="s">
        <v>312</v>
      </c>
      <c r="D109" s="60" t="s">
        <v>356</v>
      </c>
      <c r="E109" s="60" t="s">
        <v>332</v>
      </c>
      <c r="F109" s="60" t="s">
        <v>276</v>
      </c>
      <c r="G109" s="60" t="s">
        <v>333</v>
      </c>
      <c r="H109" s="60" t="s">
        <v>326</v>
      </c>
      <c r="I109" s="60" t="b">
        <v>0</v>
      </c>
      <c r="J109" s="60">
        <v>5</v>
      </c>
      <c r="K109" s="60">
        <v>647.15</v>
      </c>
      <c r="L109" s="61">
        <v>7351500</v>
      </c>
      <c r="M109" s="61">
        <v>1.760690323268599E+18</v>
      </c>
      <c r="N109" s="60" t="s">
        <v>358</v>
      </c>
      <c r="O109" s="60"/>
    </row>
    <row r="110" spans="1:15">
      <c r="A110" s="60"/>
      <c r="B110" s="60" t="s">
        <v>311</v>
      </c>
      <c r="C110" s="60" t="s">
        <v>312</v>
      </c>
      <c r="D110" s="60" t="s">
        <v>356</v>
      </c>
      <c r="E110" s="60" t="s">
        <v>332</v>
      </c>
      <c r="F110" s="60" t="s">
        <v>276</v>
      </c>
      <c r="G110" s="60" t="s">
        <v>333</v>
      </c>
      <c r="H110" s="60" t="s">
        <v>326</v>
      </c>
      <c r="I110" s="60" t="b">
        <v>0</v>
      </c>
      <c r="J110" s="60">
        <v>30</v>
      </c>
      <c r="K110" s="60">
        <v>647.20000000000005</v>
      </c>
      <c r="L110" s="61">
        <v>7351300</v>
      </c>
      <c r="M110" s="61">
        <v>1.760690323268599E+18</v>
      </c>
      <c r="N110" s="60" t="s">
        <v>358</v>
      </c>
      <c r="O110" s="60"/>
    </row>
    <row r="111" spans="1:15">
      <c r="A111" s="60"/>
      <c r="B111" s="60" t="s">
        <v>295</v>
      </c>
      <c r="C111" s="60" t="s">
        <v>296</v>
      </c>
      <c r="D111" s="60" t="s">
        <v>359</v>
      </c>
      <c r="E111" s="60" t="s">
        <v>275</v>
      </c>
      <c r="F111" s="60" t="s">
        <v>276</v>
      </c>
      <c r="G111" s="60" t="s">
        <v>276</v>
      </c>
      <c r="H111" s="60" t="s">
        <v>326</v>
      </c>
      <c r="I111" s="60" t="b">
        <v>0</v>
      </c>
      <c r="J111" s="60">
        <v>100</v>
      </c>
      <c r="K111" s="60">
        <v>179.34</v>
      </c>
      <c r="L111" s="61">
        <v>29470</v>
      </c>
      <c r="M111" s="61">
        <v>1000000000031386</v>
      </c>
      <c r="N111" s="60" t="s">
        <v>360</v>
      </c>
      <c r="O111" s="60"/>
    </row>
    <row r="112" spans="1:15">
      <c r="A112" s="60"/>
      <c r="B112" s="60" t="s">
        <v>295</v>
      </c>
      <c r="C112" s="60" t="s">
        <v>296</v>
      </c>
      <c r="D112" s="60" t="s">
        <v>359</v>
      </c>
      <c r="E112" s="60" t="s">
        <v>275</v>
      </c>
      <c r="F112" s="60" t="s">
        <v>276</v>
      </c>
      <c r="G112" s="60" t="s">
        <v>276</v>
      </c>
      <c r="H112" s="60" t="s">
        <v>326</v>
      </c>
      <c r="I112" s="60" t="b">
        <v>0</v>
      </c>
      <c r="J112" s="60">
        <v>556</v>
      </c>
      <c r="K112" s="60">
        <v>179.34</v>
      </c>
      <c r="L112" s="61">
        <v>29471</v>
      </c>
      <c r="M112" s="61">
        <v>1000000000031386</v>
      </c>
      <c r="N112" s="60" t="s">
        <v>360</v>
      </c>
      <c r="O112" s="60"/>
    </row>
    <row r="113" spans="1:15">
      <c r="A113" s="60"/>
      <c r="B113" s="60" t="s">
        <v>295</v>
      </c>
      <c r="C113" s="60" t="s">
        <v>296</v>
      </c>
      <c r="D113" s="60" t="s">
        <v>359</v>
      </c>
      <c r="E113" s="60" t="s">
        <v>275</v>
      </c>
      <c r="F113" s="60" t="s">
        <v>276</v>
      </c>
      <c r="G113" s="60" t="s">
        <v>276</v>
      </c>
      <c r="H113" s="60" t="s">
        <v>326</v>
      </c>
      <c r="I113" s="60" t="b">
        <v>0</v>
      </c>
      <c r="J113" s="60">
        <v>15</v>
      </c>
      <c r="K113" s="60">
        <v>179.34</v>
      </c>
      <c r="L113" s="61">
        <v>29469</v>
      </c>
      <c r="M113" s="61">
        <v>1000000000031386</v>
      </c>
      <c r="N113" s="60" t="s">
        <v>360</v>
      </c>
      <c r="O113" s="60"/>
    </row>
    <row r="114" spans="1:15">
      <c r="A114" s="60"/>
      <c r="B114" s="60" t="s">
        <v>361</v>
      </c>
      <c r="C114" s="60" t="s">
        <v>362</v>
      </c>
      <c r="D114" s="60" t="s">
        <v>363</v>
      </c>
      <c r="E114" s="60" t="s">
        <v>275</v>
      </c>
      <c r="F114" s="60" t="s">
        <v>276</v>
      </c>
      <c r="G114" s="60" t="s">
        <v>276</v>
      </c>
      <c r="H114" s="60" t="s">
        <v>277</v>
      </c>
      <c r="I114" s="60" t="b">
        <v>0</v>
      </c>
      <c r="J114" s="60">
        <v>75</v>
      </c>
      <c r="K114" s="60">
        <v>339.2</v>
      </c>
      <c r="L114" s="61">
        <v>201509326</v>
      </c>
      <c r="M114" s="61">
        <v>1100000006516881</v>
      </c>
      <c r="N114" s="60" t="s">
        <v>364</v>
      </c>
      <c r="O114" s="60"/>
    </row>
    <row r="115" spans="1:15">
      <c r="A115" s="60"/>
      <c r="B115" s="60" t="s">
        <v>315</v>
      </c>
      <c r="C115" s="60" t="s">
        <v>316</v>
      </c>
      <c r="D115" s="60" t="s">
        <v>363</v>
      </c>
      <c r="E115" s="60" t="s">
        <v>332</v>
      </c>
      <c r="F115" s="60" t="s">
        <v>276</v>
      </c>
      <c r="G115" s="60" t="s">
        <v>333</v>
      </c>
      <c r="H115" s="60" t="s">
        <v>326</v>
      </c>
      <c r="I115" s="60" t="b">
        <v>0</v>
      </c>
      <c r="J115" s="60">
        <v>1754</v>
      </c>
      <c r="K115" s="60">
        <v>126.6</v>
      </c>
      <c r="L115" s="61">
        <v>3510100</v>
      </c>
      <c r="M115" s="61">
        <v>1.7610376559070579E+18</v>
      </c>
      <c r="N115" s="60" t="s">
        <v>365</v>
      </c>
      <c r="O115" s="60"/>
    </row>
    <row r="116" spans="1:15">
      <c r="A116" s="60"/>
      <c r="B116" s="60" t="s">
        <v>299</v>
      </c>
      <c r="C116" s="60" t="s">
        <v>300</v>
      </c>
      <c r="D116" s="60" t="s">
        <v>366</v>
      </c>
      <c r="E116" s="60" t="s">
        <v>275</v>
      </c>
      <c r="F116" s="60" t="s">
        <v>276</v>
      </c>
      <c r="G116" s="60" t="s">
        <v>276</v>
      </c>
      <c r="H116" s="60" t="s">
        <v>326</v>
      </c>
      <c r="I116" s="60" t="b">
        <v>0</v>
      </c>
      <c r="J116" s="60">
        <v>43</v>
      </c>
      <c r="K116" s="60">
        <v>589.95000000000005</v>
      </c>
      <c r="L116" s="61">
        <v>205345110</v>
      </c>
      <c r="M116" s="61">
        <v>1100000056341252</v>
      </c>
      <c r="N116" s="60" t="s">
        <v>367</v>
      </c>
      <c r="O116" s="60"/>
    </row>
    <row r="117" spans="1:15">
      <c r="A117" s="60"/>
      <c r="B117" s="60" t="s">
        <v>299</v>
      </c>
      <c r="C117" s="60" t="s">
        <v>300</v>
      </c>
      <c r="D117" s="60" t="s">
        <v>366</v>
      </c>
      <c r="E117" s="60" t="s">
        <v>275</v>
      </c>
      <c r="F117" s="60" t="s">
        <v>276</v>
      </c>
      <c r="G117" s="60" t="s">
        <v>276</v>
      </c>
      <c r="H117" s="60" t="s">
        <v>326</v>
      </c>
      <c r="I117" s="60" t="b">
        <v>0</v>
      </c>
      <c r="J117" s="60">
        <v>85</v>
      </c>
      <c r="K117" s="60">
        <v>589.9</v>
      </c>
      <c r="L117" s="61">
        <v>205345111</v>
      </c>
      <c r="M117" s="61">
        <v>1100000056341252</v>
      </c>
      <c r="N117" s="60" t="s">
        <v>367</v>
      </c>
      <c r="O117" s="60"/>
    </row>
    <row r="118" spans="1:15">
      <c r="A118" s="60"/>
      <c r="B118" s="60" t="s">
        <v>299</v>
      </c>
      <c r="C118" s="60" t="s">
        <v>300</v>
      </c>
      <c r="D118" s="60" t="s">
        <v>366</v>
      </c>
      <c r="E118" s="60" t="s">
        <v>275</v>
      </c>
      <c r="F118" s="60" t="s">
        <v>276</v>
      </c>
      <c r="G118" s="60" t="s">
        <v>276</v>
      </c>
      <c r="H118" s="60" t="s">
        <v>326</v>
      </c>
      <c r="I118" s="60" t="b">
        <v>0</v>
      </c>
      <c r="J118" s="60">
        <v>1</v>
      </c>
      <c r="K118" s="60">
        <v>589.95000000000005</v>
      </c>
      <c r="L118" s="61">
        <v>205345108</v>
      </c>
      <c r="M118" s="61">
        <v>1100000056341252</v>
      </c>
      <c r="N118" s="60" t="s">
        <v>367</v>
      </c>
      <c r="O118" s="60"/>
    </row>
    <row r="119" spans="1:15">
      <c r="A119" s="60"/>
      <c r="B119" s="60" t="s">
        <v>299</v>
      </c>
      <c r="C119" s="60" t="s">
        <v>300</v>
      </c>
      <c r="D119" s="60" t="s">
        <v>366</v>
      </c>
      <c r="E119" s="60" t="s">
        <v>275</v>
      </c>
      <c r="F119" s="60" t="s">
        <v>276</v>
      </c>
      <c r="G119" s="60" t="s">
        <v>276</v>
      </c>
      <c r="H119" s="60" t="s">
        <v>326</v>
      </c>
      <c r="I119" s="60" t="b">
        <v>0</v>
      </c>
      <c r="J119" s="60">
        <v>16</v>
      </c>
      <c r="K119" s="60">
        <v>589.9</v>
      </c>
      <c r="L119" s="61">
        <v>205345113</v>
      </c>
      <c r="M119" s="61">
        <v>1100000056341252</v>
      </c>
      <c r="N119" s="60" t="s">
        <v>367</v>
      </c>
      <c r="O119" s="60"/>
    </row>
    <row r="120" spans="1:15">
      <c r="A120" s="60"/>
      <c r="B120" s="60" t="s">
        <v>299</v>
      </c>
      <c r="C120" s="60" t="s">
        <v>300</v>
      </c>
      <c r="D120" s="60" t="s">
        <v>366</v>
      </c>
      <c r="E120" s="60" t="s">
        <v>275</v>
      </c>
      <c r="F120" s="60" t="s">
        <v>276</v>
      </c>
      <c r="G120" s="60" t="s">
        <v>276</v>
      </c>
      <c r="H120" s="60" t="s">
        <v>326</v>
      </c>
      <c r="I120" s="60" t="b">
        <v>0</v>
      </c>
      <c r="J120" s="60">
        <v>25</v>
      </c>
      <c r="K120" s="60">
        <v>590.20000000000005</v>
      </c>
      <c r="L120" s="61">
        <v>205345107</v>
      </c>
      <c r="M120" s="61">
        <v>1100000056341252</v>
      </c>
      <c r="N120" s="60" t="s">
        <v>367</v>
      </c>
      <c r="O120" s="60"/>
    </row>
    <row r="121" spans="1:15">
      <c r="A121" s="60"/>
      <c r="B121" s="60" t="s">
        <v>299</v>
      </c>
      <c r="C121" s="60" t="s">
        <v>300</v>
      </c>
      <c r="D121" s="60" t="s">
        <v>366</v>
      </c>
      <c r="E121" s="60" t="s">
        <v>275</v>
      </c>
      <c r="F121" s="60" t="s">
        <v>276</v>
      </c>
      <c r="G121" s="60" t="s">
        <v>276</v>
      </c>
      <c r="H121" s="60" t="s">
        <v>326</v>
      </c>
      <c r="I121" s="60" t="b">
        <v>0</v>
      </c>
      <c r="J121" s="60">
        <v>43</v>
      </c>
      <c r="K121" s="60">
        <v>589.9</v>
      </c>
      <c r="L121" s="61">
        <v>205345112</v>
      </c>
      <c r="M121" s="61">
        <v>1100000056341252</v>
      </c>
      <c r="N121" s="60" t="s">
        <v>367</v>
      </c>
      <c r="O121" s="60"/>
    </row>
    <row r="122" spans="1:15">
      <c r="A122" s="60"/>
      <c r="B122" s="60" t="s">
        <v>299</v>
      </c>
      <c r="C122" s="60" t="s">
        <v>300</v>
      </c>
      <c r="D122" s="60" t="s">
        <v>366</v>
      </c>
      <c r="E122" s="60" t="s">
        <v>275</v>
      </c>
      <c r="F122" s="60" t="s">
        <v>276</v>
      </c>
      <c r="G122" s="60" t="s">
        <v>276</v>
      </c>
      <c r="H122" s="60" t="s">
        <v>326</v>
      </c>
      <c r="I122" s="60" t="b">
        <v>0</v>
      </c>
      <c r="J122" s="60">
        <v>85</v>
      </c>
      <c r="K122" s="60">
        <v>589.95000000000005</v>
      </c>
      <c r="L122" s="61">
        <v>205345109</v>
      </c>
      <c r="M122" s="61">
        <v>1100000056341252</v>
      </c>
      <c r="N122" s="60" t="s">
        <v>367</v>
      </c>
      <c r="O122" s="60"/>
    </row>
    <row r="123" spans="1:15">
      <c r="A123" s="60"/>
      <c r="B123" s="60" t="s">
        <v>335</v>
      </c>
      <c r="C123" s="60" t="s">
        <v>336</v>
      </c>
      <c r="D123" s="60" t="s">
        <v>368</v>
      </c>
      <c r="E123" s="60" t="s">
        <v>275</v>
      </c>
      <c r="F123" s="60" t="s">
        <v>276</v>
      </c>
      <c r="G123" s="60" t="s">
        <v>276</v>
      </c>
      <c r="H123" s="60" t="s">
        <v>326</v>
      </c>
      <c r="I123" s="60" t="b">
        <v>0</v>
      </c>
      <c r="J123" s="60">
        <v>14</v>
      </c>
      <c r="K123" s="60">
        <v>482.05</v>
      </c>
      <c r="L123" s="61">
        <v>400073759</v>
      </c>
      <c r="M123" s="61">
        <v>1200000000472402</v>
      </c>
      <c r="N123" s="60" t="s">
        <v>369</v>
      </c>
      <c r="O123" s="60"/>
    </row>
    <row r="124" spans="1:15">
      <c r="A124" s="60"/>
      <c r="B124" s="60" t="s">
        <v>335</v>
      </c>
      <c r="C124" s="60" t="s">
        <v>336</v>
      </c>
      <c r="D124" s="60" t="s">
        <v>368</v>
      </c>
      <c r="E124" s="60" t="s">
        <v>275</v>
      </c>
      <c r="F124" s="60" t="s">
        <v>276</v>
      </c>
      <c r="G124" s="60" t="s">
        <v>276</v>
      </c>
      <c r="H124" s="60" t="s">
        <v>326</v>
      </c>
      <c r="I124" s="60" t="b">
        <v>0</v>
      </c>
      <c r="J124" s="60">
        <v>10</v>
      </c>
      <c r="K124" s="60">
        <v>482</v>
      </c>
      <c r="L124" s="61">
        <v>400073762</v>
      </c>
      <c r="M124" s="61">
        <v>1200000000472402</v>
      </c>
      <c r="N124" s="60" t="s">
        <v>369</v>
      </c>
      <c r="O124" s="60"/>
    </row>
    <row r="125" spans="1:15">
      <c r="A125" s="60"/>
      <c r="B125" s="60" t="s">
        <v>335</v>
      </c>
      <c r="C125" s="60" t="s">
        <v>336</v>
      </c>
      <c r="D125" s="60" t="s">
        <v>368</v>
      </c>
      <c r="E125" s="60" t="s">
        <v>275</v>
      </c>
      <c r="F125" s="60" t="s">
        <v>276</v>
      </c>
      <c r="G125" s="60" t="s">
        <v>276</v>
      </c>
      <c r="H125" s="60" t="s">
        <v>326</v>
      </c>
      <c r="I125" s="60" t="b">
        <v>0</v>
      </c>
      <c r="J125" s="60">
        <v>17</v>
      </c>
      <c r="K125" s="60">
        <v>482.05</v>
      </c>
      <c r="L125" s="61">
        <v>400073755</v>
      </c>
      <c r="M125" s="61">
        <v>1200000000472402</v>
      </c>
      <c r="N125" s="60" t="s">
        <v>369</v>
      </c>
      <c r="O125" s="60"/>
    </row>
    <row r="126" spans="1:15">
      <c r="A126" s="60"/>
      <c r="B126" s="60" t="s">
        <v>335</v>
      </c>
      <c r="C126" s="60" t="s">
        <v>336</v>
      </c>
      <c r="D126" s="60" t="s">
        <v>368</v>
      </c>
      <c r="E126" s="60" t="s">
        <v>275</v>
      </c>
      <c r="F126" s="60" t="s">
        <v>276</v>
      </c>
      <c r="G126" s="60" t="s">
        <v>276</v>
      </c>
      <c r="H126" s="60" t="s">
        <v>326</v>
      </c>
      <c r="I126" s="60" t="b">
        <v>0</v>
      </c>
      <c r="J126" s="60">
        <v>2</v>
      </c>
      <c r="K126" s="60">
        <v>482.05</v>
      </c>
      <c r="L126" s="61">
        <v>400073756</v>
      </c>
      <c r="M126" s="61">
        <v>1200000000472402</v>
      </c>
      <c r="N126" s="60" t="s">
        <v>369</v>
      </c>
      <c r="O126" s="60"/>
    </row>
    <row r="127" spans="1:15">
      <c r="A127" s="60"/>
      <c r="B127" s="60" t="s">
        <v>335</v>
      </c>
      <c r="C127" s="60" t="s">
        <v>336</v>
      </c>
      <c r="D127" s="60" t="s">
        <v>368</v>
      </c>
      <c r="E127" s="60" t="s">
        <v>275</v>
      </c>
      <c r="F127" s="60" t="s">
        <v>276</v>
      </c>
      <c r="G127" s="60" t="s">
        <v>276</v>
      </c>
      <c r="H127" s="60" t="s">
        <v>326</v>
      </c>
      <c r="I127" s="60" t="b">
        <v>0</v>
      </c>
      <c r="J127" s="60">
        <v>2</v>
      </c>
      <c r="K127" s="60">
        <v>482</v>
      </c>
      <c r="L127" s="61">
        <v>400073761</v>
      </c>
      <c r="M127" s="61">
        <v>1200000000472402</v>
      </c>
      <c r="N127" s="60" t="s">
        <v>369</v>
      </c>
      <c r="O127" s="60"/>
    </row>
    <row r="128" spans="1:15">
      <c r="A128" s="60"/>
      <c r="B128" s="60" t="s">
        <v>335</v>
      </c>
      <c r="C128" s="60" t="s">
        <v>336</v>
      </c>
      <c r="D128" s="60" t="s">
        <v>368</v>
      </c>
      <c r="E128" s="60" t="s">
        <v>275</v>
      </c>
      <c r="F128" s="60" t="s">
        <v>276</v>
      </c>
      <c r="G128" s="60" t="s">
        <v>276</v>
      </c>
      <c r="H128" s="60" t="s">
        <v>326</v>
      </c>
      <c r="I128" s="60" t="b">
        <v>0</v>
      </c>
      <c r="J128" s="60">
        <v>1</v>
      </c>
      <c r="K128" s="60">
        <v>482</v>
      </c>
      <c r="L128" s="61">
        <v>400073764</v>
      </c>
      <c r="M128" s="61">
        <v>1200000000472402</v>
      </c>
      <c r="N128" s="60" t="s">
        <v>369</v>
      </c>
      <c r="O128" s="60"/>
    </row>
    <row r="129" spans="1:15">
      <c r="A129" s="60"/>
      <c r="B129" s="60" t="s">
        <v>335</v>
      </c>
      <c r="C129" s="60" t="s">
        <v>336</v>
      </c>
      <c r="D129" s="60" t="s">
        <v>368</v>
      </c>
      <c r="E129" s="60" t="s">
        <v>275</v>
      </c>
      <c r="F129" s="60" t="s">
        <v>276</v>
      </c>
      <c r="G129" s="60" t="s">
        <v>276</v>
      </c>
      <c r="H129" s="60" t="s">
        <v>326</v>
      </c>
      <c r="I129" s="60" t="b">
        <v>0</v>
      </c>
      <c r="J129" s="60">
        <v>50</v>
      </c>
      <c r="K129" s="60">
        <v>482</v>
      </c>
      <c r="L129" s="61">
        <v>400073763</v>
      </c>
      <c r="M129" s="61">
        <v>1200000000472402</v>
      </c>
      <c r="N129" s="60" t="s">
        <v>369</v>
      </c>
      <c r="O129" s="60"/>
    </row>
    <row r="130" spans="1:15">
      <c r="A130" s="60"/>
      <c r="B130" s="60" t="s">
        <v>335</v>
      </c>
      <c r="C130" s="60" t="s">
        <v>336</v>
      </c>
      <c r="D130" s="60" t="s">
        <v>368</v>
      </c>
      <c r="E130" s="60" t="s">
        <v>275</v>
      </c>
      <c r="F130" s="60" t="s">
        <v>276</v>
      </c>
      <c r="G130" s="60" t="s">
        <v>276</v>
      </c>
      <c r="H130" s="60" t="s">
        <v>326</v>
      </c>
      <c r="I130" s="60" t="b">
        <v>0</v>
      </c>
      <c r="J130" s="60">
        <v>5</v>
      </c>
      <c r="K130" s="60">
        <v>481.9</v>
      </c>
      <c r="L130" s="61">
        <v>400073768</v>
      </c>
      <c r="M130" s="61">
        <v>1200000000472402</v>
      </c>
      <c r="N130" s="60" t="s">
        <v>369</v>
      </c>
      <c r="O130" s="60"/>
    </row>
    <row r="131" spans="1:15">
      <c r="A131" s="60"/>
      <c r="B131" s="60" t="s">
        <v>335</v>
      </c>
      <c r="C131" s="60" t="s">
        <v>336</v>
      </c>
      <c r="D131" s="60" t="s">
        <v>368</v>
      </c>
      <c r="E131" s="60" t="s">
        <v>275</v>
      </c>
      <c r="F131" s="60" t="s">
        <v>276</v>
      </c>
      <c r="G131" s="60" t="s">
        <v>276</v>
      </c>
      <c r="H131" s="60" t="s">
        <v>326</v>
      </c>
      <c r="I131" s="60" t="b">
        <v>0</v>
      </c>
      <c r="J131" s="60">
        <v>16</v>
      </c>
      <c r="K131" s="60">
        <v>482.05</v>
      </c>
      <c r="L131" s="61">
        <v>400073753</v>
      </c>
      <c r="M131" s="61">
        <v>1200000000472402</v>
      </c>
      <c r="N131" s="60" t="s">
        <v>369</v>
      </c>
      <c r="O131" s="60"/>
    </row>
    <row r="132" spans="1:15">
      <c r="A132" s="60"/>
      <c r="B132" s="60" t="s">
        <v>335</v>
      </c>
      <c r="C132" s="60" t="s">
        <v>336</v>
      </c>
      <c r="D132" s="60" t="s">
        <v>368</v>
      </c>
      <c r="E132" s="60" t="s">
        <v>275</v>
      </c>
      <c r="F132" s="60" t="s">
        <v>276</v>
      </c>
      <c r="G132" s="60" t="s">
        <v>276</v>
      </c>
      <c r="H132" s="60" t="s">
        <v>326</v>
      </c>
      <c r="I132" s="60" t="b">
        <v>0</v>
      </c>
      <c r="J132" s="60">
        <v>42</v>
      </c>
      <c r="K132" s="60">
        <v>482</v>
      </c>
      <c r="L132" s="61">
        <v>400073766</v>
      </c>
      <c r="M132" s="61">
        <v>1200000000472402</v>
      </c>
      <c r="N132" s="60" t="s">
        <v>369</v>
      </c>
      <c r="O132" s="60"/>
    </row>
    <row r="133" spans="1:15">
      <c r="A133" s="60"/>
      <c r="B133" s="60" t="s">
        <v>335</v>
      </c>
      <c r="C133" s="60" t="s">
        <v>336</v>
      </c>
      <c r="D133" s="60" t="s">
        <v>368</v>
      </c>
      <c r="E133" s="60" t="s">
        <v>275</v>
      </c>
      <c r="F133" s="60" t="s">
        <v>276</v>
      </c>
      <c r="G133" s="60" t="s">
        <v>276</v>
      </c>
      <c r="H133" s="60" t="s">
        <v>326</v>
      </c>
      <c r="I133" s="60" t="b">
        <v>0</v>
      </c>
      <c r="J133" s="60">
        <v>4</v>
      </c>
      <c r="K133" s="60">
        <v>482</v>
      </c>
      <c r="L133" s="61">
        <v>400073767</v>
      </c>
      <c r="M133" s="61">
        <v>1200000000472402</v>
      </c>
      <c r="N133" s="60" t="s">
        <v>369</v>
      </c>
      <c r="O133" s="60"/>
    </row>
    <row r="134" spans="1:15">
      <c r="A134" s="60"/>
      <c r="B134" s="60" t="s">
        <v>187</v>
      </c>
      <c r="C134" s="60" t="s">
        <v>342</v>
      </c>
      <c r="D134" s="60" t="s">
        <v>368</v>
      </c>
      <c r="E134" s="60" t="s">
        <v>275</v>
      </c>
      <c r="F134" s="60" t="s">
        <v>276</v>
      </c>
      <c r="G134" s="60" t="s">
        <v>276</v>
      </c>
      <c r="H134" s="60" t="s">
        <v>277</v>
      </c>
      <c r="I134" s="60" t="b">
        <v>0</v>
      </c>
      <c r="J134" s="60">
        <v>84</v>
      </c>
      <c r="K134" s="60">
        <v>841.1</v>
      </c>
      <c r="L134" s="61">
        <v>208603870</v>
      </c>
      <c r="M134" s="61">
        <v>1100000076303650</v>
      </c>
      <c r="N134" s="60" t="s">
        <v>370</v>
      </c>
      <c r="O134" s="60"/>
    </row>
    <row r="135" spans="1:15">
      <c r="A135" s="60"/>
      <c r="B135" s="60" t="s">
        <v>187</v>
      </c>
      <c r="C135" s="60" t="s">
        <v>342</v>
      </c>
      <c r="D135" s="60" t="s">
        <v>368</v>
      </c>
      <c r="E135" s="60" t="s">
        <v>275</v>
      </c>
      <c r="F135" s="60" t="s">
        <v>276</v>
      </c>
      <c r="G135" s="60" t="s">
        <v>276</v>
      </c>
      <c r="H135" s="60" t="s">
        <v>277</v>
      </c>
      <c r="I135" s="60" t="b">
        <v>0</v>
      </c>
      <c r="J135" s="60">
        <v>35</v>
      </c>
      <c r="K135" s="60">
        <v>841.1</v>
      </c>
      <c r="L135" s="61">
        <v>208603871</v>
      </c>
      <c r="M135" s="61">
        <v>1100000076303650</v>
      </c>
      <c r="N135" s="60" t="s">
        <v>370</v>
      </c>
      <c r="O135" s="60"/>
    </row>
    <row r="136" spans="1:15">
      <c r="A136" s="60"/>
      <c r="B136" s="60" t="s">
        <v>145</v>
      </c>
      <c r="C136" s="60" t="s">
        <v>371</v>
      </c>
      <c r="D136" s="60" t="s">
        <v>368</v>
      </c>
      <c r="E136" s="60" t="s">
        <v>275</v>
      </c>
      <c r="F136" s="60" t="s">
        <v>276</v>
      </c>
      <c r="G136" s="60" t="s">
        <v>276</v>
      </c>
      <c r="H136" s="60" t="s">
        <v>277</v>
      </c>
      <c r="I136" s="60" t="b">
        <v>0</v>
      </c>
      <c r="J136" s="60">
        <v>49</v>
      </c>
      <c r="K136" s="60">
        <v>269.69</v>
      </c>
      <c r="L136" s="61">
        <v>208693336</v>
      </c>
      <c r="M136" s="61">
        <v>1100000077091561</v>
      </c>
      <c r="N136" s="60" t="s">
        <v>372</v>
      </c>
      <c r="O136" s="60"/>
    </row>
    <row r="137" spans="1:15">
      <c r="A137" s="60"/>
      <c r="B137" s="60" t="s">
        <v>145</v>
      </c>
      <c r="C137" s="60" t="s">
        <v>371</v>
      </c>
      <c r="D137" s="60" t="s">
        <v>368</v>
      </c>
      <c r="E137" s="60" t="s">
        <v>275</v>
      </c>
      <c r="F137" s="60" t="s">
        <v>276</v>
      </c>
      <c r="G137" s="60" t="s">
        <v>276</v>
      </c>
      <c r="H137" s="60" t="s">
        <v>277</v>
      </c>
      <c r="I137" s="60" t="b">
        <v>0</v>
      </c>
      <c r="J137" s="60">
        <v>51</v>
      </c>
      <c r="K137" s="60">
        <v>269.68</v>
      </c>
      <c r="L137" s="61">
        <v>208693335</v>
      </c>
      <c r="M137" s="61">
        <v>1100000077091561</v>
      </c>
      <c r="N137" s="60" t="s">
        <v>372</v>
      </c>
      <c r="O137" s="60"/>
    </row>
    <row r="138" spans="1:15">
      <c r="A138" s="60"/>
      <c r="B138" s="60" t="s">
        <v>145</v>
      </c>
      <c r="C138" s="60" t="s">
        <v>371</v>
      </c>
      <c r="D138" s="60" t="s">
        <v>373</v>
      </c>
      <c r="E138" s="60" t="s">
        <v>275</v>
      </c>
      <c r="F138" s="60" t="s">
        <v>276</v>
      </c>
      <c r="G138" s="60" t="s">
        <v>276</v>
      </c>
      <c r="H138" s="60" t="s">
        <v>277</v>
      </c>
      <c r="I138" s="60" t="b">
        <v>0</v>
      </c>
      <c r="J138" s="60">
        <v>30</v>
      </c>
      <c r="K138" s="60">
        <v>283.87</v>
      </c>
      <c r="L138" s="61">
        <v>208482585</v>
      </c>
      <c r="M138" s="61">
        <v>1100000073723147</v>
      </c>
      <c r="N138" s="60" t="s">
        <v>374</v>
      </c>
      <c r="O138" s="60"/>
    </row>
    <row r="139" spans="1:15">
      <c r="A139" s="60"/>
      <c r="B139" s="60" t="s">
        <v>145</v>
      </c>
      <c r="C139" s="60" t="s">
        <v>371</v>
      </c>
      <c r="D139" s="60" t="s">
        <v>373</v>
      </c>
      <c r="E139" s="60" t="s">
        <v>275</v>
      </c>
      <c r="F139" s="60" t="s">
        <v>276</v>
      </c>
      <c r="G139" s="60" t="s">
        <v>276</v>
      </c>
      <c r="H139" s="60" t="s">
        <v>277</v>
      </c>
      <c r="I139" s="60" t="b">
        <v>0</v>
      </c>
      <c r="J139" s="60">
        <v>146</v>
      </c>
      <c r="K139" s="60">
        <v>283.89</v>
      </c>
      <c r="L139" s="61">
        <v>208482586</v>
      </c>
      <c r="M139" s="61">
        <v>1100000073723147</v>
      </c>
      <c r="N139" s="60" t="s">
        <v>374</v>
      </c>
      <c r="O139" s="60"/>
    </row>
    <row r="140" spans="1:15">
      <c r="A140" s="60"/>
      <c r="B140" s="60" t="s">
        <v>375</v>
      </c>
      <c r="C140" s="60" t="s">
        <v>376</v>
      </c>
      <c r="D140" s="60" t="s">
        <v>377</v>
      </c>
      <c r="E140" s="60" t="s">
        <v>275</v>
      </c>
      <c r="F140" s="60" t="s">
        <v>276</v>
      </c>
      <c r="G140" s="60" t="s">
        <v>276</v>
      </c>
      <c r="H140" s="60" t="s">
        <v>277</v>
      </c>
      <c r="I140" s="60" t="b">
        <v>0</v>
      </c>
      <c r="J140" s="60">
        <v>7</v>
      </c>
      <c r="K140" s="60">
        <v>483.35</v>
      </c>
      <c r="L140" s="61">
        <v>207124675</v>
      </c>
      <c r="M140" s="61">
        <v>1100000062113123</v>
      </c>
      <c r="N140" s="60" t="s">
        <v>378</v>
      </c>
      <c r="O140" s="60"/>
    </row>
    <row r="141" spans="1:15">
      <c r="A141" s="60"/>
      <c r="B141" s="60" t="s">
        <v>375</v>
      </c>
      <c r="C141" s="60" t="s">
        <v>376</v>
      </c>
      <c r="D141" s="60" t="s">
        <v>377</v>
      </c>
      <c r="E141" s="60" t="s">
        <v>275</v>
      </c>
      <c r="F141" s="60" t="s">
        <v>276</v>
      </c>
      <c r="G141" s="60" t="s">
        <v>276</v>
      </c>
      <c r="H141" s="60" t="s">
        <v>277</v>
      </c>
      <c r="I141" s="60" t="b">
        <v>0</v>
      </c>
      <c r="J141" s="60">
        <v>153</v>
      </c>
      <c r="K141" s="60">
        <v>483.35</v>
      </c>
      <c r="L141" s="61">
        <v>207124677</v>
      </c>
      <c r="M141" s="61">
        <v>1100000062113123</v>
      </c>
      <c r="N141" s="60" t="s">
        <v>378</v>
      </c>
      <c r="O141" s="60"/>
    </row>
    <row r="142" spans="1:15">
      <c r="A142" s="60"/>
      <c r="B142" s="60" t="s">
        <v>375</v>
      </c>
      <c r="C142" s="60" t="s">
        <v>376</v>
      </c>
      <c r="D142" s="60" t="s">
        <v>377</v>
      </c>
      <c r="E142" s="60" t="s">
        <v>275</v>
      </c>
      <c r="F142" s="60" t="s">
        <v>276</v>
      </c>
      <c r="G142" s="60" t="s">
        <v>276</v>
      </c>
      <c r="H142" s="60" t="s">
        <v>277</v>
      </c>
      <c r="I142" s="60" t="b">
        <v>0</v>
      </c>
      <c r="J142" s="60">
        <v>45</v>
      </c>
      <c r="K142" s="60">
        <v>483.35</v>
      </c>
      <c r="L142" s="61">
        <v>207124676</v>
      </c>
      <c r="M142" s="61">
        <v>1100000062113123</v>
      </c>
      <c r="N142" s="60" t="s">
        <v>378</v>
      </c>
      <c r="O142" s="60"/>
    </row>
    <row r="143" spans="1:15">
      <c r="A143" s="60"/>
      <c r="B143" s="60" t="s">
        <v>379</v>
      </c>
      <c r="C143" s="60" t="s">
        <v>380</v>
      </c>
      <c r="D143" s="60" t="s">
        <v>377</v>
      </c>
      <c r="E143" s="60" t="s">
        <v>275</v>
      </c>
      <c r="F143" s="60" t="s">
        <v>276</v>
      </c>
      <c r="G143" s="60" t="s">
        <v>276</v>
      </c>
      <c r="H143" s="60" t="s">
        <v>277</v>
      </c>
      <c r="I143" s="60" t="b">
        <v>0</v>
      </c>
      <c r="J143" s="60">
        <v>10</v>
      </c>
      <c r="K143" s="60">
        <v>955.9</v>
      </c>
      <c r="L143" s="61">
        <v>5432380</v>
      </c>
      <c r="M143" s="61">
        <v>1000000052812081</v>
      </c>
      <c r="N143" s="60" t="s">
        <v>381</v>
      </c>
      <c r="O143" s="60"/>
    </row>
    <row r="144" spans="1:15">
      <c r="A144" s="60"/>
      <c r="B144" s="60" t="s">
        <v>379</v>
      </c>
      <c r="C144" s="60" t="s">
        <v>380</v>
      </c>
      <c r="D144" s="60" t="s">
        <v>377</v>
      </c>
      <c r="E144" s="60" t="s">
        <v>275</v>
      </c>
      <c r="F144" s="60" t="s">
        <v>276</v>
      </c>
      <c r="G144" s="60" t="s">
        <v>276</v>
      </c>
      <c r="H144" s="60" t="s">
        <v>277</v>
      </c>
      <c r="I144" s="60" t="b">
        <v>0</v>
      </c>
      <c r="J144" s="60">
        <v>9</v>
      </c>
      <c r="K144" s="60">
        <v>955.9</v>
      </c>
      <c r="L144" s="61">
        <v>5432379</v>
      </c>
      <c r="M144" s="61">
        <v>1000000052812081</v>
      </c>
      <c r="N144" s="60" t="s">
        <v>381</v>
      </c>
      <c r="O144" s="60"/>
    </row>
    <row r="145" spans="1:15">
      <c r="A145" s="60"/>
      <c r="B145" s="60" t="s">
        <v>379</v>
      </c>
      <c r="C145" s="60" t="s">
        <v>380</v>
      </c>
      <c r="D145" s="60" t="s">
        <v>377</v>
      </c>
      <c r="E145" s="60" t="s">
        <v>275</v>
      </c>
      <c r="F145" s="60" t="s">
        <v>276</v>
      </c>
      <c r="G145" s="60" t="s">
        <v>276</v>
      </c>
      <c r="H145" s="60" t="s">
        <v>277</v>
      </c>
      <c r="I145" s="60" t="b">
        <v>0</v>
      </c>
      <c r="J145" s="60">
        <v>8</v>
      </c>
      <c r="K145" s="60">
        <v>955.9</v>
      </c>
      <c r="L145" s="61">
        <v>5432381</v>
      </c>
      <c r="M145" s="61">
        <v>1000000052812081</v>
      </c>
      <c r="N145" s="60" t="s">
        <v>381</v>
      </c>
      <c r="O145" s="60"/>
    </row>
    <row r="146" spans="1:15">
      <c r="A146" s="60"/>
      <c r="B146" s="60" t="s">
        <v>379</v>
      </c>
      <c r="C146" s="60" t="s">
        <v>380</v>
      </c>
      <c r="D146" s="60" t="s">
        <v>377</v>
      </c>
      <c r="E146" s="60" t="s">
        <v>275</v>
      </c>
      <c r="F146" s="60" t="s">
        <v>276</v>
      </c>
      <c r="G146" s="60" t="s">
        <v>276</v>
      </c>
      <c r="H146" s="60" t="s">
        <v>277</v>
      </c>
      <c r="I146" s="60" t="b">
        <v>0</v>
      </c>
      <c r="J146" s="60">
        <v>5</v>
      </c>
      <c r="K146" s="60">
        <v>955.85</v>
      </c>
      <c r="L146" s="61">
        <v>5432376</v>
      </c>
      <c r="M146" s="61">
        <v>1000000052812081</v>
      </c>
      <c r="N146" s="60" t="s">
        <v>381</v>
      </c>
      <c r="O146" s="60"/>
    </row>
    <row r="147" spans="1:15">
      <c r="A147" s="60"/>
      <c r="B147" s="60" t="s">
        <v>379</v>
      </c>
      <c r="C147" s="60" t="s">
        <v>380</v>
      </c>
      <c r="D147" s="60" t="s">
        <v>377</v>
      </c>
      <c r="E147" s="60" t="s">
        <v>275</v>
      </c>
      <c r="F147" s="60" t="s">
        <v>276</v>
      </c>
      <c r="G147" s="60" t="s">
        <v>276</v>
      </c>
      <c r="H147" s="60" t="s">
        <v>277</v>
      </c>
      <c r="I147" s="60" t="b">
        <v>0</v>
      </c>
      <c r="J147" s="60">
        <v>10</v>
      </c>
      <c r="K147" s="60">
        <v>955.85</v>
      </c>
      <c r="L147" s="61">
        <v>5432378</v>
      </c>
      <c r="M147" s="61">
        <v>1000000052812081</v>
      </c>
      <c r="N147" s="60" t="s">
        <v>381</v>
      </c>
      <c r="O147" s="60"/>
    </row>
    <row r="148" spans="1:15">
      <c r="A148" s="60"/>
      <c r="B148" s="60" t="s">
        <v>382</v>
      </c>
      <c r="C148" s="60" t="s">
        <v>383</v>
      </c>
      <c r="D148" s="60" t="s">
        <v>377</v>
      </c>
      <c r="E148" s="60" t="s">
        <v>275</v>
      </c>
      <c r="F148" s="60" t="s">
        <v>276</v>
      </c>
      <c r="G148" s="60" t="s">
        <v>276</v>
      </c>
      <c r="H148" s="60" t="s">
        <v>277</v>
      </c>
      <c r="I148" s="60" t="b">
        <v>0</v>
      </c>
      <c r="J148" s="60">
        <v>82</v>
      </c>
      <c r="K148" s="60">
        <v>367.7</v>
      </c>
      <c r="L148" s="61">
        <v>5441880</v>
      </c>
      <c r="M148" s="61">
        <v>1000000052895910</v>
      </c>
      <c r="N148" s="60" t="s">
        <v>384</v>
      </c>
      <c r="O148" s="60"/>
    </row>
    <row r="149" spans="1:15">
      <c r="A149" s="60"/>
      <c r="B149" s="60" t="s">
        <v>385</v>
      </c>
      <c r="C149" s="60" t="s">
        <v>386</v>
      </c>
      <c r="D149" s="60" t="s">
        <v>377</v>
      </c>
      <c r="E149" s="60" t="s">
        <v>275</v>
      </c>
      <c r="F149" s="60" t="s">
        <v>276</v>
      </c>
      <c r="G149" s="60" t="s">
        <v>276</v>
      </c>
      <c r="H149" s="60" t="s">
        <v>277</v>
      </c>
      <c r="I149" s="60" t="b">
        <v>0</v>
      </c>
      <c r="J149" s="60">
        <v>70</v>
      </c>
      <c r="K149" s="60">
        <v>167.82</v>
      </c>
      <c r="L149" s="61">
        <v>207164289</v>
      </c>
      <c r="M149" s="61">
        <v>1100000062440946</v>
      </c>
      <c r="N149" s="60" t="s">
        <v>387</v>
      </c>
      <c r="O149" s="60"/>
    </row>
    <row r="150" spans="1:15">
      <c r="A150" s="60"/>
      <c r="B150" s="60" t="s">
        <v>385</v>
      </c>
      <c r="C150" s="60" t="s">
        <v>386</v>
      </c>
      <c r="D150" s="60" t="s">
        <v>377</v>
      </c>
      <c r="E150" s="60" t="s">
        <v>275</v>
      </c>
      <c r="F150" s="60" t="s">
        <v>276</v>
      </c>
      <c r="G150" s="60" t="s">
        <v>276</v>
      </c>
      <c r="H150" s="60" t="s">
        <v>277</v>
      </c>
      <c r="I150" s="60" t="b">
        <v>0</v>
      </c>
      <c r="J150" s="60">
        <v>50</v>
      </c>
      <c r="K150" s="60">
        <v>167.82</v>
      </c>
      <c r="L150" s="61">
        <v>207164288</v>
      </c>
      <c r="M150" s="61">
        <v>1100000062440946</v>
      </c>
      <c r="N150" s="60" t="s">
        <v>387</v>
      </c>
      <c r="O150" s="60"/>
    </row>
    <row r="151" spans="1:15">
      <c r="A151" s="60"/>
      <c r="B151" s="60" t="s">
        <v>388</v>
      </c>
      <c r="C151" s="60" t="s">
        <v>389</v>
      </c>
      <c r="D151" s="60" t="s">
        <v>377</v>
      </c>
      <c r="E151" s="60" t="s">
        <v>275</v>
      </c>
      <c r="F151" s="60" t="s">
        <v>276</v>
      </c>
      <c r="G151" s="60" t="s">
        <v>276</v>
      </c>
      <c r="H151" s="60" t="s">
        <v>277</v>
      </c>
      <c r="I151" s="60" t="b">
        <v>0</v>
      </c>
      <c r="J151" s="60">
        <v>3</v>
      </c>
      <c r="K151" s="60">
        <v>950.5</v>
      </c>
      <c r="L151" s="61">
        <v>607883603</v>
      </c>
      <c r="M151" s="61">
        <v>1300000067038500</v>
      </c>
      <c r="N151" s="60" t="s">
        <v>390</v>
      </c>
      <c r="O151" s="60"/>
    </row>
    <row r="152" spans="1:15">
      <c r="A152" s="60"/>
      <c r="B152" s="60" t="s">
        <v>388</v>
      </c>
      <c r="C152" s="60" t="s">
        <v>389</v>
      </c>
      <c r="D152" s="60" t="s">
        <v>377</v>
      </c>
      <c r="E152" s="60" t="s">
        <v>275</v>
      </c>
      <c r="F152" s="60" t="s">
        <v>276</v>
      </c>
      <c r="G152" s="60" t="s">
        <v>276</v>
      </c>
      <c r="H152" s="60" t="s">
        <v>277</v>
      </c>
      <c r="I152" s="60" t="b">
        <v>0</v>
      </c>
      <c r="J152" s="60">
        <v>1</v>
      </c>
      <c r="K152" s="60">
        <v>950.5</v>
      </c>
      <c r="L152" s="61">
        <v>607883614</v>
      </c>
      <c r="M152" s="61">
        <v>1300000067038500</v>
      </c>
      <c r="N152" s="60" t="s">
        <v>390</v>
      </c>
      <c r="O152" s="60"/>
    </row>
    <row r="153" spans="1:15">
      <c r="A153" s="60"/>
      <c r="B153" s="60" t="s">
        <v>388</v>
      </c>
      <c r="C153" s="60" t="s">
        <v>389</v>
      </c>
      <c r="D153" s="60" t="s">
        <v>377</v>
      </c>
      <c r="E153" s="60" t="s">
        <v>275</v>
      </c>
      <c r="F153" s="60" t="s">
        <v>276</v>
      </c>
      <c r="G153" s="60" t="s">
        <v>276</v>
      </c>
      <c r="H153" s="60" t="s">
        <v>277</v>
      </c>
      <c r="I153" s="60" t="b">
        <v>0</v>
      </c>
      <c r="J153" s="60">
        <v>5</v>
      </c>
      <c r="K153" s="60">
        <v>950.5</v>
      </c>
      <c r="L153" s="61">
        <v>607883619</v>
      </c>
      <c r="M153" s="61">
        <v>1300000067038500</v>
      </c>
      <c r="N153" s="60" t="s">
        <v>390</v>
      </c>
      <c r="O153" s="60"/>
    </row>
    <row r="154" spans="1:15">
      <c r="A154" s="60"/>
      <c r="B154" s="60" t="s">
        <v>391</v>
      </c>
      <c r="C154" s="60" t="s">
        <v>392</v>
      </c>
      <c r="D154" s="60" t="s">
        <v>377</v>
      </c>
      <c r="E154" s="60" t="s">
        <v>275</v>
      </c>
      <c r="F154" s="60" t="s">
        <v>276</v>
      </c>
      <c r="G154" s="60" t="s">
        <v>276</v>
      </c>
      <c r="H154" s="60" t="s">
        <v>277</v>
      </c>
      <c r="I154" s="60" t="b">
        <v>0</v>
      </c>
      <c r="J154" s="60">
        <v>260</v>
      </c>
      <c r="K154" s="60">
        <v>292.10000000000002</v>
      </c>
      <c r="L154" s="61">
        <v>5467966</v>
      </c>
      <c r="M154" s="61">
        <v>1000000053096238</v>
      </c>
      <c r="N154" s="60" t="s">
        <v>393</v>
      </c>
      <c r="O154" s="60"/>
    </row>
    <row r="155" spans="1:15">
      <c r="A155" s="60"/>
      <c r="B155" s="60" t="s">
        <v>394</v>
      </c>
      <c r="C155" s="60" t="s">
        <v>395</v>
      </c>
      <c r="D155" s="60" t="s">
        <v>377</v>
      </c>
      <c r="E155" s="60" t="s">
        <v>275</v>
      </c>
      <c r="F155" s="60" t="s">
        <v>276</v>
      </c>
      <c r="G155" s="60" t="s">
        <v>276</v>
      </c>
      <c r="H155" s="60" t="s">
        <v>277</v>
      </c>
      <c r="I155" s="60" t="b">
        <v>0</v>
      </c>
      <c r="J155" s="60">
        <v>121</v>
      </c>
      <c r="K155" s="60">
        <v>238.41</v>
      </c>
      <c r="L155" s="61">
        <v>207221970</v>
      </c>
      <c r="M155" s="61">
        <v>1100000062851302</v>
      </c>
      <c r="N155" s="60" t="s">
        <v>396</v>
      </c>
      <c r="O155" s="60"/>
    </row>
    <row r="156" spans="1:15">
      <c r="A156" s="60"/>
      <c r="B156" s="60" t="s">
        <v>394</v>
      </c>
      <c r="C156" s="60" t="s">
        <v>395</v>
      </c>
      <c r="D156" s="60" t="s">
        <v>377</v>
      </c>
      <c r="E156" s="60" t="s">
        <v>275</v>
      </c>
      <c r="F156" s="60" t="s">
        <v>276</v>
      </c>
      <c r="G156" s="60" t="s">
        <v>276</v>
      </c>
      <c r="H156" s="60" t="s">
        <v>277</v>
      </c>
      <c r="I156" s="60" t="b">
        <v>0</v>
      </c>
      <c r="J156" s="60">
        <v>11</v>
      </c>
      <c r="K156" s="60">
        <v>238.41</v>
      </c>
      <c r="L156" s="61">
        <v>207221969</v>
      </c>
      <c r="M156" s="61">
        <v>1100000062851302</v>
      </c>
      <c r="N156" s="60" t="s">
        <v>396</v>
      </c>
      <c r="O156" s="60"/>
    </row>
    <row r="157" spans="1:15">
      <c r="A157" s="60"/>
      <c r="B157" s="60" t="s">
        <v>394</v>
      </c>
      <c r="C157" s="60" t="s">
        <v>395</v>
      </c>
      <c r="D157" s="60" t="s">
        <v>377</v>
      </c>
      <c r="E157" s="60" t="s">
        <v>275</v>
      </c>
      <c r="F157" s="60" t="s">
        <v>276</v>
      </c>
      <c r="G157" s="60" t="s">
        <v>276</v>
      </c>
      <c r="H157" s="60" t="s">
        <v>277</v>
      </c>
      <c r="I157" s="60" t="b">
        <v>0</v>
      </c>
      <c r="J157" s="60">
        <v>78</v>
      </c>
      <c r="K157" s="60">
        <v>238.41</v>
      </c>
      <c r="L157" s="61">
        <v>207221971</v>
      </c>
      <c r="M157" s="61">
        <v>1100000062851302</v>
      </c>
      <c r="N157" s="60" t="s">
        <v>396</v>
      </c>
      <c r="O157" s="60"/>
    </row>
    <row r="158" spans="1:15">
      <c r="A158" s="60"/>
      <c r="B158" s="60" t="s">
        <v>361</v>
      </c>
      <c r="C158" s="60" t="s">
        <v>362</v>
      </c>
      <c r="D158" s="60" t="s">
        <v>397</v>
      </c>
      <c r="E158" s="60" t="s">
        <v>275</v>
      </c>
      <c r="F158" s="60" t="s">
        <v>276</v>
      </c>
      <c r="G158" s="60" t="s">
        <v>276</v>
      </c>
      <c r="H158" s="60" t="s">
        <v>326</v>
      </c>
      <c r="I158" s="60" t="b">
        <v>0</v>
      </c>
      <c r="J158" s="60">
        <v>16</v>
      </c>
      <c r="K158" s="60">
        <v>304.75</v>
      </c>
      <c r="L158" s="61">
        <v>200847283</v>
      </c>
      <c r="M158" s="61">
        <v>1100000006789695</v>
      </c>
      <c r="N158" s="60" t="s">
        <v>398</v>
      </c>
      <c r="O158" s="60"/>
    </row>
    <row r="159" spans="1:15">
      <c r="A159" s="60"/>
      <c r="B159" s="60" t="s">
        <v>361</v>
      </c>
      <c r="C159" s="60" t="s">
        <v>362</v>
      </c>
      <c r="D159" s="60" t="s">
        <v>397</v>
      </c>
      <c r="E159" s="60" t="s">
        <v>275</v>
      </c>
      <c r="F159" s="60" t="s">
        <v>276</v>
      </c>
      <c r="G159" s="60" t="s">
        <v>276</v>
      </c>
      <c r="H159" s="60" t="s">
        <v>326</v>
      </c>
      <c r="I159" s="60" t="b">
        <v>0</v>
      </c>
      <c r="J159" s="60">
        <v>56</v>
      </c>
      <c r="K159" s="60">
        <v>304.75</v>
      </c>
      <c r="L159" s="61">
        <v>200847285</v>
      </c>
      <c r="M159" s="61">
        <v>1100000006789695</v>
      </c>
      <c r="N159" s="60" t="s">
        <v>398</v>
      </c>
      <c r="O159" s="60"/>
    </row>
    <row r="160" spans="1:15">
      <c r="A160" s="60"/>
      <c r="B160" s="60" t="s">
        <v>361</v>
      </c>
      <c r="C160" s="60" t="s">
        <v>362</v>
      </c>
      <c r="D160" s="60" t="s">
        <v>397</v>
      </c>
      <c r="E160" s="60" t="s">
        <v>275</v>
      </c>
      <c r="F160" s="60" t="s">
        <v>276</v>
      </c>
      <c r="G160" s="60" t="s">
        <v>276</v>
      </c>
      <c r="H160" s="60" t="s">
        <v>326</v>
      </c>
      <c r="I160" s="60" t="b">
        <v>0</v>
      </c>
      <c r="J160" s="60">
        <v>3</v>
      </c>
      <c r="K160" s="60">
        <v>304.75</v>
      </c>
      <c r="L160" s="61">
        <v>200847284</v>
      </c>
      <c r="M160" s="61">
        <v>1100000006789695</v>
      </c>
      <c r="N160" s="60" t="s">
        <v>398</v>
      </c>
      <c r="O160" s="60"/>
    </row>
    <row r="161" spans="1:15">
      <c r="A161" s="60"/>
      <c r="B161" s="60" t="s">
        <v>290</v>
      </c>
      <c r="C161" s="60" t="s">
        <v>291</v>
      </c>
      <c r="D161" s="60" t="s">
        <v>399</v>
      </c>
      <c r="E161" s="60" t="s">
        <v>275</v>
      </c>
      <c r="F161" s="60" t="s">
        <v>276</v>
      </c>
      <c r="G161" s="60" t="s">
        <v>276</v>
      </c>
      <c r="H161" s="60" t="s">
        <v>326</v>
      </c>
      <c r="I161" s="60" t="b">
        <v>0</v>
      </c>
      <c r="J161" s="60">
        <v>19</v>
      </c>
      <c r="K161" s="60">
        <v>4056.8</v>
      </c>
      <c r="L161" s="61">
        <v>206418034</v>
      </c>
      <c r="M161" s="61">
        <v>1100000055343086</v>
      </c>
      <c r="N161" s="60" t="s">
        <v>400</v>
      </c>
      <c r="O161" s="60"/>
    </row>
    <row r="162" spans="1:15">
      <c r="A162" s="60"/>
      <c r="B162" s="60" t="s">
        <v>108</v>
      </c>
      <c r="C162" s="60"/>
      <c r="D162" s="60" t="s">
        <v>399</v>
      </c>
      <c r="E162" s="60" t="s">
        <v>332</v>
      </c>
      <c r="F162" s="60" t="s">
        <v>276</v>
      </c>
      <c r="G162" s="60" t="s">
        <v>333</v>
      </c>
      <c r="H162" s="60" t="s">
        <v>326</v>
      </c>
      <c r="I162" s="60" t="b">
        <v>0</v>
      </c>
      <c r="J162" s="60">
        <v>160</v>
      </c>
      <c r="K162" s="60">
        <v>482.77499999999998</v>
      </c>
      <c r="L162" s="61">
        <v>6267600</v>
      </c>
      <c r="M162" s="61">
        <v>1.762844334102753E+18</v>
      </c>
      <c r="N162" s="60" t="s">
        <v>401</v>
      </c>
      <c r="O162" s="60"/>
    </row>
    <row r="163" spans="1:15">
      <c r="A163" s="60"/>
      <c r="B163" s="60" t="s">
        <v>108</v>
      </c>
      <c r="C163" s="60"/>
      <c r="D163" s="60" t="s">
        <v>399</v>
      </c>
      <c r="E163" s="60" t="s">
        <v>332</v>
      </c>
      <c r="F163" s="60" t="s">
        <v>276</v>
      </c>
      <c r="G163" s="60" t="s">
        <v>333</v>
      </c>
      <c r="H163" s="60" t="s">
        <v>326</v>
      </c>
      <c r="I163" s="60" t="b">
        <v>0</v>
      </c>
      <c r="J163" s="60">
        <v>8</v>
      </c>
      <c r="K163" s="60">
        <v>482.3125</v>
      </c>
      <c r="L163" s="61">
        <v>6267800</v>
      </c>
      <c r="M163" s="61">
        <v>1.762844334102753E+18</v>
      </c>
      <c r="N163" s="60" t="s">
        <v>401</v>
      </c>
      <c r="O163" s="60"/>
    </row>
    <row r="164" spans="1:15">
      <c r="A164" s="60"/>
      <c r="B164" s="60" t="s">
        <v>272</v>
      </c>
      <c r="C164" s="60" t="s">
        <v>273</v>
      </c>
      <c r="D164" s="60" t="s">
        <v>402</v>
      </c>
      <c r="E164" s="60" t="s">
        <v>275</v>
      </c>
      <c r="F164" s="60" t="s">
        <v>276</v>
      </c>
      <c r="G164" s="60" t="s">
        <v>276</v>
      </c>
      <c r="H164" s="60" t="s">
        <v>277</v>
      </c>
      <c r="I164" s="60" t="b">
        <v>0</v>
      </c>
      <c r="J164" s="60">
        <v>5</v>
      </c>
      <c r="K164" s="60">
        <v>7775.5</v>
      </c>
      <c r="L164" s="61">
        <v>402401951</v>
      </c>
      <c r="M164" s="61">
        <v>1200000022006382</v>
      </c>
      <c r="N164" s="60" t="s">
        <v>403</v>
      </c>
      <c r="O164" s="60"/>
    </row>
    <row r="165" spans="1:15">
      <c r="A165" s="60"/>
      <c r="B165" s="60" t="s">
        <v>272</v>
      </c>
      <c r="C165" s="60" t="s">
        <v>273</v>
      </c>
      <c r="D165" s="60" t="s">
        <v>402</v>
      </c>
      <c r="E165" s="60" t="s">
        <v>275</v>
      </c>
      <c r="F165" s="60" t="s">
        <v>276</v>
      </c>
      <c r="G165" s="60" t="s">
        <v>276</v>
      </c>
      <c r="H165" s="60" t="s">
        <v>277</v>
      </c>
      <c r="I165" s="60" t="b">
        <v>0</v>
      </c>
      <c r="J165" s="60">
        <v>1</v>
      </c>
      <c r="K165" s="60">
        <v>7773.5</v>
      </c>
      <c r="L165" s="61">
        <v>402401948</v>
      </c>
      <c r="M165" s="61">
        <v>1200000022006382</v>
      </c>
      <c r="N165" s="60" t="s">
        <v>403</v>
      </c>
      <c r="O165" s="60"/>
    </row>
    <row r="166" spans="1:15">
      <c r="A166" s="60"/>
      <c r="B166" s="60" t="s">
        <v>272</v>
      </c>
      <c r="C166" s="60" t="s">
        <v>273</v>
      </c>
      <c r="D166" s="60" t="s">
        <v>402</v>
      </c>
      <c r="E166" s="60" t="s">
        <v>275</v>
      </c>
      <c r="F166" s="60" t="s">
        <v>276</v>
      </c>
      <c r="G166" s="60" t="s">
        <v>276</v>
      </c>
      <c r="H166" s="60" t="s">
        <v>277</v>
      </c>
      <c r="I166" s="60" t="b">
        <v>0</v>
      </c>
      <c r="J166" s="60">
        <v>1</v>
      </c>
      <c r="K166" s="60">
        <v>7775.5</v>
      </c>
      <c r="L166" s="61">
        <v>402401949</v>
      </c>
      <c r="M166" s="61">
        <v>1200000022006382</v>
      </c>
      <c r="N166" s="60" t="s">
        <v>403</v>
      </c>
      <c r="O166" s="60"/>
    </row>
    <row r="167" spans="1:15">
      <c r="A167" s="60"/>
      <c r="B167" s="60" t="s">
        <v>272</v>
      </c>
      <c r="C167" s="60" t="s">
        <v>273</v>
      </c>
      <c r="D167" s="60" t="s">
        <v>402</v>
      </c>
      <c r="E167" s="60" t="s">
        <v>275</v>
      </c>
      <c r="F167" s="60" t="s">
        <v>276</v>
      </c>
      <c r="G167" s="60" t="s">
        <v>276</v>
      </c>
      <c r="H167" s="60" t="s">
        <v>277</v>
      </c>
      <c r="I167" s="60" t="b">
        <v>0</v>
      </c>
      <c r="J167" s="60">
        <v>3</v>
      </c>
      <c r="K167" s="60">
        <v>7775.5</v>
      </c>
      <c r="L167" s="61">
        <v>402401950</v>
      </c>
      <c r="M167" s="61">
        <v>1200000022006382</v>
      </c>
      <c r="N167" s="60" t="s">
        <v>403</v>
      </c>
      <c r="O167" s="60"/>
    </row>
    <row r="168" spans="1:15">
      <c r="A168" s="60"/>
      <c r="B168" s="60" t="s">
        <v>272</v>
      </c>
      <c r="C168" s="60" t="s">
        <v>273</v>
      </c>
      <c r="D168" s="60" t="s">
        <v>402</v>
      </c>
      <c r="E168" s="60" t="s">
        <v>275</v>
      </c>
      <c r="F168" s="60" t="s">
        <v>276</v>
      </c>
      <c r="G168" s="60" t="s">
        <v>276</v>
      </c>
      <c r="H168" s="60" t="s">
        <v>277</v>
      </c>
      <c r="I168" s="60" t="b">
        <v>0</v>
      </c>
      <c r="J168" s="60">
        <v>2</v>
      </c>
      <c r="K168" s="60">
        <v>7776</v>
      </c>
      <c r="L168" s="61">
        <v>402401953</v>
      </c>
      <c r="M168" s="61">
        <v>1200000022006382</v>
      </c>
      <c r="N168" s="60" t="s">
        <v>403</v>
      </c>
      <c r="O168" s="60"/>
    </row>
    <row r="169" spans="1:15">
      <c r="A169" s="60"/>
      <c r="B169" s="60" t="s">
        <v>338</v>
      </c>
      <c r="C169" s="60" t="s">
        <v>339</v>
      </c>
      <c r="D169" s="60" t="s">
        <v>404</v>
      </c>
      <c r="E169" s="60" t="s">
        <v>275</v>
      </c>
      <c r="F169" s="60" t="s">
        <v>276</v>
      </c>
      <c r="G169" s="60" t="s">
        <v>276</v>
      </c>
      <c r="H169" s="60" t="s">
        <v>277</v>
      </c>
      <c r="I169" s="60" t="b">
        <v>0</v>
      </c>
      <c r="J169" s="60">
        <v>1</v>
      </c>
      <c r="K169" s="60">
        <v>268.67</v>
      </c>
      <c r="L169" s="61">
        <v>406381643</v>
      </c>
      <c r="M169" s="61">
        <v>1200000064459364</v>
      </c>
      <c r="N169" s="60" t="s">
        <v>405</v>
      </c>
      <c r="O169" s="60"/>
    </row>
    <row r="170" spans="1:15">
      <c r="A170" s="60"/>
      <c r="B170" s="60" t="s">
        <v>338</v>
      </c>
      <c r="C170" s="60" t="s">
        <v>339</v>
      </c>
      <c r="D170" s="60" t="s">
        <v>404</v>
      </c>
      <c r="E170" s="60" t="s">
        <v>275</v>
      </c>
      <c r="F170" s="60" t="s">
        <v>276</v>
      </c>
      <c r="G170" s="60" t="s">
        <v>276</v>
      </c>
      <c r="H170" s="60" t="s">
        <v>277</v>
      </c>
      <c r="I170" s="60" t="b">
        <v>0</v>
      </c>
      <c r="J170" s="60">
        <v>99</v>
      </c>
      <c r="K170" s="60">
        <v>268.67</v>
      </c>
      <c r="L170" s="61">
        <v>406381642</v>
      </c>
      <c r="M170" s="61">
        <v>1200000064459364</v>
      </c>
      <c r="N170" s="60" t="s">
        <v>405</v>
      </c>
      <c r="O170" s="60"/>
    </row>
    <row r="171" spans="1:15">
      <c r="A171" s="60"/>
      <c r="B171" s="60" t="s">
        <v>406</v>
      </c>
      <c r="C171" s="60"/>
      <c r="D171" s="60" t="s">
        <v>407</v>
      </c>
      <c r="E171" s="60" t="s">
        <v>275</v>
      </c>
      <c r="F171" s="60" t="s">
        <v>276</v>
      </c>
      <c r="G171" s="60" t="s">
        <v>276</v>
      </c>
      <c r="H171" s="60" t="s">
        <v>277</v>
      </c>
      <c r="I171" s="60" t="b">
        <v>0</v>
      </c>
      <c r="J171" s="60">
        <v>13</v>
      </c>
      <c r="K171" s="60">
        <v>1393.8</v>
      </c>
      <c r="L171" s="61">
        <v>2834568</v>
      </c>
      <c r="M171" s="61">
        <v>1000000026298057</v>
      </c>
      <c r="N171" s="60" t="s">
        <v>408</v>
      </c>
      <c r="O171" s="60"/>
    </row>
    <row r="172" spans="1:15">
      <c r="A172" s="60"/>
      <c r="B172" s="60" t="s">
        <v>406</v>
      </c>
      <c r="C172" s="60"/>
      <c r="D172" s="60" t="s">
        <v>407</v>
      </c>
      <c r="E172" s="60" t="s">
        <v>275</v>
      </c>
      <c r="F172" s="60" t="s">
        <v>276</v>
      </c>
      <c r="G172" s="60" t="s">
        <v>276</v>
      </c>
      <c r="H172" s="60" t="s">
        <v>277</v>
      </c>
      <c r="I172" s="60" t="b">
        <v>0</v>
      </c>
      <c r="J172" s="60">
        <v>23</v>
      </c>
      <c r="K172" s="60">
        <v>1393.8</v>
      </c>
      <c r="L172" s="61">
        <v>2834567</v>
      </c>
      <c r="M172" s="61">
        <v>1000000026298057</v>
      </c>
      <c r="N172" s="60" t="s">
        <v>408</v>
      </c>
      <c r="O172" s="60"/>
    </row>
    <row r="173" spans="1:15">
      <c r="A173" s="60"/>
      <c r="B173" s="60" t="s">
        <v>409</v>
      </c>
      <c r="C173" s="60"/>
      <c r="D173" s="60" t="s">
        <v>407</v>
      </c>
      <c r="E173" s="60" t="s">
        <v>275</v>
      </c>
      <c r="F173" s="60" t="s">
        <v>276</v>
      </c>
      <c r="G173" s="60" t="s">
        <v>276</v>
      </c>
      <c r="H173" s="60" t="s">
        <v>277</v>
      </c>
      <c r="I173" s="60" t="b">
        <v>0</v>
      </c>
      <c r="J173" s="60">
        <v>2</v>
      </c>
      <c r="K173" s="60">
        <v>4514.2997999999998</v>
      </c>
      <c r="L173" s="61">
        <v>604224003</v>
      </c>
      <c r="M173" s="61">
        <v>1300000032610706</v>
      </c>
      <c r="N173" s="60" t="s">
        <v>410</v>
      </c>
      <c r="O173" s="60"/>
    </row>
    <row r="174" spans="1:15">
      <c r="A174" s="60"/>
      <c r="B174" s="60" t="s">
        <v>409</v>
      </c>
      <c r="C174" s="60"/>
      <c r="D174" s="60" t="s">
        <v>407</v>
      </c>
      <c r="E174" s="60" t="s">
        <v>275</v>
      </c>
      <c r="F174" s="60" t="s">
        <v>276</v>
      </c>
      <c r="G174" s="60" t="s">
        <v>276</v>
      </c>
      <c r="H174" s="60" t="s">
        <v>277</v>
      </c>
      <c r="I174" s="60" t="b">
        <v>0</v>
      </c>
      <c r="J174" s="60">
        <v>2</v>
      </c>
      <c r="K174" s="60">
        <v>4514.7002000000002</v>
      </c>
      <c r="L174" s="61">
        <v>604224005</v>
      </c>
      <c r="M174" s="61">
        <v>1300000032610706</v>
      </c>
      <c r="N174" s="60" t="s">
        <v>410</v>
      </c>
      <c r="O174" s="60"/>
    </row>
    <row r="175" spans="1:15">
      <c r="A175" s="60"/>
      <c r="B175" s="60" t="s">
        <v>409</v>
      </c>
      <c r="C175" s="60"/>
      <c r="D175" s="60" t="s">
        <v>407</v>
      </c>
      <c r="E175" s="60" t="s">
        <v>275</v>
      </c>
      <c r="F175" s="60" t="s">
        <v>276</v>
      </c>
      <c r="G175" s="60" t="s">
        <v>276</v>
      </c>
      <c r="H175" s="60" t="s">
        <v>277</v>
      </c>
      <c r="I175" s="60" t="b">
        <v>0</v>
      </c>
      <c r="J175" s="60">
        <v>4</v>
      </c>
      <c r="K175" s="60">
        <v>4512.5</v>
      </c>
      <c r="L175" s="61">
        <v>604224002</v>
      </c>
      <c r="M175" s="61">
        <v>1300000032610706</v>
      </c>
      <c r="N175" s="60" t="s">
        <v>410</v>
      </c>
      <c r="O175" s="60"/>
    </row>
    <row r="176" spans="1:15">
      <c r="A176" s="60"/>
      <c r="B176" s="60" t="s">
        <v>409</v>
      </c>
      <c r="C176" s="60"/>
      <c r="D176" s="60" t="s">
        <v>407</v>
      </c>
      <c r="E176" s="60" t="s">
        <v>275</v>
      </c>
      <c r="F176" s="60" t="s">
        <v>276</v>
      </c>
      <c r="G176" s="60" t="s">
        <v>276</v>
      </c>
      <c r="H176" s="60" t="s">
        <v>277</v>
      </c>
      <c r="I176" s="60" t="b">
        <v>0</v>
      </c>
      <c r="J176" s="60">
        <v>3</v>
      </c>
      <c r="K176" s="60">
        <v>4514.3999000000003</v>
      </c>
      <c r="L176" s="61">
        <v>604224004</v>
      </c>
      <c r="M176" s="61">
        <v>1300000032610706</v>
      </c>
      <c r="N176" s="60" t="s">
        <v>410</v>
      </c>
      <c r="O176" s="60"/>
    </row>
    <row r="177" spans="1:15">
      <c r="A177" s="60"/>
      <c r="B177" s="60" t="s">
        <v>409</v>
      </c>
      <c r="C177" s="60" t="s">
        <v>411</v>
      </c>
      <c r="D177" s="60" t="s">
        <v>412</v>
      </c>
      <c r="E177" s="60" t="s">
        <v>275</v>
      </c>
      <c r="F177" s="60" t="s">
        <v>276</v>
      </c>
      <c r="G177" s="60" t="s">
        <v>276</v>
      </c>
      <c r="H177" s="60" t="s">
        <v>277</v>
      </c>
      <c r="I177" s="60" t="b">
        <v>0</v>
      </c>
      <c r="J177" s="60">
        <v>3</v>
      </c>
      <c r="K177" s="60">
        <v>4712.1000999999997</v>
      </c>
      <c r="L177" s="61">
        <v>605255054</v>
      </c>
      <c r="M177" s="61">
        <v>1300000045811742</v>
      </c>
      <c r="N177" s="60" t="s">
        <v>413</v>
      </c>
      <c r="O177" s="60"/>
    </row>
    <row r="178" spans="1:15">
      <c r="A178" s="60"/>
      <c r="B178" s="60" t="s">
        <v>409</v>
      </c>
      <c r="C178" s="60" t="s">
        <v>411</v>
      </c>
      <c r="D178" s="60" t="s">
        <v>412</v>
      </c>
      <c r="E178" s="60" t="s">
        <v>275</v>
      </c>
      <c r="F178" s="60" t="s">
        <v>276</v>
      </c>
      <c r="G178" s="60" t="s">
        <v>276</v>
      </c>
      <c r="H178" s="60" t="s">
        <v>277</v>
      </c>
      <c r="I178" s="60" t="b">
        <v>0</v>
      </c>
      <c r="J178" s="60">
        <v>4</v>
      </c>
      <c r="K178" s="60">
        <v>4712</v>
      </c>
      <c r="L178" s="61">
        <v>605255052</v>
      </c>
      <c r="M178" s="61">
        <v>1300000045811742</v>
      </c>
      <c r="N178" s="60" t="s">
        <v>413</v>
      </c>
      <c r="O178" s="60"/>
    </row>
    <row r="179" spans="1:15">
      <c r="A179" s="60"/>
      <c r="B179" s="60" t="s">
        <v>409</v>
      </c>
      <c r="C179" s="60" t="s">
        <v>411</v>
      </c>
      <c r="D179" s="60" t="s">
        <v>412</v>
      </c>
      <c r="E179" s="60" t="s">
        <v>275</v>
      </c>
      <c r="F179" s="60" t="s">
        <v>276</v>
      </c>
      <c r="G179" s="60" t="s">
        <v>276</v>
      </c>
      <c r="H179" s="60" t="s">
        <v>277</v>
      </c>
      <c r="I179" s="60" t="b">
        <v>0</v>
      </c>
      <c r="J179" s="60">
        <v>2</v>
      </c>
      <c r="K179" s="60">
        <v>4712.1000999999997</v>
      </c>
      <c r="L179" s="61">
        <v>605255053</v>
      </c>
      <c r="M179" s="61">
        <v>1300000045811742</v>
      </c>
      <c r="N179" s="60" t="s">
        <v>413</v>
      </c>
      <c r="O179" s="60"/>
    </row>
    <row r="180" spans="1:15">
      <c r="A180" s="60"/>
      <c r="B180" s="60" t="s">
        <v>409</v>
      </c>
      <c r="C180" s="60" t="s">
        <v>411</v>
      </c>
      <c r="D180" s="60" t="s">
        <v>412</v>
      </c>
      <c r="E180" s="60" t="s">
        <v>275</v>
      </c>
      <c r="F180" s="60" t="s">
        <v>276</v>
      </c>
      <c r="G180" s="60" t="s">
        <v>276</v>
      </c>
      <c r="H180" s="60" t="s">
        <v>277</v>
      </c>
      <c r="I180" s="60" t="b">
        <v>0</v>
      </c>
      <c r="J180" s="60">
        <v>2</v>
      </c>
      <c r="K180" s="60">
        <v>4711.8999000000003</v>
      </c>
      <c r="L180" s="61">
        <v>605255051</v>
      </c>
      <c r="M180" s="61">
        <v>1300000045811742</v>
      </c>
      <c r="N180" s="60" t="s">
        <v>413</v>
      </c>
      <c r="O180" s="60"/>
    </row>
    <row r="181" spans="1:15">
      <c r="A181" s="60"/>
      <c r="B181" s="60" t="s">
        <v>394</v>
      </c>
      <c r="C181" s="60" t="s">
        <v>395</v>
      </c>
      <c r="D181" s="60" t="s">
        <v>412</v>
      </c>
      <c r="E181" s="60" t="s">
        <v>275</v>
      </c>
      <c r="F181" s="60" t="s">
        <v>276</v>
      </c>
      <c r="G181" s="60" t="s">
        <v>276</v>
      </c>
      <c r="H181" s="60" t="s">
        <v>277</v>
      </c>
      <c r="I181" s="60" t="b">
        <v>0</v>
      </c>
      <c r="J181" s="60">
        <v>108</v>
      </c>
      <c r="K181" s="60">
        <v>246.27</v>
      </c>
      <c r="L181" s="61">
        <v>206412972</v>
      </c>
      <c r="M181" s="61">
        <v>1100000054184602</v>
      </c>
      <c r="N181" s="60" t="s">
        <v>414</v>
      </c>
      <c r="O181" s="60"/>
    </row>
    <row r="182" spans="1:15">
      <c r="A182" s="60"/>
      <c r="B182" s="60" t="s">
        <v>394</v>
      </c>
      <c r="C182" s="60" t="s">
        <v>395</v>
      </c>
      <c r="D182" s="60" t="s">
        <v>412</v>
      </c>
      <c r="E182" s="60" t="s">
        <v>275</v>
      </c>
      <c r="F182" s="60" t="s">
        <v>276</v>
      </c>
      <c r="G182" s="60" t="s">
        <v>276</v>
      </c>
      <c r="H182" s="60" t="s">
        <v>277</v>
      </c>
      <c r="I182" s="60" t="b">
        <v>0</v>
      </c>
      <c r="J182" s="60">
        <v>96</v>
      </c>
      <c r="K182" s="60">
        <v>246.28</v>
      </c>
      <c r="L182" s="61">
        <v>206412973</v>
      </c>
      <c r="M182" s="61">
        <v>1100000054184602</v>
      </c>
      <c r="N182" s="60" t="s">
        <v>414</v>
      </c>
      <c r="O182" s="60"/>
    </row>
    <row r="183" spans="1:15">
      <c r="A183" s="60"/>
      <c r="B183" s="60" t="s">
        <v>394</v>
      </c>
      <c r="C183" s="60" t="s">
        <v>395</v>
      </c>
      <c r="D183" s="60" t="s">
        <v>415</v>
      </c>
      <c r="E183" s="60" t="s">
        <v>275</v>
      </c>
      <c r="F183" s="60" t="s">
        <v>276</v>
      </c>
      <c r="G183" s="60" t="s">
        <v>276</v>
      </c>
      <c r="H183" s="60" t="s">
        <v>277</v>
      </c>
      <c r="I183" s="60" t="b">
        <v>0</v>
      </c>
      <c r="J183" s="60">
        <v>14</v>
      </c>
      <c r="K183" s="60">
        <v>257.70999999999998</v>
      </c>
      <c r="L183" s="61">
        <v>205976622</v>
      </c>
      <c r="M183" s="61">
        <v>1100000056648477</v>
      </c>
      <c r="N183" s="60" t="s">
        <v>416</v>
      </c>
      <c r="O183" s="60"/>
    </row>
    <row r="184" spans="1:15">
      <c r="A184" s="60"/>
      <c r="B184" s="60" t="s">
        <v>394</v>
      </c>
      <c r="C184" s="60" t="s">
        <v>395</v>
      </c>
      <c r="D184" s="60" t="s">
        <v>415</v>
      </c>
      <c r="E184" s="60" t="s">
        <v>275</v>
      </c>
      <c r="F184" s="60" t="s">
        <v>276</v>
      </c>
      <c r="G184" s="60" t="s">
        <v>276</v>
      </c>
      <c r="H184" s="60" t="s">
        <v>277</v>
      </c>
      <c r="I184" s="60" t="b">
        <v>0</v>
      </c>
      <c r="J184" s="60">
        <v>250</v>
      </c>
      <c r="K184" s="60">
        <v>257.7</v>
      </c>
      <c r="L184" s="61">
        <v>205976620</v>
      </c>
      <c r="M184" s="61">
        <v>1100000056648477</v>
      </c>
      <c r="N184" s="60" t="s">
        <v>416</v>
      </c>
      <c r="O184" s="60"/>
    </row>
    <row r="185" spans="1:15">
      <c r="A185" s="60"/>
      <c r="B185" s="60" t="s">
        <v>394</v>
      </c>
      <c r="C185" s="60" t="s">
        <v>395</v>
      </c>
      <c r="D185" s="60" t="s">
        <v>415</v>
      </c>
      <c r="E185" s="60" t="s">
        <v>275</v>
      </c>
      <c r="F185" s="60" t="s">
        <v>276</v>
      </c>
      <c r="G185" s="60" t="s">
        <v>276</v>
      </c>
      <c r="H185" s="60" t="s">
        <v>277</v>
      </c>
      <c r="I185" s="60" t="b">
        <v>0</v>
      </c>
      <c r="J185" s="60">
        <v>92</v>
      </c>
      <c r="K185" s="60">
        <v>257.7</v>
      </c>
      <c r="L185" s="61">
        <v>205976621</v>
      </c>
      <c r="M185" s="61">
        <v>1100000056648477</v>
      </c>
      <c r="N185" s="60" t="s">
        <v>416</v>
      </c>
      <c r="O185" s="60"/>
    </row>
    <row r="186" spans="1:15">
      <c r="A186" s="60"/>
      <c r="B186" s="60" t="s">
        <v>394</v>
      </c>
      <c r="C186" s="60" t="s">
        <v>395</v>
      </c>
      <c r="D186" s="60" t="s">
        <v>415</v>
      </c>
      <c r="E186" s="60" t="s">
        <v>275</v>
      </c>
      <c r="F186" s="60" t="s">
        <v>276</v>
      </c>
      <c r="G186" s="60" t="s">
        <v>276</v>
      </c>
      <c r="H186" s="60" t="s">
        <v>277</v>
      </c>
      <c r="I186" s="60" t="b">
        <v>0</v>
      </c>
      <c r="J186" s="60">
        <v>32</v>
      </c>
      <c r="K186" s="60">
        <v>257.7</v>
      </c>
      <c r="L186" s="61">
        <v>205976619</v>
      </c>
      <c r="M186" s="61">
        <v>1100000056648477</v>
      </c>
      <c r="N186" s="60" t="s">
        <v>416</v>
      </c>
      <c r="O186" s="60"/>
    </row>
    <row r="187" spans="1:15">
      <c r="A187" s="60"/>
      <c r="B187" s="60" t="s">
        <v>417</v>
      </c>
      <c r="C187" s="60" t="s">
        <v>418</v>
      </c>
      <c r="D187" s="60" t="s">
        <v>415</v>
      </c>
      <c r="E187" s="60" t="s">
        <v>275</v>
      </c>
      <c r="F187" s="60" t="s">
        <v>276</v>
      </c>
      <c r="G187" s="60" t="s">
        <v>276</v>
      </c>
      <c r="H187" s="60" t="s">
        <v>277</v>
      </c>
      <c r="I187" s="60" t="b">
        <v>0</v>
      </c>
      <c r="J187" s="60">
        <v>677</v>
      </c>
      <c r="K187" s="60">
        <v>108.48</v>
      </c>
      <c r="L187" s="61">
        <v>206027992</v>
      </c>
      <c r="M187" s="61">
        <v>1100000057056789</v>
      </c>
      <c r="N187" s="60" t="s">
        <v>419</v>
      </c>
      <c r="O187" s="60"/>
    </row>
    <row r="188" spans="1:15">
      <c r="A188" s="60"/>
      <c r="B188" s="60" t="s">
        <v>417</v>
      </c>
      <c r="C188" s="60" t="s">
        <v>418</v>
      </c>
      <c r="D188" s="60" t="s">
        <v>415</v>
      </c>
      <c r="E188" s="60" t="s">
        <v>275</v>
      </c>
      <c r="F188" s="60" t="s">
        <v>276</v>
      </c>
      <c r="G188" s="60" t="s">
        <v>276</v>
      </c>
      <c r="H188" s="60" t="s">
        <v>277</v>
      </c>
      <c r="I188" s="60" t="b">
        <v>0</v>
      </c>
      <c r="J188" s="60">
        <v>243</v>
      </c>
      <c r="K188" s="60">
        <v>108.48</v>
      </c>
      <c r="L188" s="61">
        <v>206027993</v>
      </c>
      <c r="M188" s="61">
        <v>1100000057056789</v>
      </c>
      <c r="N188" s="60" t="s">
        <v>419</v>
      </c>
      <c r="O188" s="60"/>
    </row>
    <row r="189" spans="1:15">
      <c r="A189" s="60"/>
      <c r="B189" s="60" t="s">
        <v>420</v>
      </c>
      <c r="C189" s="60" t="s">
        <v>421</v>
      </c>
      <c r="D189" s="60" t="s">
        <v>422</v>
      </c>
      <c r="E189" s="60" t="s">
        <v>275</v>
      </c>
      <c r="F189" s="60" t="s">
        <v>276</v>
      </c>
      <c r="G189" s="60" t="s">
        <v>276</v>
      </c>
      <c r="H189" s="60" t="s">
        <v>277</v>
      </c>
      <c r="I189" s="60" t="b">
        <v>0</v>
      </c>
      <c r="J189" s="60">
        <v>36</v>
      </c>
      <c r="K189" s="60">
        <v>426.6</v>
      </c>
      <c r="L189" s="61">
        <v>4769488</v>
      </c>
      <c r="M189" s="61">
        <v>1000000042386900</v>
      </c>
      <c r="N189" s="60" t="s">
        <v>423</v>
      </c>
      <c r="O189" s="60"/>
    </row>
    <row r="190" spans="1:15">
      <c r="A190" s="60"/>
      <c r="B190" s="60" t="s">
        <v>420</v>
      </c>
      <c r="C190" s="60" t="s">
        <v>421</v>
      </c>
      <c r="D190" s="60" t="s">
        <v>422</v>
      </c>
      <c r="E190" s="60" t="s">
        <v>275</v>
      </c>
      <c r="F190" s="60" t="s">
        <v>276</v>
      </c>
      <c r="G190" s="60" t="s">
        <v>276</v>
      </c>
      <c r="H190" s="60" t="s">
        <v>277</v>
      </c>
      <c r="I190" s="60" t="b">
        <v>0</v>
      </c>
      <c r="J190" s="60">
        <v>81</v>
      </c>
      <c r="K190" s="60">
        <v>426.6</v>
      </c>
      <c r="L190" s="61">
        <v>4769042</v>
      </c>
      <c r="M190" s="61">
        <v>1000000042386900</v>
      </c>
      <c r="N190" s="60" t="s">
        <v>423</v>
      </c>
      <c r="O190" s="60"/>
    </row>
    <row r="191" spans="1:15">
      <c r="A191" s="60"/>
      <c r="B191" s="60" t="s">
        <v>332</v>
      </c>
      <c r="C191" s="60" t="s">
        <v>424</v>
      </c>
      <c r="D191" s="60" t="s">
        <v>422</v>
      </c>
      <c r="E191" s="60" t="s">
        <v>275</v>
      </c>
      <c r="F191" s="60" t="s">
        <v>276</v>
      </c>
      <c r="G191" s="60" t="s">
        <v>276</v>
      </c>
      <c r="H191" s="60" t="s">
        <v>277</v>
      </c>
      <c r="I191" s="60" t="b">
        <v>0</v>
      </c>
      <c r="J191" s="60">
        <v>18</v>
      </c>
      <c r="K191" s="60">
        <v>2801.6001000000001</v>
      </c>
      <c r="L191" s="61">
        <v>4787082</v>
      </c>
      <c r="M191" s="61">
        <v>1000000042553870</v>
      </c>
      <c r="N191" s="60" t="s">
        <v>425</v>
      </c>
      <c r="O191" s="60"/>
    </row>
    <row r="192" spans="1:15">
      <c r="A192" s="60"/>
      <c r="B192" s="60" t="s">
        <v>426</v>
      </c>
      <c r="C192" s="60" t="s">
        <v>427</v>
      </c>
      <c r="D192" s="60" t="s">
        <v>428</v>
      </c>
      <c r="E192" s="60" t="s">
        <v>275</v>
      </c>
      <c r="F192" s="60" t="s">
        <v>276</v>
      </c>
      <c r="G192" s="60" t="s">
        <v>276</v>
      </c>
      <c r="H192" s="60" t="s">
        <v>277</v>
      </c>
      <c r="I192" s="60" t="b">
        <v>0</v>
      </c>
      <c r="J192" s="60">
        <v>26</v>
      </c>
      <c r="K192" s="60">
        <v>485.05</v>
      </c>
      <c r="L192" s="61">
        <v>202333156</v>
      </c>
      <c r="M192" s="61">
        <v>1100000017290156</v>
      </c>
      <c r="N192" s="60" t="s">
        <v>429</v>
      </c>
      <c r="O192" s="60"/>
    </row>
    <row r="193" spans="1:15">
      <c r="A193" s="60"/>
      <c r="B193" s="60" t="s">
        <v>426</v>
      </c>
      <c r="C193" s="60" t="s">
        <v>427</v>
      </c>
      <c r="D193" s="60" t="s">
        <v>428</v>
      </c>
      <c r="E193" s="60" t="s">
        <v>275</v>
      </c>
      <c r="F193" s="60" t="s">
        <v>276</v>
      </c>
      <c r="G193" s="60" t="s">
        <v>276</v>
      </c>
      <c r="H193" s="60" t="s">
        <v>277</v>
      </c>
      <c r="I193" s="60" t="b">
        <v>0</v>
      </c>
      <c r="J193" s="60">
        <v>77</v>
      </c>
      <c r="K193" s="60">
        <v>485.05</v>
      </c>
      <c r="L193" s="61">
        <v>202333157</v>
      </c>
      <c r="M193" s="61">
        <v>1100000017290156</v>
      </c>
      <c r="N193" s="60" t="s">
        <v>429</v>
      </c>
      <c r="O193" s="60"/>
    </row>
    <row r="194" spans="1:15">
      <c r="A194" s="60"/>
      <c r="B194" s="60" t="s">
        <v>420</v>
      </c>
      <c r="C194" s="60" t="s">
        <v>421</v>
      </c>
      <c r="D194" s="60" t="s">
        <v>428</v>
      </c>
      <c r="E194" s="60" t="s">
        <v>275</v>
      </c>
      <c r="F194" s="60" t="s">
        <v>276</v>
      </c>
      <c r="G194" s="60" t="s">
        <v>276</v>
      </c>
      <c r="H194" s="60" t="s">
        <v>277</v>
      </c>
      <c r="I194" s="60" t="b">
        <v>0</v>
      </c>
      <c r="J194" s="60">
        <v>100</v>
      </c>
      <c r="K194" s="60">
        <v>450.45</v>
      </c>
      <c r="L194" s="61">
        <v>1534655</v>
      </c>
      <c r="M194" s="61">
        <v>1000000015384872</v>
      </c>
      <c r="N194" s="60" t="s">
        <v>430</v>
      </c>
      <c r="O194" s="60"/>
    </row>
    <row r="195" spans="1:15">
      <c r="A195" s="60"/>
      <c r="B195" s="60" t="s">
        <v>420</v>
      </c>
      <c r="C195" s="60" t="s">
        <v>421</v>
      </c>
      <c r="D195" s="60" t="s">
        <v>428</v>
      </c>
      <c r="E195" s="60" t="s">
        <v>275</v>
      </c>
      <c r="F195" s="60" t="s">
        <v>276</v>
      </c>
      <c r="G195" s="60" t="s">
        <v>276</v>
      </c>
      <c r="H195" s="60" t="s">
        <v>277</v>
      </c>
      <c r="I195" s="60" t="b">
        <v>0</v>
      </c>
      <c r="J195" s="60">
        <v>11</v>
      </c>
      <c r="K195" s="60">
        <v>450.45</v>
      </c>
      <c r="L195" s="61">
        <v>1534656</v>
      </c>
      <c r="M195" s="61">
        <v>1000000015384872</v>
      </c>
      <c r="N195" s="60" t="s">
        <v>430</v>
      </c>
      <c r="O195" s="60"/>
    </row>
    <row r="196" spans="1:15">
      <c r="A196" s="60"/>
      <c r="B196" s="60" t="s">
        <v>431</v>
      </c>
      <c r="C196" s="60" t="s">
        <v>432</v>
      </c>
      <c r="D196" s="60" t="s">
        <v>433</v>
      </c>
      <c r="E196" s="60" t="s">
        <v>275</v>
      </c>
      <c r="F196" s="60" t="s">
        <v>276</v>
      </c>
      <c r="G196" s="60" t="s">
        <v>276</v>
      </c>
      <c r="H196" s="60" t="s">
        <v>277</v>
      </c>
      <c r="I196" s="60" t="b">
        <v>0</v>
      </c>
      <c r="J196" s="60">
        <v>19</v>
      </c>
      <c r="K196" s="60">
        <v>1314.6</v>
      </c>
      <c r="L196" s="61">
        <v>402017427</v>
      </c>
      <c r="M196" s="61">
        <v>1200000019575555</v>
      </c>
      <c r="N196" s="60" t="s">
        <v>434</v>
      </c>
      <c r="O196" s="60"/>
    </row>
    <row r="197" spans="1:15">
      <c r="A197" s="60"/>
      <c r="B197" s="60" t="s">
        <v>338</v>
      </c>
      <c r="C197" s="60" t="s">
        <v>339</v>
      </c>
      <c r="D197" s="60" t="s">
        <v>435</v>
      </c>
      <c r="E197" s="60" t="s">
        <v>275</v>
      </c>
      <c r="F197" s="60" t="s">
        <v>276</v>
      </c>
      <c r="G197" s="60" t="s">
        <v>276</v>
      </c>
      <c r="H197" s="60" t="s">
        <v>326</v>
      </c>
      <c r="I197" s="60" t="b">
        <v>0</v>
      </c>
      <c r="J197" s="60">
        <v>220</v>
      </c>
      <c r="K197" s="60">
        <v>245.9</v>
      </c>
      <c r="L197" s="61">
        <v>401382540</v>
      </c>
      <c r="M197" s="61">
        <v>1200000014901459</v>
      </c>
      <c r="N197" s="60" t="s">
        <v>436</v>
      </c>
      <c r="O197" s="60"/>
    </row>
    <row r="198" spans="1:15">
      <c r="A198" s="60"/>
      <c r="B198" s="60" t="s">
        <v>187</v>
      </c>
      <c r="C198" s="60" t="s">
        <v>342</v>
      </c>
      <c r="D198" s="60" t="s">
        <v>437</v>
      </c>
      <c r="E198" s="60" t="s">
        <v>332</v>
      </c>
      <c r="F198" s="60" t="s">
        <v>276</v>
      </c>
      <c r="G198" s="60" t="s">
        <v>333</v>
      </c>
      <c r="H198" s="60" t="s">
        <v>277</v>
      </c>
      <c r="I198" s="60" t="b">
        <v>0</v>
      </c>
      <c r="J198" s="60">
        <v>11</v>
      </c>
      <c r="K198" s="60">
        <v>926.6</v>
      </c>
      <c r="L198" s="61">
        <v>8895500</v>
      </c>
      <c r="M198" s="61">
        <v>1.7673437114127171E+18</v>
      </c>
      <c r="N198" s="60" t="s">
        <v>438</v>
      </c>
      <c r="O198" s="60"/>
    </row>
    <row r="199" spans="1:15">
      <c r="A199" s="60"/>
      <c r="B199" s="60" t="s">
        <v>187</v>
      </c>
      <c r="C199" s="60" t="s">
        <v>342</v>
      </c>
      <c r="D199" s="60" t="s">
        <v>437</v>
      </c>
      <c r="E199" s="60" t="s">
        <v>332</v>
      </c>
      <c r="F199" s="60" t="s">
        <v>276</v>
      </c>
      <c r="G199" s="60" t="s">
        <v>333</v>
      </c>
      <c r="H199" s="60" t="s">
        <v>277</v>
      </c>
      <c r="I199" s="60" t="b">
        <v>0</v>
      </c>
      <c r="J199" s="60">
        <v>97</v>
      </c>
      <c r="K199" s="60">
        <v>926.5</v>
      </c>
      <c r="L199" s="61">
        <v>8895300</v>
      </c>
      <c r="M199" s="61">
        <v>1.7673437114127171E+18</v>
      </c>
      <c r="N199" s="60" t="s">
        <v>438</v>
      </c>
      <c r="O199" s="60"/>
    </row>
    <row r="200" spans="1:15">
      <c r="A200" s="60"/>
      <c r="B200" s="60" t="s">
        <v>162</v>
      </c>
      <c r="C200" s="60" t="s">
        <v>439</v>
      </c>
      <c r="D200" s="60" t="s">
        <v>437</v>
      </c>
      <c r="E200" s="60" t="s">
        <v>275</v>
      </c>
      <c r="F200" s="60" t="s">
        <v>276</v>
      </c>
      <c r="G200" s="60" t="s">
        <v>276</v>
      </c>
      <c r="H200" s="60" t="s">
        <v>277</v>
      </c>
      <c r="I200" s="60" t="b">
        <v>0</v>
      </c>
      <c r="J200" s="60">
        <v>300</v>
      </c>
      <c r="K200" s="60">
        <v>84.49</v>
      </c>
      <c r="L200" s="61">
        <v>406243588</v>
      </c>
      <c r="M200" s="61">
        <v>1200000058479057</v>
      </c>
      <c r="N200" s="60" t="s">
        <v>440</v>
      </c>
      <c r="O200" s="60"/>
    </row>
    <row r="201" spans="1:15">
      <c r="A201" s="60"/>
      <c r="B201" s="60" t="s">
        <v>117</v>
      </c>
      <c r="C201" s="60" t="s">
        <v>441</v>
      </c>
      <c r="D201" s="60" t="s">
        <v>437</v>
      </c>
      <c r="E201" s="60" t="s">
        <v>275</v>
      </c>
      <c r="F201" s="60" t="s">
        <v>276</v>
      </c>
      <c r="G201" s="60" t="s">
        <v>276</v>
      </c>
      <c r="H201" s="60" t="s">
        <v>277</v>
      </c>
      <c r="I201" s="60" t="b">
        <v>0</v>
      </c>
      <c r="J201" s="60">
        <v>182</v>
      </c>
      <c r="K201" s="60">
        <v>137.25</v>
      </c>
      <c r="L201" s="61">
        <v>208912626</v>
      </c>
      <c r="M201" s="61">
        <v>1100000068739066</v>
      </c>
      <c r="N201" s="60" t="s">
        <v>442</v>
      </c>
      <c r="O201" s="60"/>
    </row>
    <row r="202" spans="1:15">
      <c r="A202" s="60"/>
      <c r="B202" s="60" t="s">
        <v>105</v>
      </c>
      <c r="C202" s="60" t="s">
        <v>443</v>
      </c>
      <c r="D202" s="60" t="s">
        <v>444</v>
      </c>
      <c r="E202" s="60" t="s">
        <v>275</v>
      </c>
      <c r="F202" s="60" t="s">
        <v>276</v>
      </c>
      <c r="G202" s="60" t="s">
        <v>276</v>
      </c>
      <c r="H202" s="60" t="s">
        <v>277</v>
      </c>
      <c r="I202" s="60" t="b">
        <v>0</v>
      </c>
      <c r="J202" s="60">
        <v>665</v>
      </c>
      <c r="K202" s="60">
        <v>75.5</v>
      </c>
      <c r="L202" s="61">
        <v>3525224</v>
      </c>
      <c r="M202" s="61">
        <v>1000000030563951</v>
      </c>
      <c r="N202" s="60" t="s">
        <v>445</v>
      </c>
      <c r="O202" s="60"/>
    </row>
    <row r="203" spans="1:15">
      <c r="A203" s="60"/>
      <c r="B203" s="60" t="s">
        <v>379</v>
      </c>
      <c r="C203" s="60" t="s">
        <v>380</v>
      </c>
      <c r="D203" s="60" t="s">
        <v>444</v>
      </c>
      <c r="E203" s="60" t="s">
        <v>275</v>
      </c>
      <c r="F203" s="60" t="s">
        <v>276</v>
      </c>
      <c r="G203" s="60" t="s">
        <v>276</v>
      </c>
      <c r="H203" s="60" t="s">
        <v>326</v>
      </c>
      <c r="I203" s="60" t="b">
        <v>0</v>
      </c>
      <c r="J203" s="60">
        <v>11</v>
      </c>
      <c r="K203" s="60">
        <v>814.95</v>
      </c>
      <c r="L203" s="61">
        <v>4105206</v>
      </c>
      <c r="M203" s="61">
        <v>1000000035841343</v>
      </c>
      <c r="N203" s="60" t="s">
        <v>446</v>
      </c>
      <c r="O203" s="60"/>
    </row>
    <row r="204" spans="1:15">
      <c r="A204" s="60"/>
      <c r="B204" s="60" t="s">
        <v>379</v>
      </c>
      <c r="C204" s="60" t="s">
        <v>380</v>
      </c>
      <c r="D204" s="60" t="s">
        <v>444</v>
      </c>
      <c r="E204" s="60" t="s">
        <v>275</v>
      </c>
      <c r="F204" s="60" t="s">
        <v>276</v>
      </c>
      <c r="G204" s="60" t="s">
        <v>276</v>
      </c>
      <c r="H204" s="60" t="s">
        <v>326</v>
      </c>
      <c r="I204" s="60" t="b">
        <v>0</v>
      </c>
      <c r="J204" s="60">
        <v>1</v>
      </c>
      <c r="K204" s="60">
        <v>814.95</v>
      </c>
      <c r="L204" s="61">
        <v>4105207</v>
      </c>
      <c r="M204" s="61">
        <v>1000000035841343</v>
      </c>
      <c r="N204" s="60" t="s">
        <v>446</v>
      </c>
      <c r="O204" s="60"/>
    </row>
    <row r="205" spans="1:15">
      <c r="A205" s="60"/>
      <c r="B205" s="60" t="s">
        <v>379</v>
      </c>
      <c r="C205" s="60" t="s">
        <v>380</v>
      </c>
      <c r="D205" s="60" t="s">
        <v>444</v>
      </c>
      <c r="E205" s="60" t="s">
        <v>275</v>
      </c>
      <c r="F205" s="60" t="s">
        <v>276</v>
      </c>
      <c r="G205" s="60" t="s">
        <v>276</v>
      </c>
      <c r="H205" s="60" t="s">
        <v>326</v>
      </c>
      <c r="I205" s="60" t="b">
        <v>0</v>
      </c>
      <c r="J205" s="60">
        <v>2</v>
      </c>
      <c r="K205" s="60">
        <v>814.9</v>
      </c>
      <c r="L205" s="61">
        <v>4105209</v>
      </c>
      <c r="M205" s="61">
        <v>1000000035841343</v>
      </c>
      <c r="N205" s="60" t="s">
        <v>446</v>
      </c>
      <c r="O205" s="60"/>
    </row>
    <row r="206" spans="1:15">
      <c r="A206" s="60"/>
      <c r="B206" s="60" t="s">
        <v>379</v>
      </c>
      <c r="C206" s="60" t="s">
        <v>380</v>
      </c>
      <c r="D206" s="60" t="s">
        <v>444</v>
      </c>
      <c r="E206" s="60" t="s">
        <v>275</v>
      </c>
      <c r="F206" s="60" t="s">
        <v>276</v>
      </c>
      <c r="G206" s="60" t="s">
        <v>276</v>
      </c>
      <c r="H206" s="60" t="s">
        <v>326</v>
      </c>
      <c r="I206" s="60" t="b">
        <v>0</v>
      </c>
      <c r="J206" s="60">
        <v>38</v>
      </c>
      <c r="K206" s="60">
        <v>814.95</v>
      </c>
      <c r="L206" s="61">
        <v>4105208</v>
      </c>
      <c r="M206" s="61">
        <v>1000000035841343</v>
      </c>
      <c r="N206" s="60" t="s">
        <v>446</v>
      </c>
      <c r="O206" s="60"/>
    </row>
    <row r="207" spans="1:15">
      <c r="A207" s="60"/>
      <c r="B207" s="60" t="s">
        <v>105</v>
      </c>
      <c r="C207" s="60" t="s">
        <v>443</v>
      </c>
      <c r="D207" s="60" t="s">
        <v>444</v>
      </c>
      <c r="E207" s="60" t="s">
        <v>275</v>
      </c>
      <c r="F207" s="60" t="s">
        <v>276</v>
      </c>
      <c r="G207" s="60" t="s">
        <v>276</v>
      </c>
      <c r="H207" s="60" t="s">
        <v>326</v>
      </c>
      <c r="I207" s="60" t="b">
        <v>0</v>
      </c>
      <c r="J207" s="60">
        <v>50</v>
      </c>
      <c r="K207" s="60">
        <v>72.97999999999999</v>
      </c>
      <c r="L207" s="61">
        <v>4343004</v>
      </c>
      <c r="M207" s="61">
        <v>1000000038012849</v>
      </c>
      <c r="N207" s="60" t="s">
        <v>447</v>
      </c>
      <c r="O207" s="60"/>
    </row>
    <row r="208" spans="1:15">
      <c r="A208" s="60"/>
      <c r="B208" s="60" t="s">
        <v>105</v>
      </c>
      <c r="C208" s="60" t="s">
        <v>443</v>
      </c>
      <c r="D208" s="60" t="s">
        <v>444</v>
      </c>
      <c r="E208" s="60" t="s">
        <v>275</v>
      </c>
      <c r="F208" s="60" t="s">
        <v>276</v>
      </c>
      <c r="G208" s="60" t="s">
        <v>276</v>
      </c>
      <c r="H208" s="60" t="s">
        <v>326</v>
      </c>
      <c r="I208" s="60" t="b">
        <v>0</v>
      </c>
      <c r="J208" s="60">
        <v>590</v>
      </c>
      <c r="K208" s="60">
        <v>72.97999999999999</v>
      </c>
      <c r="L208" s="61">
        <v>4343005</v>
      </c>
      <c r="M208" s="61">
        <v>1000000038012849</v>
      </c>
      <c r="N208" s="60" t="s">
        <v>447</v>
      </c>
      <c r="O208" s="60"/>
    </row>
    <row r="209" spans="1:15">
      <c r="A209" s="60"/>
      <c r="B209" s="60" t="s">
        <v>105</v>
      </c>
      <c r="C209" s="60" t="s">
        <v>443</v>
      </c>
      <c r="D209" s="60" t="s">
        <v>444</v>
      </c>
      <c r="E209" s="60" t="s">
        <v>275</v>
      </c>
      <c r="F209" s="60" t="s">
        <v>276</v>
      </c>
      <c r="G209" s="60" t="s">
        <v>276</v>
      </c>
      <c r="H209" s="60" t="s">
        <v>326</v>
      </c>
      <c r="I209" s="60" t="b">
        <v>0</v>
      </c>
      <c r="J209" s="60">
        <v>25</v>
      </c>
      <c r="K209" s="60">
        <v>72.97999999999999</v>
      </c>
      <c r="L209" s="61">
        <v>4343006</v>
      </c>
      <c r="M209" s="61">
        <v>1000000038012849</v>
      </c>
      <c r="N209" s="60" t="s">
        <v>447</v>
      </c>
      <c r="O209" s="60"/>
    </row>
    <row r="210" spans="1:15">
      <c r="A210" s="60"/>
      <c r="B210" s="60" t="s">
        <v>315</v>
      </c>
      <c r="C210" s="60" t="s">
        <v>316</v>
      </c>
      <c r="D210" s="60" t="s">
        <v>444</v>
      </c>
      <c r="E210" s="60" t="s">
        <v>275</v>
      </c>
      <c r="F210" s="60" t="s">
        <v>276</v>
      </c>
      <c r="G210" s="60" t="s">
        <v>276</v>
      </c>
      <c r="H210" s="60" t="s">
        <v>277</v>
      </c>
      <c r="I210" s="60" t="b">
        <v>0</v>
      </c>
      <c r="J210" s="60">
        <v>125</v>
      </c>
      <c r="K210" s="60">
        <v>154.59</v>
      </c>
      <c r="L210" s="61">
        <v>5678235</v>
      </c>
      <c r="M210" s="61">
        <v>1000000049175784</v>
      </c>
      <c r="N210" s="60" t="s">
        <v>448</v>
      </c>
      <c r="O210" s="60"/>
    </row>
    <row r="211" spans="1:15">
      <c r="A211" s="60"/>
      <c r="B211" s="60" t="s">
        <v>315</v>
      </c>
      <c r="C211" s="60" t="s">
        <v>316</v>
      </c>
      <c r="D211" s="60" t="s">
        <v>444</v>
      </c>
      <c r="E211" s="60" t="s">
        <v>275</v>
      </c>
      <c r="F211" s="60" t="s">
        <v>276</v>
      </c>
      <c r="G211" s="60" t="s">
        <v>276</v>
      </c>
      <c r="H211" s="60" t="s">
        <v>277</v>
      </c>
      <c r="I211" s="60" t="b">
        <v>0</v>
      </c>
      <c r="J211" s="60">
        <v>136</v>
      </c>
      <c r="K211" s="60">
        <v>154.59</v>
      </c>
      <c r="L211" s="61">
        <v>5678236</v>
      </c>
      <c r="M211" s="61">
        <v>1000000049175784</v>
      </c>
      <c r="N211" s="60" t="s">
        <v>448</v>
      </c>
      <c r="O211" s="60"/>
    </row>
    <row r="212" spans="1:15">
      <c r="A212" s="60"/>
      <c r="B212" s="60" t="s">
        <v>315</v>
      </c>
      <c r="C212" s="60" t="s">
        <v>316</v>
      </c>
      <c r="D212" s="60" t="s">
        <v>444</v>
      </c>
      <c r="E212" s="60" t="s">
        <v>275</v>
      </c>
      <c r="F212" s="60" t="s">
        <v>276</v>
      </c>
      <c r="G212" s="60" t="s">
        <v>276</v>
      </c>
      <c r="H212" s="60" t="s">
        <v>277</v>
      </c>
      <c r="I212" s="60" t="b">
        <v>0</v>
      </c>
      <c r="J212" s="60">
        <v>19</v>
      </c>
      <c r="K212" s="60">
        <v>154.59</v>
      </c>
      <c r="L212" s="61">
        <v>5678237</v>
      </c>
      <c r="M212" s="61">
        <v>1000000049175784</v>
      </c>
      <c r="N212" s="60" t="s">
        <v>448</v>
      </c>
      <c r="O212" s="60"/>
    </row>
    <row r="213" spans="1:15">
      <c r="A213" s="60"/>
      <c r="B213" s="60" t="s">
        <v>315</v>
      </c>
      <c r="C213" s="60" t="s">
        <v>316</v>
      </c>
      <c r="D213" s="60" t="s">
        <v>444</v>
      </c>
      <c r="E213" s="60" t="s">
        <v>275</v>
      </c>
      <c r="F213" s="60" t="s">
        <v>276</v>
      </c>
      <c r="G213" s="60" t="s">
        <v>276</v>
      </c>
      <c r="H213" s="60" t="s">
        <v>277</v>
      </c>
      <c r="I213" s="60" t="b">
        <v>0</v>
      </c>
      <c r="J213" s="60">
        <v>44</v>
      </c>
      <c r="K213" s="60">
        <v>154.6</v>
      </c>
      <c r="L213" s="61">
        <v>5678238</v>
      </c>
      <c r="M213" s="61">
        <v>1000000049175784</v>
      </c>
      <c r="N213" s="60" t="s">
        <v>448</v>
      </c>
      <c r="O213" s="60"/>
    </row>
    <row r="214" spans="1:15">
      <c r="A214" s="60"/>
      <c r="B214" s="60" t="s">
        <v>299</v>
      </c>
      <c r="C214" s="60" t="s">
        <v>300</v>
      </c>
      <c r="D214" s="60" t="s">
        <v>444</v>
      </c>
      <c r="E214" s="60" t="s">
        <v>275</v>
      </c>
      <c r="F214" s="60" t="s">
        <v>276</v>
      </c>
      <c r="G214" s="60" t="s">
        <v>276</v>
      </c>
      <c r="H214" s="60" t="s">
        <v>277</v>
      </c>
      <c r="I214" s="60" t="b">
        <v>0</v>
      </c>
      <c r="J214" s="60">
        <v>41</v>
      </c>
      <c r="K214" s="60">
        <v>612</v>
      </c>
      <c r="L214" s="61">
        <v>208704403</v>
      </c>
      <c r="M214" s="61">
        <v>1100000068344678</v>
      </c>
      <c r="N214" s="60" t="s">
        <v>449</v>
      </c>
      <c r="O214" s="60"/>
    </row>
    <row r="215" spans="1:15">
      <c r="A215" s="60"/>
      <c r="B215" s="60" t="s">
        <v>118</v>
      </c>
      <c r="C215" s="60" t="s">
        <v>450</v>
      </c>
      <c r="D215" s="60" t="s">
        <v>444</v>
      </c>
      <c r="E215" s="60" t="s">
        <v>275</v>
      </c>
      <c r="F215" s="60" t="s">
        <v>276</v>
      </c>
      <c r="G215" s="60" t="s">
        <v>276</v>
      </c>
      <c r="H215" s="60" t="s">
        <v>277</v>
      </c>
      <c r="I215" s="60" t="b">
        <v>0</v>
      </c>
      <c r="J215" s="60">
        <v>1</v>
      </c>
      <c r="K215" s="60">
        <v>2936.3</v>
      </c>
      <c r="L215" s="61">
        <v>5735291</v>
      </c>
      <c r="M215" s="61">
        <v>1000000049547677</v>
      </c>
      <c r="N215" s="60" t="s">
        <v>451</v>
      </c>
      <c r="O215" s="60"/>
    </row>
    <row r="216" spans="1:15">
      <c r="A216" s="60"/>
      <c r="B216" s="60" t="s">
        <v>118</v>
      </c>
      <c r="C216" s="60" t="s">
        <v>450</v>
      </c>
      <c r="D216" s="60" t="s">
        <v>444</v>
      </c>
      <c r="E216" s="60" t="s">
        <v>275</v>
      </c>
      <c r="F216" s="60" t="s">
        <v>276</v>
      </c>
      <c r="G216" s="60" t="s">
        <v>276</v>
      </c>
      <c r="H216" s="60" t="s">
        <v>277</v>
      </c>
      <c r="I216" s="60" t="b">
        <v>0</v>
      </c>
      <c r="J216" s="60">
        <v>3</v>
      </c>
      <c r="K216" s="60">
        <v>2936.3</v>
      </c>
      <c r="L216" s="61">
        <v>5735290</v>
      </c>
      <c r="M216" s="61">
        <v>1000000049547677</v>
      </c>
      <c r="N216" s="60" t="s">
        <v>451</v>
      </c>
      <c r="O216" s="60"/>
    </row>
    <row r="217" spans="1:15">
      <c r="A217" s="60"/>
      <c r="B217" s="60" t="s">
        <v>105</v>
      </c>
      <c r="C217" s="60" t="s">
        <v>443</v>
      </c>
      <c r="D217" s="60" t="s">
        <v>452</v>
      </c>
      <c r="E217" s="60" t="s">
        <v>275</v>
      </c>
      <c r="F217" s="60" t="s">
        <v>276</v>
      </c>
      <c r="G217" s="60" t="s">
        <v>276</v>
      </c>
      <c r="H217" s="60" t="s">
        <v>277</v>
      </c>
      <c r="I217" s="60" t="b">
        <v>0</v>
      </c>
      <c r="J217" s="60">
        <v>500</v>
      </c>
      <c r="K217" s="60">
        <v>84.92</v>
      </c>
      <c r="L217" s="61">
        <v>277975</v>
      </c>
      <c r="M217" s="61">
        <v>1000000002320226</v>
      </c>
      <c r="N217" s="60" t="s">
        <v>453</v>
      </c>
      <c r="O217" s="60"/>
    </row>
    <row r="218" spans="1:15">
      <c r="A218" s="60"/>
      <c r="B218" s="60" t="s">
        <v>409</v>
      </c>
      <c r="C218" s="60" t="s">
        <v>411</v>
      </c>
      <c r="D218" s="60" t="s">
        <v>454</v>
      </c>
      <c r="E218" s="60" t="s">
        <v>275</v>
      </c>
      <c r="F218" s="60" t="s">
        <v>276</v>
      </c>
      <c r="G218" s="60" t="s">
        <v>276</v>
      </c>
      <c r="H218" s="60" t="s">
        <v>326</v>
      </c>
      <c r="I218" s="60" t="b">
        <v>0</v>
      </c>
      <c r="J218" s="60">
        <v>1</v>
      </c>
      <c r="K218" s="60">
        <v>4030.5</v>
      </c>
      <c r="L218" s="61">
        <v>606190475</v>
      </c>
      <c r="M218" s="61">
        <v>1300000047221509</v>
      </c>
      <c r="N218" s="60" t="s">
        <v>455</v>
      </c>
      <c r="O218" s="60"/>
    </row>
    <row r="219" spans="1:15">
      <c r="A219" s="60"/>
      <c r="B219" s="60" t="s">
        <v>409</v>
      </c>
      <c r="C219" s="60" t="s">
        <v>411</v>
      </c>
      <c r="D219" s="60" t="s">
        <v>454</v>
      </c>
      <c r="E219" s="60" t="s">
        <v>275</v>
      </c>
      <c r="F219" s="60" t="s">
        <v>276</v>
      </c>
      <c r="G219" s="60" t="s">
        <v>276</v>
      </c>
      <c r="H219" s="60" t="s">
        <v>326</v>
      </c>
      <c r="I219" s="60" t="b">
        <v>0</v>
      </c>
      <c r="J219" s="60">
        <v>1</v>
      </c>
      <c r="K219" s="60">
        <v>4030.7</v>
      </c>
      <c r="L219" s="61">
        <v>606190474</v>
      </c>
      <c r="M219" s="61">
        <v>1300000047221509</v>
      </c>
      <c r="N219" s="60" t="s">
        <v>455</v>
      </c>
      <c r="O219" s="60"/>
    </row>
    <row r="220" spans="1:15">
      <c r="A220" s="60"/>
      <c r="B220" s="60" t="s">
        <v>409</v>
      </c>
      <c r="C220" s="60" t="s">
        <v>411</v>
      </c>
      <c r="D220" s="60" t="s">
        <v>454</v>
      </c>
      <c r="E220" s="60" t="s">
        <v>275</v>
      </c>
      <c r="F220" s="60" t="s">
        <v>276</v>
      </c>
      <c r="G220" s="60" t="s">
        <v>276</v>
      </c>
      <c r="H220" s="60" t="s">
        <v>326</v>
      </c>
      <c r="I220" s="60" t="b">
        <v>0</v>
      </c>
      <c r="J220" s="60">
        <v>20</v>
      </c>
      <c r="K220" s="60">
        <v>4030.3998999999999</v>
      </c>
      <c r="L220" s="61">
        <v>606190476</v>
      </c>
      <c r="M220" s="61">
        <v>1300000047221509</v>
      </c>
      <c r="N220" s="60" t="s">
        <v>455</v>
      </c>
      <c r="O220" s="60"/>
    </row>
    <row r="221" spans="1:15">
      <c r="A221" s="60"/>
      <c r="B221" s="60" t="s">
        <v>117</v>
      </c>
      <c r="C221" s="60" t="s">
        <v>441</v>
      </c>
      <c r="D221" s="60" t="s">
        <v>454</v>
      </c>
      <c r="E221" s="60" t="s">
        <v>275</v>
      </c>
      <c r="F221" s="60" t="s">
        <v>276</v>
      </c>
      <c r="G221" s="60" t="s">
        <v>276</v>
      </c>
      <c r="H221" s="60" t="s">
        <v>277</v>
      </c>
      <c r="I221" s="60" t="b">
        <v>0</v>
      </c>
      <c r="J221" s="60">
        <v>20</v>
      </c>
      <c r="K221" s="60">
        <v>140.28</v>
      </c>
      <c r="L221" s="61">
        <v>208258801</v>
      </c>
      <c r="M221" s="61">
        <v>1100000062498088</v>
      </c>
      <c r="N221" s="60" t="s">
        <v>456</v>
      </c>
      <c r="O221" s="60"/>
    </row>
    <row r="222" spans="1:15">
      <c r="A222" s="60"/>
      <c r="B222" s="60" t="s">
        <v>117</v>
      </c>
      <c r="C222" s="60" t="s">
        <v>441</v>
      </c>
      <c r="D222" s="60" t="s">
        <v>454</v>
      </c>
      <c r="E222" s="60" t="s">
        <v>275</v>
      </c>
      <c r="F222" s="60" t="s">
        <v>276</v>
      </c>
      <c r="G222" s="60" t="s">
        <v>276</v>
      </c>
      <c r="H222" s="60" t="s">
        <v>277</v>
      </c>
      <c r="I222" s="60" t="b">
        <v>0</v>
      </c>
      <c r="J222" s="60">
        <v>40</v>
      </c>
      <c r="K222" s="60">
        <v>140.28</v>
      </c>
      <c r="L222" s="61">
        <v>208258799</v>
      </c>
      <c r="M222" s="61">
        <v>1100000062498088</v>
      </c>
      <c r="N222" s="60" t="s">
        <v>456</v>
      </c>
      <c r="O222" s="60"/>
    </row>
    <row r="223" spans="1:15">
      <c r="A223" s="60"/>
      <c r="B223" s="60" t="s">
        <v>117</v>
      </c>
      <c r="C223" s="60" t="s">
        <v>441</v>
      </c>
      <c r="D223" s="60" t="s">
        <v>454</v>
      </c>
      <c r="E223" s="60" t="s">
        <v>275</v>
      </c>
      <c r="F223" s="60" t="s">
        <v>276</v>
      </c>
      <c r="G223" s="60" t="s">
        <v>276</v>
      </c>
      <c r="H223" s="60" t="s">
        <v>277</v>
      </c>
      <c r="I223" s="60" t="b">
        <v>0</v>
      </c>
      <c r="J223" s="60">
        <v>50</v>
      </c>
      <c r="K223" s="60">
        <v>140.28</v>
      </c>
      <c r="L223" s="61">
        <v>208258800</v>
      </c>
      <c r="M223" s="61">
        <v>1100000062498088</v>
      </c>
      <c r="N223" s="60" t="s">
        <v>456</v>
      </c>
      <c r="O223" s="60"/>
    </row>
    <row r="224" spans="1:15">
      <c r="A224" s="60"/>
      <c r="B224" s="60" t="s">
        <v>117</v>
      </c>
      <c r="C224" s="60" t="s">
        <v>441</v>
      </c>
      <c r="D224" s="60" t="s">
        <v>454</v>
      </c>
      <c r="E224" s="60" t="s">
        <v>275</v>
      </c>
      <c r="F224" s="60" t="s">
        <v>276</v>
      </c>
      <c r="G224" s="60" t="s">
        <v>276</v>
      </c>
      <c r="H224" s="60" t="s">
        <v>277</v>
      </c>
      <c r="I224" s="60" t="b">
        <v>0</v>
      </c>
      <c r="J224" s="60">
        <v>61</v>
      </c>
      <c r="K224" s="60">
        <v>140.27000000000001</v>
      </c>
      <c r="L224" s="61">
        <v>208258798</v>
      </c>
      <c r="M224" s="61">
        <v>1100000062498088</v>
      </c>
      <c r="N224" s="60" t="s">
        <v>456</v>
      </c>
      <c r="O224" s="60"/>
    </row>
    <row r="225" spans="1:15">
      <c r="A225" s="60"/>
      <c r="B225" s="60" t="s">
        <v>117</v>
      </c>
      <c r="C225" s="60" t="s">
        <v>441</v>
      </c>
      <c r="D225" s="60" t="s">
        <v>454</v>
      </c>
      <c r="E225" s="60" t="s">
        <v>275</v>
      </c>
      <c r="F225" s="60" t="s">
        <v>276</v>
      </c>
      <c r="G225" s="60" t="s">
        <v>276</v>
      </c>
      <c r="H225" s="60" t="s">
        <v>277</v>
      </c>
      <c r="I225" s="60" t="b">
        <v>0</v>
      </c>
      <c r="J225" s="60">
        <v>9</v>
      </c>
      <c r="K225" s="60">
        <v>140.28</v>
      </c>
      <c r="L225" s="61">
        <v>208258802</v>
      </c>
      <c r="M225" s="61">
        <v>1100000062498088</v>
      </c>
      <c r="N225" s="60" t="s">
        <v>456</v>
      </c>
      <c r="O225" s="60"/>
    </row>
    <row r="226" spans="1:15">
      <c r="A226" s="60"/>
      <c r="B226" s="60" t="s">
        <v>105</v>
      </c>
      <c r="C226" s="60" t="s">
        <v>443</v>
      </c>
      <c r="D226" s="60" t="s">
        <v>454</v>
      </c>
      <c r="E226" s="60" t="s">
        <v>332</v>
      </c>
      <c r="F226" s="60" t="s">
        <v>276</v>
      </c>
      <c r="G226" s="60" t="s">
        <v>457</v>
      </c>
      <c r="H226" s="60" t="s">
        <v>277</v>
      </c>
      <c r="I226" s="60" t="b">
        <v>0</v>
      </c>
      <c r="J226" s="60">
        <v>525</v>
      </c>
      <c r="K226" s="60">
        <v>96.34</v>
      </c>
      <c r="L226" s="61">
        <v>6999200</v>
      </c>
      <c r="M226" s="61">
        <v>1.768553083055275E+18</v>
      </c>
      <c r="N226" s="60" t="s">
        <v>458</v>
      </c>
      <c r="O226" s="60"/>
    </row>
    <row r="227" spans="1:15">
      <c r="A227" s="60"/>
      <c r="B227" s="60" t="s">
        <v>459</v>
      </c>
      <c r="C227" s="60" t="s">
        <v>460</v>
      </c>
      <c r="D227" s="60" t="s">
        <v>454</v>
      </c>
      <c r="E227" s="60" t="s">
        <v>275</v>
      </c>
      <c r="F227" s="60" t="s">
        <v>276</v>
      </c>
      <c r="G227" s="60" t="s">
        <v>276</v>
      </c>
      <c r="H227" s="60" t="s">
        <v>277</v>
      </c>
      <c r="I227" s="60" t="b">
        <v>0</v>
      </c>
      <c r="J227" s="60">
        <v>600</v>
      </c>
      <c r="K227" s="60">
        <v>44.47</v>
      </c>
      <c r="L227" s="61">
        <v>608076103</v>
      </c>
      <c r="M227" s="61">
        <v>1300000063866786</v>
      </c>
      <c r="N227" s="60" t="s">
        <v>461</v>
      </c>
      <c r="O227" s="60"/>
    </row>
    <row r="228" spans="1:15">
      <c r="A228" s="60"/>
      <c r="B228" s="60" t="s">
        <v>462</v>
      </c>
      <c r="C228" s="60" t="s">
        <v>463</v>
      </c>
      <c r="D228" s="60" t="s">
        <v>454</v>
      </c>
      <c r="E228" s="60" t="s">
        <v>275</v>
      </c>
      <c r="F228" s="60" t="s">
        <v>276</v>
      </c>
      <c r="G228" s="60" t="s">
        <v>276</v>
      </c>
      <c r="H228" s="60" t="s">
        <v>277</v>
      </c>
      <c r="I228" s="60" t="b">
        <v>0</v>
      </c>
      <c r="J228" s="60">
        <v>1</v>
      </c>
      <c r="K228" s="60">
        <v>131.88999999999999</v>
      </c>
      <c r="L228" s="61">
        <v>406128904</v>
      </c>
      <c r="M228" s="61">
        <v>1200000061891005</v>
      </c>
      <c r="N228" s="60" t="s">
        <v>464</v>
      </c>
      <c r="O228" s="60"/>
    </row>
    <row r="229" spans="1:15">
      <c r="A229" s="60"/>
      <c r="B229" s="60" t="s">
        <v>462</v>
      </c>
      <c r="C229" s="60" t="s">
        <v>463</v>
      </c>
      <c r="D229" s="60" t="s">
        <v>454</v>
      </c>
      <c r="E229" s="60" t="s">
        <v>275</v>
      </c>
      <c r="F229" s="60" t="s">
        <v>276</v>
      </c>
      <c r="G229" s="60" t="s">
        <v>276</v>
      </c>
      <c r="H229" s="60" t="s">
        <v>277</v>
      </c>
      <c r="I229" s="60" t="b">
        <v>0</v>
      </c>
      <c r="J229" s="60">
        <v>9</v>
      </c>
      <c r="K229" s="60">
        <v>131.88999999999999</v>
      </c>
      <c r="L229" s="61">
        <v>406128905</v>
      </c>
      <c r="M229" s="61">
        <v>1200000061891005</v>
      </c>
      <c r="N229" s="60" t="s">
        <v>464</v>
      </c>
      <c r="O229" s="60"/>
    </row>
    <row r="230" spans="1:15">
      <c r="A230" s="60"/>
      <c r="B230" s="60" t="s">
        <v>465</v>
      </c>
      <c r="C230" s="60" t="s">
        <v>466</v>
      </c>
      <c r="D230" s="60" t="s">
        <v>454</v>
      </c>
      <c r="E230" s="60" t="s">
        <v>275</v>
      </c>
      <c r="F230" s="60" t="s">
        <v>276</v>
      </c>
      <c r="G230" s="60" t="s">
        <v>276</v>
      </c>
      <c r="H230" s="60" t="s">
        <v>277</v>
      </c>
      <c r="I230" s="60" t="b">
        <v>0</v>
      </c>
      <c r="J230" s="60">
        <v>10</v>
      </c>
      <c r="K230" s="60">
        <v>156.75</v>
      </c>
      <c r="L230" s="61">
        <v>5688654</v>
      </c>
      <c r="M230" s="61">
        <v>1000000056015274</v>
      </c>
      <c r="N230" s="60" t="s">
        <v>467</v>
      </c>
      <c r="O230" s="60"/>
    </row>
    <row r="231" spans="1:15">
      <c r="A231" s="60"/>
      <c r="B231" s="60" t="s">
        <v>468</v>
      </c>
      <c r="C231" s="60" t="s">
        <v>469</v>
      </c>
      <c r="D231" s="60" t="s">
        <v>454</v>
      </c>
      <c r="E231" s="60" t="s">
        <v>275</v>
      </c>
      <c r="F231" s="60" t="s">
        <v>276</v>
      </c>
      <c r="G231" s="60" t="s">
        <v>276</v>
      </c>
      <c r="H231" s="60" t="s">
        <v>277</v>
      </c>
      <c r="I231" s="60" t="b">
        <v>0</v>
      </c>
      <c r="J231" s="60">
        <v>20</v>
      </c>
      <c r="K231" s="60">
        <v>66.849999999999994</v>
      </c>
      <c r="L231" s="61">
        <v>406134247</v>
      </c>
      <c r="M231" s="61">
        <v>1200000061948522</v>
      </c>
      <c r="N231" s="60" t="s">
        <v>470</v>
      </c>
      <c r="O231" s="60"/>
    </row>
    <row r="232" spans="1:15">
      <c r="A232" s="60"/>
      <c r="B232" s="60" t="s">
        <v>394</v>
      </c>
      <c r="C232" s="60" t="s">
        <v>395</v>
      </c>
      <c r="D232" s="60" t="s">
        <v>454</v>
      </c>
      <c r="E232" s="60" t="s">
        <v>332</v>
      </c>
      <c r="F232" s="60" t="s">
        <v>276</v>
      </c>
      <c r="G232" s="60" t="s">
        <v>333</v>
      </c>
      <c r="H232" s="60" t="s">
        <v>277</v>
      </c>
      <c r="I232" s="60" t="b">
        <v>0</v>
      </c>
      <c r="J232" s="60">
        <v>11</v>
      </c>
      <c r="K232" s="60">
        <v>270.14999999999998</v>
      </c>
      <c r="L232" s="61">
        <v>15720900</v>
      </c>
      <c r="M232" s="61">
        <v>1.768554517040546E+18</v>
      </c>
      <c r="N232" s="60" t="s">
        <v>471</v>
      </c>
      <c r="O232" s="60"/>
    </row>
    <row r="233" spans="1:15">
      <c r="A233" s="60"/>
      <c r="B233" s="60" t="s">
        <v>394</v>
      </c>
      <c r="C233" s="60" t="s">
        <v>395</v>
      </c>
      <c r="D233" s="60" t="s">
        <v>454</v>
      </c>
      <c r="E233" s="60" t="s">
        <v>332</v>
      </c>
      <c r="F233" s="60" t="s">
        <v>276</v>
      </c>
      <c r="G233" s="60" t="s">
        <v>333</v>
      </c>
      <c r="H233" s="60" t="s">
        <v>277</v>
      </c>
      <c r="I233" s="60" t="b">
        <v>0</v>
      </c>
      <c r="J233" s="60">
        <v>359</v>
      </c>
      <c r="K233" s="60">
        <v>270.25</v>
      </c>
      <c r="L233" s="61">
        <v>15721600</v>
      </c>
      <c r="M233" s="61">
        <v>1.768554517040546E+18</v>
      </c>
      <c r="N233" s="60" t="s">
        <v>471</v>
      </c>
      <c r="O233" s="60"/>
    </row>
    <row r="234" spans="1:15">
      <c r="A234" s="60"/>
      <c r="B234" s="60" t="s">
        <v>465</v>
      </c>
      <c r="C234" s="60" t="s">
        <v>466</v>
      </c>
      <c r="D234" s="60" t="s">
        <v>454</v>
      </c>
      <c r="E234" s="60" t="s">
        <v>275</v>
      </c>
      <c r="F234" s="60" t="s">
        <v>276</v>
      </c>
      <c r="G234" s="60" t="s">
        <v>276</v>
      </c>
      <c r="H234" s="60" t="s">
        <v>277</v>
      </c>
      <c r="I234" s="60" t="b">
        <v>0</v>
      </c>
      <c r="J234" s="60">
        <v>1</v>
      </c>
      <c r="K234" s="60">
        <v>157.28</v>
      </c>
      <c r="L234" s="61">
        <v>6113555</v>
      </c>
      <c r="M234" s="61">
        <v>1000000059176836</v>
      </c>
      <c r="N234" s="60" t="s">
        <v>472</v>
      </c>
      <c r="O234" s="60"/>
    </row>
    <row r="235" spans="1:15">
      <c r="A235" s="60"/>
      <c r="B235" s="60" t="s">
        <v>465</v>
      </c>
      <c r="C235" s="60" t="s">
        <v>466</v>
      </c>
      <c r="D235" s="60" t="s">
        <v>454</v>
      </c>
      <c r="E235" s="60" t="s">
        <v>275</v>
      </c>
      <c r="F235" s="60" t="s">
        <v>276</v>
      </c>
      <c r="G235" s="60" t="s">
        <v>276</v>
      </c>
      <c r="H235" s="60" t="s">
        <v>277</v>
      </c>
      <c r="I235" s="60" t="b">
        <v>0</v>
      </c>
      <c r="J235" s="60">
        <v>149</v>
      </c>
      <c r="K235" s="60">
        <v>157.30000000000001</v>
      </c>
      <c r="L235" s="61">
        <v>6113556</v>
      </c>
      <c r="M235" s="61">
        <v>1000000059176836</v>
      </c>
      <c r="N235" s="60" t="s">
        <v>472</v>
      </c>
      <c r="O235" s="60"/>
    </row>
    <row r="236" spans="1:15">
      <c r="A236" s="60"/>
      <c r="B236" s="60" t="s">
        <v>388</v>
      </c>
      <c r="C236" s="60" t="s">
        <v>389</v>
      </c>
      <c r="D236" s="60" t="s">
        <v>454</v>
      </c>
      <c r="E236" s="60" t="s">
        <v>275</v>
      </c>
      <c r="F236" s="60" t="s">
        <v>276</v>
      </c>
      <c r="G236" s="60" t="s">
        <v>276</v>
      </c>
      <c r="H236" s="60" t="s">
        <v>277</v>
      </c>
      <c r="I236" s="60" t="b">
        <v>0</v>
      </c>
      <c r="J236" s="60">
        <v>24</v>
      </c>
      <c r="K236" s="60">
        <v>1043.0999999999999</v>
      </c>
      <c r="L236" s="61">
        <v>608736445</v>
      </c>
      <c r="M236" s="61">
        <v>1300000068849574</v>
      </c>
      <c r="N236" s="60" t="s">
        <v>473</v>
      </c>
      <c r="O236" s="60"/>
    </row>
    <row r="237" spans="1:15">
      <c r="A237" s="60"/>
      <c r="B237" s="60" t="s">
        <v>462</v>
      </c>
      <c r="C237" s="60" t="s">
        <v>463</v>
      </c>
      <c r="D237" s="60" t="s">
        <v>474</v>
      </c>
      <c r="E237" s="60" t="s">
        <v>275</v>
      </c>
      <c r="F237" s="60" t="s">
        <v>276</v>
      </c>
      <c r="G237" s="60" t="s">
        <v>276</v>
      </c>
      <c r="H237" s="60" t="s">
        <v>277</v>
      </c>
      <c r="I237" s="60" t="b">
        <v>0</v>
      </c>
      <c r="J237" s="60">
        <v>190</v>
      </c>
      <c r="K237" s="60">
        <v>127.48</v>
      </c>
      <c r="L237" s="61">
        <v>405751563</v>
      </c>
      <c r="M237" s="61">
        <v>1200000067042159</v>
      </c>
      <c r="N237" s="60" t="s">
        <v>475</v>
      </c>
      <c r="O237" s="60"/>
    </row>
    <row r="238" spans="1:15">
      <c r="A238" s="60"/>
      <c r="B238" s="60" t="s">
        <v>468</v>
      </c>
      <c r="C238" s="60" t="s">
        <v>469</v>
      </c>
      <c r="D238" s="60" t="s">
        <v>474</v>
      </c>
      <c r="E238" s="60" t="s">
        <v>332</v>
      </c>
      <c r="F238" s="60" t="s">
        <v>276</v>
      </c>
      <c r="G238" s="60" t="s">
        <v>333</v>
      </c>
      <c r="H238" s="60" t="s">
        <v>277</v>
      </c>
      <c r="I238" s="60" t="b">
        <v>0</v>
      </c>
      <c r="J238" s="60">
        <v>29</v>
      </c>
      <c r="K238" s="60">
        <v>66.849999999999994</v>
      </c>
      <c r="L238" s="61">
        <v>10398800</v>
      </c>
      <c r="M238" s="61">
        <v>1.7688136933173701E+18</v>
      </c>
      <c r="N238" s="60" t="s">
        <v>476</v>
      </c>
      <c r="O238" s="60"/>
    </row>
    <row r="239" spans="1:15">
      <c r="A239" s="60"/>
      <c r="B239" s="60" t="s">
        <v>468</v>
      </c>
      <c r="C239" s="60" t="s">
        <v>469</v>
      </c>
      <c r="D239" s="60" t="s">
        <v>474</v>
      </c>
      <c r="E239" s="60" t="s">
        <v>332</v>
      </c>
      <c r="F239" s="60" t="s">
        <v>276</v>
      </c>
      <c r="G239" s="60" t="s">
        <v>333</v>
      </c>
      <c r="H239" s="60" t="s">
        <v>277</v>
      </c>
      <c r="I239" s="60" t="b">
        <v>0</v>
      </c>
      <c r="J239" s="60">
        <v>331</v>
      </c>
      <c r="K239" s="60">
        <v>66.84</v>
      </c>
      <c r="L239" s="61">
        <v>10398600</v>
      </c>
      <c r="M239" s="61">
        <v>1.7688136933173701E+18</v>
      </c>
      <c r="N239" s="60" t="s">
        <v>476</v>
      </c>
      <c r="O239" s="60"/>
    </row>
    <row r="240" spans="1:15">
      <c r="A240" s="60"/>
      <c r="B240" s="60" t="s">
        <v>431</v>
      </c>
      <c r="C240" s="60" t="s">
        <v>432</v>
      </c>
      <c r="D240" s="60" t="s">
        <v>474</v>
      </c>
      <c r="E240" s="60" t="s">
        <v>332</v>
      </c>
      <c r="F240" s="60" t="s">
        <v>276</v>
      </c>
      <c r="G240" s="60" t="s">
        <v>333</v>
      </c>
      <c r="H240" s="60" t="s">
        <v>326</v>
      </c>
      <c r="I240" s="60" t="b">
        <v>0</v>
      </c>
      <c r="J240" s="60">
        <v>19</v>
      </c>
      <c r="K240" s="60">
        <v>1130.3</v>
      </c>
      <c r="L240" s="61">
        <v>11141700</v>
      </c>
      <c r="M240" s="61">
        <v>1.7688142602535319E+18</v>
      </c>
      <c r="N240" s="60" t="s">
        <v>477</v>
      </c>
      <c r="O240" s="60"/>
    </row>
    <row r="241" spans="1:15">
      <c r="A241" s="60"/>
      <c r="B241" s="60" t="s">
        <v>417</v>
      </c>
      <c r="C241" s="60" t="s">
        <v>418</v>
      </c>
      <c r="D241" s="60" t="s">
        <v>478</v>
      </c>
      <c r="E241" s="60" t="s">
        <v>275</v>
      </c>
      <c r="F241" s="60" t="s">
        <v>276</v>
      </c>
      <c r="G241" s="60" t="s">
        <v>276</v>
      </c>
      <c r="H241" s="60" t="s">
        <v>326</v>
      </c>
      <c r="I241" s="60" t="b">
        <v>0</v>
      </c>
      <c r="J241" s="60">
        <v>920</v>
      </c>
      <c r="K241" s="60">
        <v>89.75</v>
      </c>
      <c r="L241" s="61">
        <v>206689184</v>
      </c>
      <c r="M241" s="61">
        <v>1100000059613610</v>
      </c>
      <c r="N241" s="60" t="s">
        <v>479</v>
      </c>
      <c r="O241" s="60"/>
    </row>
    <row r="242" spans="1:15">
      <c r="A242" s="60"/>
      <c r="B242" s="60" t="s">
        <v>420</v>
      </c>
      <c r="C242" s="60" t="s">
        <v>421</v>
      </c>
      <c r="D242" s="60" t="s">
        <v>478</v>
      </c>
      <c r="E242" s="60" t="s">
        <v>332</v>
      </c>
      <c r="F242" s="60" t="s">
        <v>276</v>
      </c>
      <c r="G242" s="60" t="s">
        <v>333</v>
      </c>
      <c r="H242" s="60" t="s">
        <v>326</v>
      </c>
      <c r="I242" s="60" t="b">
        <v>0</v>
      </c>
      <c r="J242" s="60">
        <v>51</v>
      </c>
      <c r="K242" s="60">
        <v>395.35</v>
      </c>
      <c r="L242" s="61">
        <v>8397700</v>
      </c>
      <c r="M242" s="61">
        <v>1.769493701763714E+18</v>
      </c>
      <c r="N242" s="60" t="s">
        <v>480</v>
      </c>
      <c r="O242" s="60"/>
    </row>
    <row r="243" spans="1:15">
      <c r="A243" s="60"/>
      <c r="B243" s="60" t="s">
        <v>420</v>
      </c>
      <c r="C243" s="60" t="s">
        <v>421</v>
      </c>
      <c r="D243" s="60" t="s">
        <v>478</v>
      </c>
      <c r="E243" s="60" t="s">
        <v>332</v>
      </c>
      <c r="F243" s="60" t="s">
        <v>276</v>
      </c>
      <c r="G243" s="60" t="s">
        <v>333</v>
      </c>
      <c r="H243" s="60" t="s">
        <v>326</v>
      </c>
      <c r="I243" s="60" t="b">
        <v>0</v>
      </c>
      <c r="J243" s="60">
        <v>53</v>
      </c>
      <c r="K243" s="60">
        <v>395.55</v>
      </c>
      <c r="L243" s="61">
        <v>8397200</v>
      </c>
      <c r="M243" s="61">
        <v>1.769493701763714E+18</v>
      </c>
      <c r="N243" s="60" t="s">
        <v>480</v>
      </c>
      <c r="O243" s="60"/>
    </row>
    <row r="244" spans="1:15">
      <c r="A244" s="60"/>
      <c r="B244" s="60" t="s">
        <v>420</v>
      </c>
      <c r="C244" s="60" t="s">
        <v>421</v>
      </c>
      <c r="D244" s="60" t="s">
        <v>478</v>
      </c>
      <c r="E244" s="60" t="s">
        <v>332</v>
      </c>
      <c r="F244" s="60" t="s">
        <v>276</v>
      </c>
      <c r="G244" s="60" t="s">
        <v>333</v>
      </c>
      <c r="H244" s="60" t="s">
        <v>326</v>
      </c>
      <c r="I244" s="60" t="b">
        <v>0</v>
      </c>
      <c r="J244" s="60">
        <v>56</v>
      </c>
      <c r="K244" s="60">
        <v>395.5</v>
      </c>
      <c r="L244" s="61">
        <v>8397400</v>
      </c>
      <c r="M244" s="61">
        <v>1.769493701763714E+18</v>
      </c>
      <c r="N244" s="60" t="s">
        <v>480</v>
      </c>
      <c r="O244" s="60"/>
    </row>
    <row r="245" spans="1:15">
      <c r="A245" s="60"/>
      <c r="B245" s="60" t="s">
        <v>420</v>
      </c>
      <c r="C245" s="60" t="s">
        <v>421</v>
      </c>
      <c r="D245" s="60" t="s">
        <v>478</v>
      </c>
      <c r="E245" s="60" t="s">
        <v>332</v>
      </c>
      <c r="F245" s="60" t="s">
        <v>276</v>
      </c>
      <c r="G245" s="60" t="s">
        <v>333</v>
      </c>
      <c r="H245" s="60" t="s">
        <v>326</v>
      </c>
      <c r="I245" s="60" t="b">
        <v>0</v>
      </c>
      <c r="J245" s="60">
        <v>68</v>
      </c>
      <c r="K245" s="60">
        <v>395.3</v>
      </c>
      <c r="L245" s="61">
        <v>8397900</v>
      </c>
      <c r="M245" s="61">
        <v>1.769493701763714E+18</v>
      </c>
      <c r="N245" s="60" t="s">
        <v>480</v>
      </c>
      <c r="O245" s="60"/>
    </row>
    <row r="246" spans="1:15">
      <c r="A246" s="60"/>
      <c r="B246" s="60" t="s">
        <v>187</v>
      </c>
      <c r="C246" s="60" t="s">
        <v>342</v>
      </c>
      <c r="D246" s="60" t="s">
        <v>481</v>
      </c>
      <c r="E246" s="60" t="s">
        <v>332</v>
      </c>
      <c r="F246" s="60" t="s">
        <v>276</v>
      </c>
      <c r="G246" s="60" t="s">
        <v>333</v>
      </c>
      <c r="H246" s="60" t="s">
        <v>326</v>
      </c>
      <c r="I246" s="60" t="b">
        <v>0</v>
      </c>
      <c r="J246" s="60">
        <v>102</v>
      </c>
      <c r="K246" s="60">
        <v>968.1</v>
      </c>
      <c r="L246" s="61">
        <v>10133500</v>
      </c>
      <c r="M246" s="61">
        <v>1.7697610541504599E+18</v>
      </c>
      <c r="N246" s="60" t="s">
        <v>482</v>
      </c>
      <c r="O246" s="60"/>
    </row>
    <row r="247" spans="1:15">
      <c r="A247" s="60"/>
      <c r="B247" s="60" t="s">
        <v>187</v>
      </c>
      <c r="C247" s="60" t="s">
        <v>342</v>
      </c>
      <c r="D247" s="60" t="s">
        <v>481</v>
      </c>
      <c r="E247" s="60" t="s">
        <v>332</v>
      </c>
      <c r="F247" s="60" t="s">
        <v>276</v>
      </c>
      <c r="G247" s="60" t="s">
        <v>333</v>
      </c>
      <c r="H247" s="60" t="s">
        <v>326</v>
      </c>
      <c r="I247" s="60" t="b">
        <v>0</v>
      </c>
      <c r="J247" s="60">
        <v>1</v>
      </c>
      <c r="K247" s="60">
        <v>968.15</v>
      </c>
      <c r="L247" s="61">
        <v>10132800</v>
      </c>
      <c r="M247" s="61">
        <v>1.7697610541504599E+18</v>
      </c>
      <c r="N247" s="60" t="s">
        <v>482</v>
      </c>
      <c r="O247" s="60"/>
    </row>
    <row r="248" spans="1:15">
      <c r="A248" s="60"/>
      <c r="B248" s="60" t="s">
        <v>388</v>
      </c>
      <c r="C248" s="60" t="s">
        <v>389</v>
      </c>
      <c r="D248" s="60" t="s">
        <v>481</v>
      </c>
      <c r="E248" s="60" t="s">
        <v>275</v>
      </c>
      <c r="F248" s="60" t="s">
        <v>276</v>
      </c>
      <c r="G248" s="60" t="s">
        <v>276</v>
      </c>
      <c r="H248" s="60" t="s">
        <v>277</v>
      </c>
      <c r="I248" s="60" t="b">
        <v>0</v>
      </c>
      <c r="J248" s="60">
        <v>1</v>
      </c>
      <c r="K248" s="60">
        <v>1078</v>
      </c>
      <c r="L248" s="61">
        <v>613155382</v>
      </c>
      <c r="M248" s="61">
        <v>1300000114057798</v>
      </c>
      <c r="N248" s="60" t="s">
        <v>483</v>
      </c>
      <c r="O248" s="60"/>
    </row>
    <row r="249" spans="1:15">
      <c r="A249" s="60"/>
      <c r="B249" s="60" t="s">
        <v>388</v>
      </c>
      <c r="C249" s="60" t="s">
        <v>389</v>
      </c>
      <c r="D249" s="60" t="s">
        <v>481</v>
      </c>
      <c r="E249" s="60" t="s">
        <v>275</v>
      </c>
      <c r="F249" s="60" t="s">
        <v>276</v>
      </c>
      <c r="G249" s="60" t="s">
        <v>276</v>
      </c>
      <c r="H249" s="60" t="s">
        <v>277</v>
      </c>
      <c r="I249" s="60" t="b">
        <v>0</v>
      </c>
      <c r="J249" s="60">
        <v>18</v>
      </c>
      <c r="K249" s="60">
        <v>1078</v>
      </c>
      <c r="L249" s="61">
        <v>613155383</v>
      </c>
      <c r="M249" s="61">
        <v>1300000114057798</v>
      </c>
      <c r="N249" s="60" t="s">
        <v>483</v>
      </c>
      <c r="O249" s="60"/>
    </row>
    <row r="250" spans="1:15">
      <c r="A250" s="60"/>
      <c r="B250" s="60" t="s">
        <v>388</v>
      </c>
      <c r="C250" s="60" t="s">
        <v>389</v>
      </c>
      <c r="D250" s="60" t="s">
        <v>481</v>
      </c>
      <c r="E250" s="60" t="s">
        <v>275</v>
      </c>
      <c r="F250" s="60" t="s">
        <v>276</v>
      </c>
      <c r="G250" s="60" t="s">
        <v>276</v>
      </c>
      <c r="H250" s="60" t="s">
        <v>277</v>
      </c>
      <c r="I250" s="60" t="b">
        <v>0</v>
      </c>
      <c r="J250" s="60">
        <v>74</v>
      </c>
      <c r="K250" s="60">
        <v>1078</v>
      </c>
      <c r="L250" s="61">
        <v>613155384</v>
      </c>
      <c r="M250" s="61">
        <v>1300000114057798</v>
      </c>
      <c r="N250" s="60" t="s">
        <v>483</v>
      </c>
      <c r="O250" s="60"/>
    </row>
    <row r="251" spans="1:15">
      <c r="A251" s="60"/>
      <c r="B251" s="60" t="s">
        <v>484</v>
      </c>
      <c r="C251" s="60" t="s">
        <v>485</v>
      </c>
      <c r="D251" s="60" t="s">
        <v>481</v>
      </c>
      <c r="E251" s="60" t="s">
        <v>275</v>
      </c>
      <c r="F251" s="60" t="s">
        <v>276</v>
      </c>
      <c r="G251" s="60" t="s">
        <v>276</v>
      </c>
      <c r="H251" s="60" t="s">
        <v>277</v>
      </c>
      <c r="I251" s="60" t="b">
        <v>0</v>
      </c>
      <c r="J251" s="60">
        <v>41</v>
      </c>
      <c r="K251" s="60">
        <v>449.45</v>
      </c>
      <c r="L251" s="61">
        <v>7205709</v>
      </c>
      <c r="M251" s="61">
        <v>1000000070570871</v>
      </c>
      <c r="N251" s="60" t="s">
        <v>486</v>
      </c>
      <c r="O251" s="60"/>
    </row>
    <row r="252" spans="1:15">
      <c r="A252" s="60"/>
      <c r="B252" s="60" t="s">
        <v>484</v>
      </c>
      <c r="C252" s="60" t="s">
        <v>485</v>
      </c>
      <c r="D252" s="60" t="s">
        <v>481</v>
      </c>
      <c r="E252" s="60" t="s">
        <v>275</v>
      </c>
      <c r="F252" s="60" t="s">
        <v>276</v>
      </c>
      <c r="G252" s="60" t="s">
        <v>276</v>
      </c>
      <c r="H252" s="60" t="s">
        <v>277</v>
      </c>
      <c r="I252" s="60" t="b">
        <v>0</v>
      </c>
      <c r="J252" s="60">
        <v>71</v>
      </c>
      <c r="K252" s="60">
        <v>449.4</v>
      </c>
      <c r="L252" s="61">
        <v>7205708</v>
      </c>
      <c r="M252" s="61">
        <v>1000000070570871</v>
      </c>
      <c r="N252" s="60" t="s">
        <v>486</v>
      </c>
      <c r="O252" s="60"/>
    </row>
    <row r="253" spans="1:15">
      <c r="A253" s="60"/>
      <c r="B253" s="60" t="s">
        <v>119</v>
      </c>
      <c r="C253" s="60" t="s">
        <v>487</v>
      </c>
      <c r="D253" s="60" t="s">
        <v>481</v>
      </c>
      <c r="E253" s="60" t="s">
        <v>275</v>
      </c>
      <c r="F253" s="60" t="s">
        <v>276</v>
      </c>
      <c r="G253" s="60" t="s">
        <v>276</v>
      </c>
      <c r="H253" s="60" t="s">
        <v>277</v>
      </c>
      <c r="I253" s="60" t="b">
        <v>0</v>
      </c>
      <c r="J253" s="60">
        <v>4</v>
      </c>
      <c r="K253" s="60">
        <v>1282.3</v>
      </c>
      <c r="L253" s="61">
        <v>613660967</v>
      </c>
      <c r="M253" s="61">
        <v>1300000116901518</v>
      </c>
      <c r="N253" s="60" t="s">
        <v>488</v>
      </c>
      <c r="O253" s="60"/>
    </row>
    <row r="254" spans="1:15">
      <c r="A254" s="60"/>
      <c r="B254" s="60" t="s">
        <v>119</v>
      </c>
      <c r="C254" s="60" t="s">
        <v>487</v>
      </c>
      <c r="D254" s="60" t="s">
        <v>481</v>
      </c>
      <c r="E254" s="60" t="s">
        <v>275</v>
      </c>
      <c r="F254" s="60" t="s">
        <v>276</v>
      </c>
      <c r="G254" s="60" t="s">
        <v>276</v>
      </c>
      <c r="H254" s="60" t="s">
        <v>277</v>
      </c>
      <c r="I254" s="60" t="b">
        <v>0</v>
      </c>
      <c r="J254" s="60">
        <v>6</v>
      </c>
      <c r="K254" s="60">
        <v>1282.4000000000001</v>
      </c>
      <c r="L254" s="61">
        <v>613660968</v>
      </c>
      <c r="M254" s="61">
        <v>1300000116901518</v>
      </c>
      <c r="N254" s="60" t="s">
        <v>488</v>
      </c>
      <c r="O254" s="60"/>
    </row>
    <row r="255" spans="1:15">
      <c r="A255" s="60"/>
      <c r="B255" s="60" t="s">
        <v>459</v>
      </c>
      <c r="C255" s="60" t="s">
        <v>460</v>
      </c>
      <c r="D255" s="60" t="s">
        <v>481</v>
      </c>
      <c r="E255" s="60" t="s">
        <v>332</v>
      </c>
      <c r="F255" s="60" t="s">
        <v>276</v>
      </c>
      <c r="G255" s="60" t="s">
        <v>333</v>
      </c>
      <c r="H255" s="60" t="s">
        <v>326</v>
      </c>
      <c r="I255" s="60" t="b">
        <v>0</v>
      </c>
      <c r="J255" s="60">
        <v>201</v>
      </c>
      <c r="K255" s="60">
        <v>37.56</v>
      </c>
      <c r="L255" s="61">
        <v>15336500</v>
      </c>
      <c r="M255" s="61">
        <v>1.7697643044148229E+18</v>
      </c>
      <c r="N255" s="60" t="s">
        <v>489</v>
      </c>
      <c r="O255" s="60"/>
    </row>
    <row r="256" spans="1:15">
      <c r="A256" s="60"/>
      <c r="B256" s="60" t="s">
        <v>459</v>
      </c>
      <c r="C256" s="60" t="s">
        <v>460</v>
      </c>
      <c r="D256" s="60" t="s">
        <v>481</v>
      </c>
      <c r="E256" s="60" t="s">
        <v>332</v>
      </c>
      <c r="F256" s="60" t="s">
        <v>276</v>
      </c>
      <c r="G256" s="60" t="s">
        <v>333</v>
      </c>
      <c r="H256" s="60" t="s">
        <v>326</v>
      </c>
      <c r="I256" s="60" t="b">
        <v>0</v>
      </c>
      <c r="J256" s="60">
        <v>399</v>
      </c>
      <c r="K256" s="60">
        <v>37.549999999999997</v>
      </c>
      <c r="L256" s="61">
        <v>15336900</v>
      </c>
      <c r="M256" s="61">
        <v>1.7697643044148229E+18</v>
      </c>
      <c r="N256" s="60" t="s">
        <v>489</v>
      </c>
      <c r="O256" s="60"/>
    </row>
    <row r="257" spans="1:15">
      <c r="A257" s="60"/>
      <c r="B257" s="60" t="s">
        <v>484</v>
      </c>
      <c r="C257" s="60" t="s">
        <v>485</v>
      </c>
      <c r="D257" s="60" t="s">
        <v>481</v>
      </c>
      <c r="E257" s="60" t="s">
        <v>275</v>
      </c>
      <c r="F257" s="60" t="s">
        <v>276</v>
      </c>
      <c r="G257" s="60" t="s">
        <v>276</v>
      </c>
      <c r="H257" s="60" t="s">
        <v>277</v>
      </c>
      <c r="I257" s="60" t="b">
        <v>0</v>
      </c>
      <c r="J257" s="60">
        <v>56</v>
      </c>
      <c r="K257" s="60">
        <v>449.2</v>
      </c>
      <c r="L257" s="61">
        <v>7774549</v>
      </c>
      <c r="M257" s="61">
        <v>1000000073240827</v>
      </c>
      <c r="N257" s="60" t="s">
        <v>490</v>
      </c>
      <c r="O257" s="60"/>
    </row>
    <row r="258" spans="1:15">
      <c r="A258" s="60"/>
      <c r="B258" s="60" t="s">
        <v>315</v>
      </c>
      <c r="C258" s="60" t="s">
        <v>316</v>
      </c>
      <c r="D258" s="60" t="s">
        <v>491</v>
      </c>
      <c r="E258" s="60" t="s">
        <v>275</v>
      </c>
      <c r="F258" s="60" t="s">
        <v>276</v>
      </c>
      <c r="G258" s="60" t="s">
        <v>276</v>
      </c>
      <c r="H258" s="60" t="s">
        <v>326</v>
      </c>
      <c r="I258" s="60" t="b">
        <v>0</v>
      </c>
      <c r="J258" s="60">
        <v>216</v>
      </c>
      <c r="K258" s="60">
        <v>140.33000000000001</v>
      </c>
      <c r="L258" s="61">
        <v>138516</v>
      </c>
      <c r="M258" s="61">
        <v>1000000000842622</v>
      </c>
      <c r="N258" s="60" t="s">
        <v>492</v>
      </c>
      <c r="O258" s="60"/>
    </row>
    <row r="259" spans="1:15">
      <c r="A259" s="60"/>
      <c r="B259" s="60" t="s">
        <v>315</v>
      </c>
      <c r="C259" s="60" t="s">
        <v>316</v>
      </c>
      <c r="D259" s="60" t="s">
        <v>491</v>
      </c>
      <c r="E259" s="60" t="s">
        <v>275</v>
      </c>
      <c r="F259" s="60" t="s">
        <v>276</v>
      </c>
      <c r="G259" s="60" t="s">
        <v>276</v>
      </c>
      <c r="H259" s="60" t="s">
        <v>326</v>
      </c>
      <c r="I259" s="60" t="b">
        <v>0</v>
      </c>
      <c r="J259" s="60">
        <v>25</v>
      </c>
      <c r="K259" s="60">
        <v>140.34</v>
      </c>
      <c r="L259" s="61">
        <v>138514</v>
      </c>
      <c r="M259" s="61">
        <v>1000000000842622</v>
      </c>
      <c r="N259" s="60" t="s">
        <v>492</v>
      </c>
      <c r="O259" s="60"/>
    </row>
    <row r="260" spans="1:15">
      <c r="A260" s="60"/>
      <c r="B260" s="60" t="s">
        <v>315</v>
      </c>
      <c r="C260" s="60" t="s">
        <v>316</v>
      </c>
      <c r="D260" s="60" t="s">
        <v>491</v>
      </c>
      <c r="E260" s="60" t="s">
        <v>275</v>
      </c>
      <c r="F260" s="60" t="s">
        <v>276</v>
      </c>
      <c r="G260" s="60" t="s">
        <v>276</v>
      </c>
      <c r="H260" s="60" t="s">
        <v>326</v>
      </c>
      <c r="I260" s="60" t="b">
        <v>0</v>
      </c>
      <c r="J260" s="60">
        <v>83</v>
      </c>
      <c r="K260" s="60">
        <v>140.34</v>
      </c>
      <c r="L260" s="61">
        <v>138515</v>
      </c>
      <c r="M260" s="61">
        <v>1000000000842622</v>
      </c>
      <c r="N260" s="60" t="s">
        <v>492</v>
      </c>
      <c r="O260" s="60"/>
    </row>
    <row r="261" spans="1:15">
      <c r="A261" s="60"/>
      <c r="B261" s="60" t="s">
        <v>351</v>
      </c>
      <c r="C261" s="60" t="s">
        <v>352</v>
      </c>
      <c r="D261" s="60" t="s">
        <v>491</v>
      </c>
      <c r="E261" s="60" t="s">
        <v>332</v>
      </c>
      <c r="F261" s="60" t="s">
        <v>276</v>
      </c>
      <c r="G261" s="60" t="s">
        <v>333</v>
      </c>
      <c r="H261" s="60" t="s">
        <v>326</v>
      </c>
      <c r="I261" s="60" t="b">
        <v>0</v>
      </c>
      <c r="J261" s="60">
        <v>94</v>
      </c>
      <c r="K261" s="60">
        <v>898.15</v>
      </c>
      <c r="L261" s="61">
        <v>792900</v>
      </c>
      <c r="M261" s="61">
        <v>1.7700030001372119E+18</v>
      </c>
      <c r="N261" s="60" t="s">
        <v>493</v>
      </c>
      <c r="O261" s="60"/>
    </row>
    <row r="262" spans="1:15">
      <c r="A262" s="60"/>
      <c r="B262" s="60" t="s">
        <v>391</v>
      </c>
      <c r="C262" s="60" t="s">
        <v>392</v>
      </c>
      <c r="D262" s="60" t="s">
        <v>491</v>
      </c>
      <c r="E262" s="60" t="s">
        <v>275</v>
      </c>
      <c r="F262" s="60" t="s">
        <v>276</v>
      </c>
      <c r="G262" s="60" t="s">
        <v>276</v>
      </c>
      <c r="H262" s="60" t="s">
        <v>326</v>
      </c>
      <c r="I262" s="60" t="b">
        <v>0</v>
      </c>
      <c r="J262" s="60">
        <v>10</v>
      </c>
      <c r="K262" s="60">
        <v>271.55</v>
      </c>
      <c r="L262" s="61">
        <v>3556964</v>
      </c>
      <c r="M262" s="61">
        <v>1000000039324729</v>
      </c>
      <c r="N262" s="60" t="s">
        <v>494</v>
      </c>
      <c r="O262" s="60"/>
    </row>
    <row r="263" spans="1:15">
      <c r="A263" s="60"/>
      <c r="B263" s="60" t="s">
        <v>391</v>
      </c>
      <c r="C263" s="60" t="s">
        <v>392</v>
      </c>
      <c r="D263" s="60" t="s">
        <v>491</v>
      </c>
      <c r="E263" s="60" t="s">
        <v>275</v>
      </c>
      <c r="F263" s="60" t="s">
        <v>276</v>
      </c>
      <c r="G263" s="60" t="s">
        <v>276</v>
      </c>
      <c r="H263" s="60" t="s">
        <v>326</v>
      </c>
      <c r="I263" s="60" t="b">
        <v>0</v>
      </c>
      <c r="J263" s="60">
        <v>31</v>
      </c>
      <c r="K263" s="60">
        <v>271.60000000000002</v>
      </c>
      <c r="L263" s="61">
        <v>3556962</v>
      </c>
      <c r="M263" s="61">
        <v>1000000039324729</v>
      </c>
      <c r="N263" s="60" t="s">
        <v>494</v>
      </c>
      <c r="O263" s="60"/>
    </row>
    <row r="264" spans="1:15">
      <c r="A264" s="60"/>
      <c r="B264" s="60" t="s">
        <v>391</v>
      </c>
      <c r="C264" s="60" t="s">
        <v>392</v>
      </c>
      <c r="D264" s="60" t="s">
        <v>491</v>
      </c>
      <c r="E264" s="60" t="s">
        <v>275</v>
      </c>
      <c r="F264" s="60" t="s">
        <v>276</v>
      </c>
      <c r="G264" s="60" t="s">
        <v>276</v>
      </c>
      <c r="H264" s="60" t="s">
        <v>326</v>
      </c>
      <c r="I264" s="60" t="b">
        <v>0</v>
      </c>
      <c r="J264" s="60">
        <v>59</v>
      </c>
      <c r="K264" s="60">
        <v>271.55</v>
      </c>
      <c r="L264" s="61">
        <v>3556968</v>
      </c>
      <c r="M264" s="61">
        <v>1000000039324729</v>
      </c>
      <c r="N264" s="60" t="s">
        <v>494</v>
      </c>
      <c r="O264" s="60"/>
    </row>
    <row r="265" spans="1:15">
      <c r="A265" s="60"/>
      <c r="B265" s="60" t="s">
        <v>391</v>
      </c>
      <c r="C265" s="60" t="s">
        <v>392</v>
      </c>
      <c r="D265" s="60" t="s">
        <v>491</v>
      </c>
      <c r="E265" s="60" t="s">
        <v>275</v>
      </c>
      <c r="F265" s="60" t="s">
        <v>276</v>
      </c>
      <c r="G265" s="60" t="s">
        <v>276</v>
      </c>
      <c r="H265" s="60" t="s">
        <v>326</v>
      </c>
      <c r="I265" s="60" t="b">
        <v>0</v>
      </c>
      <c r="J265" s="60">
        <v>70</v>
      </c>
      <c r="K265" s="60">
        <v>271.55</v>
      </c>
      <c r="L265" s="61">
        <v>3556963</v>
      </c>
      <c r="M265" s="61">
        <v>1000000039324729</v>
      </c>
      <c r="N265" s="60" t="s">
        <v>494</v>
      </c>
      <c r="O265" s="60"/>
    </row>
    <row r="266" spans="1:15">
      <c r="A266" s="60"/>
      <c r="B266" s="60" t="s">
        <v>462</v>
      </c>
      <c r="C266" s="60" t="s">
        <v>463</v>
      </c>
      <c r="D266" s="60" t="s">
        <v>491</v>
      </c>
      <c r="E266" s="60" t="s">
        <v>275</v>
      </c>
      <c r="F266" s="60" t="s">
        <v>276</v>
      </c>
      <c r="G266" s="60" t="s">
        <v>276</v>
      </c>
      <c r="H266" s="60" t="s">
        <v>326</v>
      </c>
      <c r="I266" s="60" t="b">
        <v>0</v>
      </c>
      <c r="J266" s="60">
        <v>200</v>
      </c>
      <c r="K266" s="60">
        <v>119.56</v>
      </c>
      <c r="L266" s="61">
        <v>404684795</v>
      </c>
      <c r="M266" s="61">
        <v>1200000051538381</v>
      </c>
      <c r="N266" s="60" t="s">
        <v>495</v>
      </c>
      <c r="O266" s="60"/>
    </row>
    <row r="267" spans="1:15">
      <c r="A267" s="60"/>
      <c r="B267" s="60" t="s">
        <v>279</v>
      </c>
      <c r="C267" s="60" t="s">
        <v>280</v>
      </c>
      <c r="D267" s="60" t="s">
        <v>491</v>
      </c>
      <c r="E267" s="60" t="s">
        <v>275</v>
      </c>
      <c r="F267" s="60" t="s">
        <v>276</v>
      </c>
      <c r="G267" s="60" t="s">
        <v>276</v>
      </c>
      <c r="H267" s="60" t="s">
        <v>326</v>
      </c>
      <c r="I267" s="60" t="b">
        <v>0</v>
      </c>
      <c r="J267" s="60">
        <v>1</v>
      </c>
      <c r="K267" s="60">
        <v>1299.4000000000001</v>
      </c>
      <c r="L267" s="61">
        <v>4407181</v>
      </c>
      <c r="M267" s="61">
        <v>1000000050030745</v>
      </c>
      <c r="N267" s="60" t="s">
        <v>496</v>
      </c>
      <c r="O267" s="60"/>
    </row>
    <row r="268" spans="1:15">
      <c r="A268" s="60"/>
      <c r="B268" s="60" t="s">
        <v>279</v>
      </c>
      <c r="C268" s="60" t="s">
        <v>280</v>
      </c>
      <c r="D268" s="60" t="s">
        <v>491</v>
      </c>
      <c r="E268" s="60" t="s">
        <v>275</v>
      </c>
      <c r="F268" s="60" t="s">
        <v>276</v>
      </c>
      <c r="G268" s="60" t="s">
        <v>276</v>
      </c>
      <c r="H268" s="60" t="s">
        <v>326</v>
      </c>
      <c r="I268" s="60" t="b">
        <v>0</v>
      </c>
      <c r="J268" s="60">
        <v>12</v>
      </c>
      <c r="K268" s="60">
        <v>1299.4000000000001</v>
      </c>
      <c r="L268" s="61">
        <v>4407183</v>
      </c>
      <c r="M268" s="61">
        <v>1000000050030745</v>
      </c>
      <c r="N268" s="60" t="s">
        <v>496</v>
      </c>
      <c r="O268" s="60"/>
    </row>
    <row r="269" spans="1:15">
      <c r="A269" s="60"/>
      <c r="B269" s="60" t="s">
        <v>279</v>
      </c>
      <c r="C269" s="60" t="s">
        <v>280</v>
      </c>
      <c r="D269" s="60" t="s">
        <v>491</v>
      </c>
      <c r="E269" s="60" t="s">
        <v>275</v>
      </c>
      <c r="F269" s="60" t="s">
        <v>276</v>
      </c>
      <c r="G269" s="60" t="s">
        <v>276</v>
      </c>
      <c r="H269" s="60" t="s">
        <v>326</v>
      </c>
      <c r="I269" s="60" t="b">
        <v>0</v>
      </c>
      <c r="J269" s="60">
        <v>15</v>
      </c>
      <c r="K269" s="60">
        <v>1299.4000000000001</v>
      </c>
      <c r="L269" s="61">
        <v>4407180</v>
      </c>
      <c r="M269" s="61">
        <v>1000000050030745</v>
      </c>
      <c r="N269" s="60" t="s">
        <v>496</v>
      </c>
      <c r="O269" s="60"/>
    </row>
    <row r="270" spans="1:15">
      <c r="A270" s="60"/>
      <c r="B270" s="60" t="s">
        <v>279</v>
      </c>
      <c r="C270" s="60" t="s">
        <v>280</v>
      </c>
      <c r="D270" s="60" t="s">
        <v>491</v>
      </c>
      <c r="E270" s="60" t="s">
        <v>275</v>
      </c>
      <c r="F270" s="60" t="s">
        <v>276</v>
      </c>
      <c r="G270" s="60" t="s">
        <v>276</v>
      </c>
      <c r="H270" s="60" t="s">
        <v>326</v>
      </c>
      <c r="I270" s="60" t="b">
        <v>0</v>
      </c>
      <c r="J270" s="60">
        <v>2</v>
      </c>
      <c r="K270" s="60">
        <v>1299.4000000000001</v>
      </c>
      <c r="L270" s="61">
        <v>4407179</v>
      </c>
      <c r="M270" s="61">
        <v>1000000050030745</v>
      </c>
      <c r="N270" s="60" t="s">
        <v>496</v>
      </c>
      <c r="O270" s="60"/>
    </row>
    <row r="271" spans="1:15">
      <c r="A271" s="60"/>
      <c r="B271" s="60" t="s">
        <v>279</v>
      </c>
      <c r="C271" s="60" t="s">
        <v>280</v>
      </c>
      <c r="D271" s="60" t="s">
        <v>491</v>
      </c>
      <c r="E271" s="60" t="s">
        <v>275</v>
      </c>
      <c r="F271" s="60" t="s">
        <v>276</v>
      </c>
      <c r="G271" s="60" t="s">
        <v>276</v>
      </c>
      <c r="H271" s="60" t="s">
        <v>326</v>
      </c>
      <c r="I271" s="60" t="b">
        <v>0</v>
      </c>
      <c r="J271" s="60">
        <v>28</v>
      </c>
      <c r="K271" s="60">
        <v>1299.4000000000001</v>
      </c>
      <c r="L271" s="61">
        <v>4407182</v>
      </c>
      <c r="M271" s="61">
        <v>1000000050030745</v>
      </c>
      <c r="N271" s="60" t="s">
        <v>496</v>
      </c>
      <c r="O271" s="60"/>
    </row>
    <row r="272" spans="1:15">
      <c r="A272" s="60"/>
      <c r="B272" s="60" t="s">
        <v>279</v>
      </c>
      <c r="C272" s="60" t="s">
        <v>280</v>
      </c>
      <c r="D272" s="60" t="s">
        <v>491</v>
      </c>
      <c r="E272" s="60" t="s">
        <v>275</v>
      </c>
      <c r="F272" s="60" t="s">
        <v>276</v>
      </c>
      <c r="G272" s="60" t="s">
        <v>276</v>
      </c>
      <c r="H272" s="60" t="s">
        <v>326</v>
      </c>
      <c r="I272" s="60" t="b">
        <v>0</v>
      </c>
      <c r="J272" s="60">
        <v>5</v>
      </c>
      <c r="K272" s="60">
        <v>1299.4000000000001</v>
      </c>
      <c r="L272" s="61">
        <v>4407185</v>
      </c>
      <c r="M272" s="61">
        <v>1000000050030745</v>
      </c>
      <c r="N272" s="60" t="s">
        <v>496</v>
      </c>
      <c r="O272" s="60"/>
    </row>
    <row r="273" spans="1:15">
      <c r="A273" s="60"/>
      <c r="B273" s="60" t="s">
        <v>406</v>
      </c>
      <c r="C273" s="60" t="s">
        <v>497</v>
      </c>
      <c r="D273" s="60" t="s">
        <v>491</v>
      </c>
      <c r="E273" s="60" t="s">
        <v>275</v>
      </c>
      <c r="F273" s="60" t="s">
        <v>276</v>
      </c>
      <c r="G273" s="60" t="s">
        <v>276</v>
      </c>
      <c r="H273" s="60" t="s">
        <v>326</v>
      </c>
      <c r="I273" s="60" t="b">
        <v>0</v>
      </c>
      <c r="J273" s="60">
        <v>32</v>
      </c>
      <c r="K273" s="60">
        <v>1416.6</v>
      </c>
      <c r="L273" s="61">
        <v>5956220</v>
      </c>
      <c r="M273" s="61">
        <v>1000000069738672</v>
      </c>
      <c r="N273" s="60" t="s">
        <v>498</v>
      </c>
      <c r="O273" s="60"/>
    </row>
    <row r="274" spans="1:15">
      <c r="A274" s="60"/>
      <c r="B274" s="60" t="s">
        <v>406</v>
      </c>
      <c r="C274" s="60" t="s">
        <v>497</v>
      </c>
      <c r="D274" s="60" t="s">
        <v>491</v>
      </c>
      <c r="E274" s="60" t="s">
        <v>275</v>
      </c>
      <c r="F274" s="60" t="s">
        <v>276</v>
      </c>
      <c r="G274" s="60" t="s">
        <v>276</v>
      </c>
      <c r="H274" s="60" t="s">
        <v>326</v>
      </c>
      <c r="I274" s="60" t="b">
        <v>0</v>
      </c>
      <c r="J274" s="60">
        <v>4</v>
      </c>
      <c r="K274" s="60">
        <v>1416.6</v>
      </c>
      <c r="L274" s="61">
        <v>5956219</v>
      </c>
      <c r="M274" s="61">
        <v>1000000069738672</v>
      </c>
      <c r="N274" s="60" t="s">
        <v>498</v>
      </c>
      <c r="O274" s="60"/>
    </row>
    <row r="275" spans="1:15">
      <c r="A275" s="60"/>
      <c r="B275" s="60" t="s">
        <v>465</v>
      </c>
      <c r="C275" s="60" t="s">
        <v>466</v>
      </c>
      <c r="D275" s="60" t="s">
        <v>499</v>
      </c>
      <c r="E275" s="60" t="s">
        <v>275</v>
      </c>
      <c r="F275" s="60" t="s">
        <v>276</v>
      </c>
      <c r="G275" s="60" t="s">
        <v>276</v>
      </c>
      <c r="H275" s="60" t="s">
        <v>277</v>
      </c>
      <c r="I275" s="60" t="b">
        <v>0</v>
      </c>
      <c r="J275" s="60">
        <v>305</v>
      </c>
      <c r="K275" s="60">
        <v>163.99</v>
      </c>
      <c r="L275" s="61">
        <v>5395551</v>
      </c>
      <c r="M275" s="61">
        <v>1000000062502140</v>
      </c>
      <c r="N275" s="60" t="s">
        <v>500</v>
      </c>
      <c r="O275" s="60"/>
    </row>
    <row r="276" spans="1:15">
      <c r="A276" s="60"/>
      <c r="B276" s="60" t="s">
        <v>501</v>
      </c>
      <c r="C276" s="60" t="s">
        <v>502</v>
      </c>
      <c r="D276" s="60" t="s">
        <v>503</v>
      </c>
      <c r="E276" s="60" t="s">
        <v>275</v>
      </c>
      <c r="F276" s="60" t="s">
        <v>276</v>
      </c>
      <c r="G276" s="60" t="s">
        <v>276</v>
      </c>
      <c r="H276" s="60" t="s">
        <v>277</v>
      </c>
      <c r="I276" s="60" t="b">
        <v>0</v>
      </c>
      <c r="J276" s="60">
        <v>45</v>
      </c>
      <c r="K276" s="60">
        <v>2237.6001000000001</v>
      </c>
      <c r="L276" s="61">
        <v>5804977</v>
      </c>
      <c r="M276" s="61">
        <v>1000000059786587</v>
      </c>
      <c r="N276" s="60" t="s">
        <v>504</v>
      </c>
      <c r="O276" s="60"/>
    </row>
    <row r="277" spans="1:15">
      <c r="A277" s="60"/>
      <c r="B277" s="60" t="s">
        <v>505</v>
      </c>
      <c r="C277" s="60" t="s">
        <v>506</v>
      </c>
      <c r="D277" s="60" t="s">
        <v>507</v>
      </c>
      <c r="E277" s="60" t="s">
        <v>275</v>
      </c>
      <c r="F277" s="60" t="s">
        <v>276</v>
      </c>
      <c r="G277" s="60" t="s">
        <v>276</v>
      </c>
      <c r="H277" s="60" t="s">
        <v>277</v>
      </c>
      <c r="I277" s="60" t="b">
        <v>0</v>
      </c>
      <c r="J277" s="60">
        <v>10</v>
      </c>
      <c r="K277" s="60">
        <v>853.85</v>
      </c>
      <c r="L277" s="61">
        <v>606300119</v>
      </c>
      <c r="M277" s="61">
        <v>1300000062934832</v>
      </c>
      <c r="N277" s="60" t="s">
        <v>508</v>
      </c>
      <c r="O277" s="60"/>
    </row>
    <row r="278" spans="1:15">
      <c r="A278" s="60"/>
      <c r="B278" s="60" t="s">
        <v>169</v>
      </c>
      <c r="C278" s="60" t="s">
        <v>308</v>
      </c>
      <c r="D278" s="60" t="s">
        <v>507</v>
      </c>
      <c r="E278" s="60" t="s">
        <v>275</v>
      </c>
      <c r="F278" s="60" t="s">
        <v>276</v>
      </c>
      <c r="G278" s="60" t="s">
        <v>276</v>
      </c>
      <c r="H278" s="60" t="s">
        <v>277</v>
      </c>
      <c r="I278" s="60" t="b">
        <v>0</v>
      </c>
      <c r="J278" s="60">
        <v>10</v>
      </c>
      <c r="K278" s="60">
        <v>684</v>
      </c>
      <c r="L278" s="61">
        <v>4236742</v>
      </c>
      <c r="M278" s="61">
        <v>1000000047242522</v>
      </c>
      <c r="N278" s="60" t="s">
        <v>509</v>
      </c>
      <c r="O278" s="60"/>
    </row>
    <row r="279" spans="1:15">
      <c r="A279" s="60"/>
      <c r="B279" s="60" t="s">
        <v>510</v>
      </c>
      <c r="C279" s="60" t="s">
        <v>511</v>
      </c>
      <c r="D279" s="60" t="s">
        <v>507</v>
      </c>
      <c r="E279" s="60" t="s">
        <v>275</v>
      </c>
      <c r="F279" s="60" t="s">
        <v>276</v>
      </c>
      <c r="G279" s="60" t="s">
        <v>276</v>
      </c>
      <c r="H279" s="60" t="s">
        <v>277</v>
      </c>
      <c r="I279" s="60" t="b">
        <v>0</v>
      </c>
      <c r="J279" s="60">
        <v>10</v>
      </c>
      <c r="K279" s="60">
        <v>483.55</v>
      </c>
      <c r="L279" s="61">
        <v>606313822</v>
      </c>
      <c r="M279" s="61">
        <v>1300000063069924</v>
      </c>
      <c r="N279" s="60" t="s">
        <v>512</v>
      </c>
      <c r="O279" s="60"/>
    </row>
    <row r="280" spans="1:15">
      <c r="A280" s="60"/>
      <c r="B280" s="60" t="s">
        <v>119</v>
      </c>
      <c r="C280" s="60" t="s">
        <v>487</v>
      </c>
      <c r="D280" s="60" t="s">
        <v>507</v>
      </c>
      <c r="E280" s="60" t="s">
        <v>275</v>
      </c>
      <c r="F280" s="60" t="s">
        <v>276</v>
      </c>
      <c r="G280" s="60" t="s">
        <v>276</v>
      </c>
      <c r="H280" s="60" t="s">
        <v>277</v>
      </c>
      <c r="I280" s="60" t="b">
        <v>0</v>
      </c>
      <c r="J280" s="60">
        <v>10</v>
      </c>
      <c r="K280" s="60">
        <v>1368</v>
      </c>
      <c r="L280" s="61">
        <v>608157505</v>
      </c>
      <c r="M280" s="61">
        <v>1300000081645901</v>
      </c>
      <c r="N280" s="60" t="s">
        <v>513</v>
      </c>
      <c r="O280" s="60"/>
    </row>
    <row r="281" spans="1:15">
      <c r="A281" s="60"/>
      <c r="B281" s="60" t="s">
        <v>119</v>
      </c>
      <c r="C281" s="60" t="s">
        <v>487</v>
      </c>
      <c r="D281" s="60" t="s">
        <v>514</v>
      </c>
      <c r="E281" s="60" t="s">
        <v>275</v>
      </c>
      <c r="F281" s="60" t="s">
        <v>276</v>
      </c>
      <c r="G281" s="60" t="s">
        <v>276</v>
      </c>
      <c r="H281" s="60" t="s">
        <v>277</v>
      </c>
      <c r="I281" s="60" t="b">
        <v>0</v>
      </c>
      <c r="J281" s="60">
        <v>2</v>
      </c>
      <c r="K281" s="60">
        <v>1380.6</v>
      </c>
      <c r="L281" s="61">
        <v>608658740</v>
      </c>
      <c r="M281" s="61">
        <v>1300000087615108</v>
      </c>
      <c r="N281" s="60" t="s">
        <v>515</v>
      </c>
      <c r="O281" s="60"/>
    </row>
    <row r="282" spans="1:15">
      <c r="A282" s="60"/>
      <c r="B282" s="60" t="s">
        <v>119</v>
      </c>
      <c r="C282" s="60" t="s">
        <v>487</v>
      </c>
      <c r="D282" s="60" t="s">
        <v>514</v>
      </c>
      <c r="E282" s="60" t="s">
        <v>275</v>
      </c>
      <c r="F282" s="60" t="s">
        <v>276</v>
      </c>
      <c r="G282" s="60" t="s">
        <v>276</v>
      </c>
      <c r="H282" s="60" t="s">
        <v>277</v>
      </c>
      <c r="I282" s="60" t="b">
        <v>0</v>
      </c>
      <c r="J282" s="60">
        <v>3</v>
      </c>
      <c r="K282" s="60">
        <v>1380.6</v>
      </c>
      <c r="L282" s="61">
        <v>608658741</v>
      </c>
      <c r="M282" s="61">
        <v>1300000087615108</v>
      </c>
      <c r="N282" s="60" t="s">
        <v>515</v>
      </c>
      <c r="O282" s="60"/>
    </row>
    <row r="283" spans="1:15">
      <c r="A283" s="60"/>
      <c r="B283" s="60" t="s">
        <v>119</v>
      </c>
      <c r="C283" s="60" t="s">
        <v>487</v>
      </c>
      <c r="D283" s="60" t="s">
        <v>514</v>
      </c>
      <c r="E283" s="60" t="s">
        <v>275</v>
      </c>
      <c r="F283" s="60" t="s">
        <v>276</v>
      </c>
      <c r="G283" s="60" t="s">
        <v>276</v>
      </c>
      <c r="H283" s="60" t="s">
        <v>277</v>
      </c>
      <c r="I283" s="60" t="b">
        <v>0</v>
      </c>
      <c r="J283" s="60">
        <v>4</v>
      </c>
      <c r="K283" s="60">
        <v>1380.7</v>
      </c>
      <c r="L283" s="61">
        <v>608658742</v>
      </c>
      <c r="M283" s="61">
        <v>1300000087615108</v>
      </c>
      <c r="N283" s="60" t="s">
        <v>515</v>
      </c>
      <c r="O283" s="60"/>
    </row>
    <row r="284" spans="1:15">
      <c r="A284" s="60"/>
      <c r="B284" s="60" t="s">
        <v>119</v>
      </c>
      <c r="C284" s="60" t="s">
        <v>487</v>
      </c>
      <c r="D284" s="60" t="s">
        <v>514</v>
      </c>
      <c r="E284" s="60" t="s">
        <v>275</v>
      </c>
      <c r="F284" s="60" t="s">
        <v>276</v>
      </c>
      <c r="G284" s="60" t="s">
        <v>276</v>
      </c>
      <c r="H284" s="60" t="s">
        <v>277</v>
      </c>
      <c r="I284" s="60" t="b">
        <v>0</v>
      </c>
      <c r="J284" s="60">
        <v>5</v>
      </c>
      <c r="K284" s="60">
        <v>1380.7</v>
      </c>
      <c r="L284" s="61">
        <v>608658743</v>
      </c>
      <c r="M284" s="61">
        <v>1300000087615108</v>
      </c>
      <c r="N284" s="60" t="s">
        <v>515</v>
      </c>
      <c r="O284" s="60"/>
    </row>
    <row r="285" spans="1:15">
      <c r="A285" s="60"/>
      <c r="B285" s="60" t="s">
        <v>169</v>
      </c>
      <c r="C285" s="60" t="s">
        <v>308</v>
      </c>
      <c r="D285" s="60" t="s">
        <v>516</v>
      </c>
      <c r="E285" s="60" t="s">
        <v>275</v>
      </c>
      <c r="F285" s="60" t="s">
        <v>276</v>
      </c>
      <c r="G285" s="60" t="s">
        <v>276</v>
      </c>
      <c r="H285" s="60" t="s">
        <v>277</v>
      </c>
      <c r="I285" s="60" t="b">
        <v>0</v>
      </c>
      <c r="J285" s="60">
        <v>12</v>
      </c>
      <c r="K285" s="60">
        <v>714.9</v>
      </c>
      <c r="L285" s="61">
        <v>4580522</v>
      </c>
      <c r="M285" s="61">
        <v>1000000061460854</v>
      </c>
      <c r="N285" s="60" t="s">
        <v>517</v>
      </c>
      <c r="O285" s="60"/>
    </row>
    <row r="286" spans="1:15">
      <c r="A286" s="60"/>
      <c r="B286" s="60" t="s">
        <v>169</v>
      </c>
      <c r="C286" s="60" t="s">
        <v>308</v>
      </c>
      <c r="D286" s="60" t="s">
        <v>516</v>
      </c>
      <c r="E286" s="60" t="s">
        <v>275</v>
      </c>
      <c r="F286" s="60" t="s">
        <v>276</v>
      </c>
      <c r="G286" s="60" t="s">
        <v>276</v>
      </c>
      <c r="H286" s="60" t="s">
        <v>277</v>
      </c>
      <c r="I286" s="60" t="b">
        <v>0</v>
      </c>
      <c r="J286" s="60">
        <v>15</v>
      </c>
      <c r="K286" s="60">
        <v>714.9</v>
      </c>
      <c r="L286" s="61">
        <v>4580523</v>
      </c>
      <c r="M286" s="61">
        <v>1000000061460854</v>
      </c>
      <c r="N286" s="60" t="s">
        <v>517</v>
      </c>
      <c r="O286" s="60"/>
    </row>
    <row r="287" spans="1:15">
      <c r="A287" s="60"/>
      <c r="B287" s="60" t="s">
        <v>388</v>
      </c>
      <c r="C287" s="60" t="s">
        <v>389</v>
      </c>
      <c r="D287" s="60" t="s">
        <v>516</v>
      </c>
      <c r="E287" s="60" t="s">
        <v>332</v>
      </c>
      <c r="F287" s="60" t="s">
        <v>276</v>
      </c>
      <c r="G287" s="60" t="s">
        <v>333</v>
      </c>
      <c r="H287" s="60" t="s">
        <v>277</v>
      </c>
      <c r="I287" s="60" t="b">
        <v>0</v>
      </c>
      <c r="J287" s="60">
        <v>28</v>
      </c>
      <c r="K287" s="60">
        <v>1213.95</v>
      </c>
      <c r="L287" s="61">
        <v>13253100</v>
      </c>
      <c r="M287" s="61">
        <v>1.771577768926583E+18</v>
      </c>
      <c r="N287" s="60" t="s">
        <v>518</v>
      </c>
      <c r="O287" s="60"/>
    </row>
    <row r="288" spans="1:15">
      <c r="A288" s="60"/>
      <c r="B288" s="60" t="s">
        <v>388</v>
      </c>
      <c r="C288" s="60" t="s">
        <v>389</v>
      </c>
      <c r="D288" s="60" t="s">
        <v>516</v>
      </c>
      <c r="E288" s="60" t="s">
        <v>332</v>
      </c>
      <c r="F288" s="60" t="s">
        <v>276</v>
      </c>
      <c r="G288" s="60" t="s">
        <v>333</v>
      </c>
      <c r="H288" s="60" t="s">
        <v>277</v>
      </c>
      <c r="I288" s="60" t="b">
        <v>0</v>
      </c>
      <c r="J288" s="60">
        <v>49</v>
      </c>
      <c r="K288" s="60">
        <v>1213.5999999999999</v>
      </c>
      <c r="L288" s="61">
        <v>13252800</v>
      </c>
      <c r="M288" s="61">
        <v>1.771577768926583E+18</v>
      </c>
      <c r="N288" s="60" t="s">
        <v>518</v>
      </c>
      <c r="O288" s="60"/>
    </row>
    <row r="289" spans="1:15">
      <c r="A289" s="60"/>
      <c r="B289" s="60" t="s">
        <v>388</v>
      </c>
      <c r="C289" s="60" t="s">
        <v>389</v>
      </c>
      <c r="D289" s="60" t="s">
        <v>516</v>
      </c>
      <c r="E289" s="60" t="s">
        <v>332</v>
      </c>
      <c r="F289" s="60" t="s">
        <v>276</v>
      </c>
      <c r="G289" s="60" t="s">
        <v>333</v>
      </c>
      <c r="H289" s="60" t="s">
        <v>277</v>
      </c>
      <c r="I289" s="60" t="b">
        <v>0</v>
      </c>
      <c r="J289" s="60">
        <v>5</v>
      </c>
      <c r="K289" s="60">
        <v>1214</v>
      </c>
      <c r="L289" s="61">
        <v>13253400</v>
      </c>
      <c r="M289" s="61">
        <v>1.771577768926583E+18</v>
      </c>
      <c r="N289" s="60" t="s">
        <v>518</v>
      </c>
      <c r="O289" s="60"/>
    </row>
    <row r="290" spans="1:15">
      <c r="A290" s="60"/>
      <c r="B290" s="60" t="s">
        <v>426</v>
      </c>
      <c r="C290" s="60" t="s">
        <v>427</v>
      </c>
      <c r="D290" s="60" t="s">
        <v>516</v>
      </c>
      <c r="E290" s="60" t="s">
        <v>332</v>
      </c>
      <c r="F290" s="60" t="s">
        <v>276</v>
      </c>
      <c r="G290" s="60" t="s">
        <v>333</v>
      </c>
      <c r="H290" s="60" t="s">
        <v>277</v>
      </c>
      <c r="I290" s="60" t="b">
        <v>0</v>
      </c>
      <c r="J290" s="60">
        <v>14</v>
      </c>
      <c r="K290" s="60">
        <v>538.9</v>
      </c>
      <c r="L290" s="61">
        <v>11077300</v>
      </c>
      <c r="M290" s="61">
        <v>1.77157744033997E+18</v>
      </c>
      <c r="N290" s="60" t="s">
        <v>519</v>
      </c>
      <c r="O290" s="60"/>
    </row>
    <row r="291" spans="1:15">
      <c r="A291" s="60"/>
      <c r="B291" s="60" t="s">
        <v>426</v>
      </c>
      <c r="C291" s="60" t="s">
        <v>427</v>
      </c>
      <c r="D291" s="60" t="s">
        <v>516</v>
      </c>
      <c r="E291" s="60" t="s">
        <v>332</v>
      </c>
      <c r="F291" s="60" t="s">
        <v>276</v>
      </c>
      <c r="G291" s="60" t="s">
        <v>333</v>
      </c>
      <c r="H291" s="60" t="s">
        <v>277</v>
      </c>
      <c r="I291" s="60" t="b">
        <v>0</v>
      </c>
      <c r="J291" s="60">
        <v>23</v>
      </c>
      <c r="K291" s="60">
        <v>538.85</v>
      </c>
      <c r="L291" s="61">
        <v>11077100</v>
      </c>
      <c r="M291" s="61">
        <v>1.77157744033997E+18</v>
      </c>
      <c r="N291" s="60" t="s">
        <v>519</v>
      </c>
      <c r="O291" s="60"/>
    </row>
    <row r="292" spans="1:15">
      <c r="A292" s="60"/>
      <c r="B292" s="60" t="s">
        <v>426</v>
      </c>
      <c r="C292" s="60" t="s">
        <v>427</v>
      </c>
      <c r="D292" s="60" t="s">
        <v>516</v>
      </c>
      <c r="E292" s="60" t="s">
        <v>332</v>
      </c>
      <c r="F292" s="60" t="s">
        <v>276</v>
      </c>
      <c r="G292" s="60" t="s">
        <v>333</v>
      </c>
      <c r="H292" s="60" t="s">
        <v>277</v>
      </c>
      <c r="I292" s="60" t="b">
        <v>0</v>
      </c>
      <c r="J292" s="60">
        <v>56</v>
      </c>
      <c r="K292" s="60">
        <v>538.95000000000005</v>
      </c>
      <c r="L292" s="61">
        <v>11077500</v>
      </c>
      <c r="M292" s="61">
        <v>1.77157744033997E+18</v>
      </c>
      <c r="N292" s="60" t="s">
        <v>519</v>
      </c>
      <c r="O292" s="60"/>
    </row>
    <row r="293" spans="1:15">
      <c r="A293" s="60"/>
      <c r="B293" s="60" t="s">
        <v>520</v>
      </c>
      <c r="C293" s="60" t="s">
        <v>521</v>
      </c>
      <c r="D293" s="60" t="s">
        <v>516</v>
      </c>
      <c r="E293" s="60" t="s">
        <v>275</v>
      </c>
      <c r="F293" s="60" t="s">
        <v>276</v>
      </c>
      <c r="G293" s="60" t="s">
        <v>276</v>
      </c>
      <c r="H293" s="60" t="s">
        <v>277</v>
      </c>
      <c r="I293" s="60" t="b">
        <v>0</v>
      </c>
      <c r="J293" s="60">
        <v>2</v>
      </c>
      <c r="K293" s="60">
        <v>314.69</v>
      </c>
      <c r="L293" s="61">
        <v>606311000</v>
      </c>
      <c r="M293" s="61">
        <v>1300000076352903</v>
      </c>
      <c r="N293" s="60" t="s">
        <v>522</v>
      </c>
      <c r="O293" s="60"/>
    </row>
    <row r="294" spans="1:15">
      <c r="A294" s="60"/>
      <c r="B294" s="60" t="s">
        <v>520</v>
      </c>
      <c r="C294" s="60" t="s">
        <v>521</v>
      </c>
      <c r="D294" s="60" t="s">
        <v>516</v>
      </c>
      <c r="E294" s="60" t="s">
        <v>275</v>
      </c>
      <c r="F294" s="60" t="s">
        <v>276</v>
      </c>
      <c r="G294" s="60" t="s">
        <v>276</v>
      </c>
      <c r="H294" s="60" t="s">
        <v>277</v>
      </c>
      <c r="I294" s="60" t="b">
        <v>0</v>
      </c>
      <c r="J294" s="60">
        <v>78</v>
      </c>
      <c r="K294" s="60">
        <v>314.7</v>
      </c>
      <c r="L294" s="61">
        <v>606311001</v>
      </c>
      <c r="M294" s="61">
        <v>1300000076352903</v>
      </c>
      <c r="N294" s="60" t="s">
        <v>522</v>
      </c>
      <c r="O294" s="60"/>
    </row>
    <row r="295" spans="1:15">
      <c r="A295" s="60"/>
      <c r="B295" s="60" t="s">
        <v>385</v>
      </c>
      <c r="C295" s="60" t="s">
        <v>386</v>
      </c>
      <c r="D295" s="60" t="s">
        <v>523</v>
      </c>
      <c r="E295" s="60" t="s">
        <v>332</v>
      </c>
      <c r="F295" s="60" t="s">
        <v>276</v>
      </c>
      <c r="G295" s="60" t="s">
        <v>333</v>
      </c>
      <c r="H295" s="60" t="s">
        <v>277</v>
      </c>
      <c r="I295" s="60" t="b">
        <v>0</v>
      </c>
      <c r="J295" s="60">
        <v>266</v>
      </c>
      <c r="K295" s="60">
        <v>188.15</v>
      </c>
      <c r="L295" s="61">
        <v>22055000</v>
      </c>
      <c r="M295" s="61">
        <v>1.772179817893634E+18</v>
      </c>
      <c r="N295" s="60" t="s">
        <v>524</v>
      </c>
      <c r="O295" s="60"/>
    </row>
    <row r="296" spans="1:15">
      <c r="A296" s="60"/>
      <c r="B296" s="60" t="s">
        <v>505</v>
      </c>
      <c r="C296" s="60" t="s">
        <v>506</v>
      </c>
      <c r="D296" s="60" t="s">
        <v>523</v>
      </c>
      <c r="E296" s="60" t="s">
        <v>332</v>
      </c>
      <c r="F296" s="60" t="s">
        <v>276</v>
      </c>
      <c r="G296" s="60" t="s">
        <v>333</v>
      </c>
      <c r="H296" s="60" t="s">
        <v>277</v>
      </c>
      <c r="I296" s="60" t="b">
        <v>0</v>
      </c>
      <c r="J296" s="60">
        <v>45</v>
      </c>
      <c r="K296" s="60">
        <v>908</v>
      </c>
      <c r="L296" s="61">
        <v>6795400</v>
      </c>
      <c r="M296" s="61">
        <v>1.7721776639566021E+18</v>
      </c>
      <c r="N296" s="60" t="s">
        <v>525</v>
      </c>
      <c r="O296" s="60"/>
    </row>
    <row r="297" spans="1:15">
      <c r="A297" s="60"/>
      <c r="B297" s="60" t="s">
        <v>510</v>
      </c>
      <c r="C297" s="60" t="s">
        <v>511</v>
      </c>
      <c r="D297" s="60" t="s">
        <v>523</v>
      </c>
      <c r="E297" s="60" t="s">
        <v>332</v>
      </c>
      <c r="F297" s="60" t="s">
        <v>276</v>
      </c>
      <c r="G297" s="60" t="s">
        <v>457</v>
      </c>
      <c r="H297" s="60" t="s">
        <v>326</v>
      </c>
      <c r="I297" s="60" t="b">
        <v>0</v>
      </c>
      <c r="J297" s="60">
        <v>10</v>
      </c>
      <c r="K297" s="60">
        <v>419.3</v>
      </c>
      <c r="L297" s="61">
        <v>4846000</v>
      </c>
      <c r="M297" s="61">
        <v>1.7721796532175109E+18</v>
      </c>
      <c r="N297" s="60" t="s">
        <v>526</v>
      </c>
      <c r="O297" s="60"/>
    </row>
    <row r="298" spans="1:15">
      <c r="A298" s="60"/>
      <c r="B298" s="60" t="s">
        <v>468</v>
      </c>
      <c r="C298" s="60" t="s">
        <v>469</v>
      </c>
      <c r="D298" s="60" t="s">
        <v>523</v>
      </c>
      <c r="E298" s="60" t="s">
        <v>275</v>
      </c>
      <c r="F298" s="60" t="s">
        <v>276</v>
      </c>
      <c r="G298" s="60" t="s">
        <v>276</v>
      </c>
      <c r="H298" s="60" t="s">
        <v>277</v>
      </c>
      <c r="I298" s="60" t="b">
        <v>0</v>
      </c>
      <c r="J298" s="60">
        <v>340</v>
      </c>
      <c r="K298" s="60">
        <v>75</v>
      </c>
      <c r="L298" s="61">
        <v>406697576</v>
      </c>
      <c r="M298" s="61">
        <v>1200000075865702</v>
      </c>
      <c r="N298" s="60" t="s">
        <v>527</v>
      </c>
      <c r="O298" s="60"/>
    </row>
    <row r="299" spans="1:15">
      <c r="A299" s="60"/>
      <c r="B299" s="60" t="s">
        <v>426</v>
      </c>
      <c r="C299" s="60" t="s">
        <v>427</v>
      </c>
      <c r="D299" s="60" t="s">
        <v>528</v>
      </c>
      <c r="E299" s="60" t="s">
        <v>332</v>
      </c>
      <c r="F299" s="60" t="s">
        <v>276</v>
      </c>
      <c r="G299" s="60" t="s">
        <v>333</v>
      </c>
      <c r="H299" s="60" t="s">
        <v>326</v>
      </c>
      <c r="I299" s="60" t="b">
        <v>0</v>
      </c>
      <c r="J299" s="60">
        <v>196</v>
      </c>
      <c r="K299" s="60">
        <v>420.4</v>
      </c>
      <c r="L299" s="61">
        <v>81200</v>
      </c>
      <c r="M299" s="61">
        <v>1.7724222003260019E+18</v>
      </c>
      <c r="N299" s="60" t="s">
        <v>529</v>
      </c>
      <c r="O299" s="60"/>
    </row>
    <row r="300" spans="1:15">
      <c r="A300" s="60"/>
      <c r="B300" s="60" t="s">
        <v>484</v>
      </c>
      <c r="C300" s="60" t="s">
        <v>485</v>
      </c>
      <c r="D300" s="60" t="s">
        <v>530</v>
      </c>
      <c r="E300" s="60" t="s">
        <v>332</v>
      </c>
      <c r="F300" s="60" t="s">
        <v>276</v>
      </c>
      <c r="G300" s="60" t="s">
        <v>333</v>
      </c>
      <c r="H300" s="60" t="s">
        <v>277</v>
      </c>
      <c r="I300" s="60" t="b">
        <v>0</v>
      </c>
      <c r="J300" s="60">
        <v>54</v>
      </c>
      <c r="K300" s="60">
        <v>468.3</v>
      </c>
      <c r="L300" s="61">
        <v>12056500</v>
      </c>
      <c r="M300" s="61">
        <v>1.7727866281458839E+18</v>
      </c>
      <c r="N300" s="60" t="s">
        <v>531</v>
      </c>
      <c r="O300" s="60"/>
    </row>
    <row r="301" spans="1:15">
      <c r="A301" s="60"/>
      <c r="B301" s="60" t="s">
        <v>532</v>
      </c>
      <c r="C301" s="60" t="s">
        <v>533</v>
      </c>
      <c r="D301" s="60" t="s">
        <v>530</v>
      </c>
      <c r="E301" s="60" t="s">
        <v>275</v>
      </c>
      <c r="F301" s="60" t="s">
        <v>276</v>
      </c>
      <c r="G301" s="60" t="s">
        <v>276</v>
      </c>
      <c r="H301" s="60" t="s">
        <v>277</v>
      </c>
      <c r="I301" s="60" t="b">
        <v>0</v>
      </c>
      <c r="J301" s="60">
        <v>42</v>
      </c>
      <c r="K301" s="60">
        <v>206.6</v>
      </c>
      <c r="L301" s="61">
        <v>408247693</v>
      </c>
      <c r="M301" s="61">
        <v>1200000077068736</v>
      </c>
      <c r="N301" s="60" t="s">
        <v>534</v>
      </c>
      <c r="O301" s="60"/>
    </row>
    <row r="302" spans="1:15">
      <c r="A302" s="60"/>
      <c r="B302" s="60" t="s">
        <v>532</v>
      </c>
      <c r="C302" s="60" t="s">
        <v>533</v>
      </c>
      <c r="D302" s="60" t="s">
        <v>530</v>
      </c>
      <c r="E302" s="60" t="s">
        <v>275</v>
      </c>
      <c r="F302" s="60" t="s">
        <v>276</v>
      </c>
      <c r="G302" s="60" t="s">
        <v>276</v>
      </c>
      <c r="H302" s="60" t="s">
        <v>277</v>
      </c>
      <c r="I302" s="60" t="b">
        <v>0</v>
      </c>
      <c r="J302" s="60">
        <v>79</v>
      </c>
      <c r="K302" s="60">
        <v>206.6</v>
      </c>
      <c r="L302" s="61">
        <v>408247694</v>
      </c>
      <c r="M302" s="61">
        <v>1200000077068736</v>
      </c>
      <c r="N302" s="60" t="s">
        <v>534</v>
      </c>
      <c r="O302" s="60"/>
    </row>
    <row r="303" spans="1:15">
      <c r="A303" s="60"/>
      <c r="B303" s="60" t="s">
        <v>284</v>
      </c>
      <c r="C303" s="60" t="s">
        <v>285</v>
      </c>
      <c r="D303" s="60" t="s">
        <v>325</v>
      </c>
      <c r="E303" s="60" t="s">
        <v>275</v>
      </c>
      <c r="F303" s="60" t="s">
        <v>276</v>
      </c>
      <c r="G303" s="60" t="s">
        <v>276</v>
      </c>
      <c r="H303" s="60" t="s">
        <v>326</v>
      </c>
      <c r="I303" s="60" t="b">
        <v>0</v>
      </c>
      <c r="J303" s="60">
        <v>2</v>
      </c>
      <c r="K303" s="60">
        <v>4180.2002000000002</v>
      </c>
      <c r="L303" s="61">
        <v>602393096</v>
      </c>
      <c r="M303" s="61">
        <v>1300000019368715</v>
      </c>
      <c r="N303" s="60" t="s">
        <v>328</v>
      </c>
      <c r="O303" s="60"/>
    </row>
    <row r="304" spans="1:15">
      <c r="A304" s="60"/>
      <c r="B304" s="60" t="s">
        <v>284</v>
      </c>
      <c r="C304" s="60" t="s">
        <v>285</v>
      </c>
      <c r="D304" s="60" t="s">
        <v>325</v>
      </c>
      <c r="E304" s="60" t="s">
        <v>275</v>
      </c>
      <c r="F304" s="60" t="s">
        <v>276</v>
      </c>
      <c r="G304" s="60" t="s">
        <v>276</v>
      </c>
      <c r="H304" s="60" t="s">
        <v>326</v>
      </c>
      <c r="I304" s="60" t="b">
        <v>0</v>
      </c>
      <c r="J304" s="60">
        <v>1</v>
      </c>
      <c r="K304" s="60">
        <v>4180.2002000000002</v>
      </c>
      <c r="L304" s="61">
        <v>602393097</v>
      </c>
      <c r="M304" s="61">
        <v>1300000019368715</v>
      </c>
      <c r="N304" s="60" t="s">
        <v>328</v>
      </c>
      <c r="O304" s="60"/>
    </row>
    <row r="305" spans="1:15">
      <c r="A305" s="60"/>
      <c r="B305" s="60" t="s">
        <v>284</v>
      </c>
      <c r="C305" s="60" t="s">
        <v>285</v>
      </c>
      <c r="D305" s="60" t="s">
        <v>325</v>
      </c>
      <c r="E305" s="60" t="s">
        <v>275</v>
      </c>
      <c r="F305" s="60" t="s">
        <v>276</v>
      </c>
      <c r="G305" s="60" t="s">
        <v>276</v>
      </c>
      <c r="H305" s="60" t="s">
        <v>326</v>
      </c>
      <c r="I305" s="60" t="b">
        <v>0</v>
      </c>
      <c r="J305" s="60">
        <v>1</v>
      </c>
      <c r="K305" s="60">
        <v>4180.2002000000002</v>
      </c>
      <c r="L305" s="61">
        <v>602393094</v>
      </c>
      <c r="M305" s="61">
        <v>1300000019368715</v>
      </c>
      <c r="N305" s="60" t="s">
        <v>328</v>
      </c>
      <c r="O305" s="60"/>
    </row>
    <row r="306" spans="1:15">
      <c r="A306" s="60"/>
      <c r="B306" s="60" t="s">
        <v>279</v>
      </c>
      <c r="C306" s="60" t="s">
        <v>280</v>
      </c>
      <c r="D306" s="60" t="s">
        <v>491</v>
      </c>
      <c r="E306" s="60" t="s">
        <v>275</v>
      </c>
      <c r="F306" s="60" t="s">
        <v>276</v>
      </c>
      <c r="G306" s="60" t="s">
        <v>276</v>
      </c>
      <c r="H306" s="60" t="s">
        <v>326</v>
      </c>
      <c r="I306" s="60" t="b">
        <v>0</v>
      </c>
      <c r="J306" s="60">
        <v>1</v>
      </c>
      <c r="K306" s="60">
        <v>1299.4000000000001</v>
      </c>
      <c r="L306" s="61">
        <v>4407184</v>
      </c>
      <c r="M306" s="61">
        <v>1000000050030745</v>
      </c>
      <c r="N306" s="60" t="s">
        <v>496</v>
      </c>
      <c r="O306" s="60"/>
    </row>
    <row r="307" spans="1:15">
      <c r="A307" s="60"/>
      <c r="B307" s="60" t="s">
        <v>335</v>
      </c>
      <c r="C307" s="60" t="s">
        <v>336</v>
      </c>
      <c r="D307" s="60" t="s">
        <v>368</v>
      </c>
      <c r="E307" s="60" t="s">
        <v>275</v>
      </c>
      <c r="F307" s="60" t="s">
        <v>276</v>
      </c>
      <c r="G307" s="60" t="s">
        <v>276</v>
      </c>
      <c r="H307" s="60" t="s">
        <v>326</v>
      </c>
      <c r="I307" s="60" t="b">
        <v>0</v>
      </c>
      <c r="J307" s="60">
        <v>2</v>
      </c>
      <c r="K307" s="60">
        <v>482.05</v>
      </c>
      <c r="L307" s="61">
        <v>400073760</v>
      </c>
      <c r="M307" s="61">
        <v>1200000000472402</v>
      </c>
      <c r="N307" s="60" t="s">
        <v>369</v>
      </c>
      <c r="O307" s="60"/>
    </row>
    <row r="308" spans="1:15">
      <c r="A308" s="60"/>
      <c r="B308" s="60" t="s">
        <v>335</v>
      </c>
      <c r="C308" s="60" t="s">
        <v>336</v>
      </c>
      <c r="D308" s="60" t="s">
        <v>368</v>
      </c>
      <c r="E308" s="60" t="s">
        <v>275</v>
      </c>
      <c r="F308" s="60" t="s">
        <v>276</v>
      </c>
      <c r="G308" s="60" t="s">
        <v>276</v>
      </c>
      <c r="H308" s="60" t="s">
        <v>326</v>
      </c>
      <c r="I308" s="60" t="b">
        <v>0</v>
      </c>
      <c r="J308" s="60">
        <v>2</v>
      </c>
      <c r="K308" s="60">
        <v>482</v>
      </c>
      <c r="L308" s="61">
        <v>400073765</v>
      </c>
      <c r="M308" s="61">
        <v>1200000000472402</v>
      </c>
      <c r="N308" s="60" t="s">
        <v>369</v>
      </c>
      <c r="O308" s="60"/>
    </row>
    <row r="309" spans="1:15">
      <c r="A309" s="60"/>
      <c r="B309" s="60" t="s">
        <v>335</v>
      </c>
      <c r="C309" s="60" t="s">
        <v>336</v>
      </c>
      <c r="D309" s="60" t="s">
        <v>368</v>
      </c>
      <c r="E309" s="60" t="s">
        <v>275</v>
      </c>
      <c r="F309" s="60" t="s">
        <v>276</v>
      </c>
      <c r="G309" s="60" t="s">
        <v>276</v>
      </c>
      <c r="H309" s="60" t="s">
        <v>326</v>
      </c>
      <c r="I309" s="60" t="b">
        <v>0</v>
      </c>
      <c r="J309" s="60">
        <v>2</v>
      </c>
      <c r="K309" s="60">
        <v>482.05</v>
      </c>
      <c r="L309" s="61">
        <v>400073754</v>
      </c>
      <c r="M309" s="61">
        <v>1200000000472402</v>
      </c>
      <c r="N309" s="60" t="s">
        <v>369</v>
      </c>
      <c r="O309" s="60"/>
    </row>
    <row r="310" spans="1:15">
      <c r="A310" s="60"/>
      <c r="B310" s="60" t="s">
        <v>335</v>
      </c>
      <c r="C310" s="60" t="s">
        <v>336</v>
      </c>
      <c r="D310" s="60" t="s">
        <v>368</v>
      </c>
      <c r="E310" s="60" t="s">
        <v>275</v>
      </c>
      <c r="F310" s="60" t="s">
        <v>276</v>
      </c>
      <c r="G310" s="60" t="s">
        <v>276</v>
      </c>
      <c r="H310" s="60" t="s">
        <v>326</v>
      </c>
      <c r="I310" s="60" t="b">
        <v>0</v>
      </c>
      <c r="J310" s="60">
        <v>17</v>
      </c>
      <c r="K310" s="60">
        <v>482.05</v>
      </c>
      <c r="L310" s="61">
        <v>400073757</v>
      </c>
      <c r="M310" s="61">
        <v>1200000000472402</v>
      </c>
      <c r="N310" s="60" t="s">
        <v>369</v>
      </c>
      <c r="O310" s="60"/>
    </row>
    <row r="311" spans="1:15">
      <c r="A311" s="60"/>
      <c r="B311" s="60" t="s">
        <v>335</v>
      </c>
      <c r="C311" s="60" t="s">
        <v>336</v>
      </c>
      <c r="D311" s="60" t="s">
        <v>368</v>
      </c>
      <c r="E311" s="60" t="s">
        <v>275</v>
      </c>
      <c r="F311" s="60" t="s">
        <v>276</v>
      </c>
      <c r="G311" s="60" t="s">
        <v>276</v>
      </c>
      <c r="H311" s="60" t="s">
        <v>326</v>
      </c>
      <c r="I311" s="60" t="b">
        <v>0</v>
      </c>
      <c r="J311" s="60">
        <v>2</v>
      </c>
      <c r="K311" s="60">
        <v>482.05</v>
      </c>
      <c r="L311" s="61">
        <v>400073758</v>
      </c>
      <c r="M311" s="61">
        <v>1200000000472402</v>
      </c>
      <c r="N311" s="60" t="s">
        <v>369</v>
      </c>
      <c r="O311" s="60"/>
    </row>
    <row r="312" spans="1:15">
      <c r="A312" s="60"/>
      <c r="B312" s="60" t="s">
        <v>505</v>
      </c>
      <c r="C312" s="60" t="s">
        <v>506</v>
      </c>
      <c r="D312" s="60" t="s">
        <v>535</v>
      </c>
      <c r="E312" s="60" t="s">
        <v>332</v>
      </c>
      <c r="F312" s="60" t="s">
        <v>276</v>
      </c>
      <c r="G312" s="60" t="s">
        <v>333</v>
      </c>
      <c r="H312" s="60" t="s">
        <v>277</v>
      </c>
      <c r="I312" s="60" t="b">
        <v>0</v>
      </c>
      <c r="J312" s="60">
        <v>14</v>
      </c>
      <c r="K312" s="60">
        <v>846.65</v>
      </c>
      <c r="L312" s="61">
        <v>12948500</v>
      </c>
      <c r="M312" s="61">
        <v>1.7730484151741571E+18</v>
      </c>
      <c r="N312" s="60" t="s">
        <v>536</v>
      </c>
      <c r="O312" s="60"/>
    </row>
    <row r="313" spans="1:15">
      <c r="A313" s="60"/>
      <c r="B313" s="60" t="s">
        <v>505</v>
      </c>
      <c r="C313" s="60" t="s">
        <v>506</v>
      </c>
      <c r="D313" s="60" t="s">
        <v>535</v>
      </c>
      <c r="E313" s="60" t="s">
        <v>332</v>
      </c>
      <c r="F313" s="60" t="s">
        <v>276</v>
      </c>
      <c r="G313" s="60" t="s">
        <v>333</v>
      </c>
      <c r="H313" s="60" t="s">
        <v>277</v>
      </c>
      <c r="I313" s="60" t="b">
        <v>0</v>
      </c>
      <c r="J313" s="60">
        <v>14</v>
      </c>
      <c r="K313" s="60">
        <v>847.3</v>
      </c>
      <c r="L313" s="61">
        <v>12949700</v>
      </c>
      <c r="M313" s="61">
        <v>1.7730484151741571E+18</v>
      </c>
      <c r="N313" s="60" t="s">
        <v>536</v>
      </c>
      <c r="O313" s="60"/>
    </row>
    <row r="314" spans="1:15">
      <c r="A314" s="60"/>
      <c r="B314" s="60" t="s">
        <v>505</v>
      </c>
      <c r="C314" s="60" t="s">
        <v>506</v>
      </c>
      <c r="D314" s="60" t="s">
        <v>535</v>
      </c>
      <c r="E314" s="60" t="s">
        <v>332</v>
      </c>
      <c r="F314" s="60" t="s">
        <v>276</v>
      </c>
      <c r="G314" s="60" t="s">
        <v>333</v>
      </c>
      <c r="H314" s="60" t="s">
        <v>277</v>
      </c>
      <c r="I314" s="60" t="b">
        <v>0</v>
      </c>
      <c r="J314" s="60">
        <v>20</v>
      </c>
      <c r="K314" s="60">
        <v>847.15</v>
      </c>
      <c r="L314" s="61">
        <v>12949500</v>
      </c>
      <c r="M314" s="61">
        <v>1.7730484151741571E+18</v>
      </c>
      <c r="N314" s="60" t="s">
        <v>536</v>
      </c>
      <c r="O314" s="60"/>
    </row>
    <row r="315" spans="1:15">
      <c r="A315" s="60"/>
      <c r="B315" s="60" t="s">
        <v>505</v>
      </c>
      <c r="C315" s="60" t="s">
        <v>506</v>
      </c>
      <c r="D315" s="60" t="s">
        <v>535</v>
      </c>
      <c r="E315" s="60" t="s">
        <v>332</v>
      </c>
      <c r="F315" s="60" t="s">
        <v>276</v>
      </c>
      <c r="G315" s="60" t="s">
        <v>333</v>
      </c>
      <c r="H315" s="60" t="s">
        <v>277</v>
      </c>
      <c r="I315" s="60" t="b">
        <v>0</v>
      </c>
      <c r="J315" s="60">
        <v>27</v>
      </c>
      <c r="K315" s="60">
        <v>846.75</v>
      </c>
      <c r="L315" s="61">
        <v>12948800</v>
      </c>
      <c r="M315" s="61">
        <v>1.7730484151741571E+18</v>
      </c>
      <c r="N315" s="60" t="s">
        <v>536</v>
      </c>
      <c r="O315" s="60"/>
    </row>
    <row r="316" spans="1:15">
      <c r="A316" s="60"/>
      <c r="B316" s="60" t="s">
        <v>505</v>
      </c>
      <c r="C316" s="60" t="s">
        <v>506</v>
      </c>
      <c r="D316" s="60" t="s">
        <v>535</v>
      </c>
      <c r="E316" s="60" t="s">
        <v>332</v>
      </c>
      <c r="F316" s="60" t="s">
        <v>276</v>
      </c>
      <c r="G316" s="60" t="s">
        <v>333</v>
      </c>
      <c r="H316" s="60" t="s">
        <v>277</v>
      </c>
      <c r="I316" s="60" t="b">
        <v>0</v>
      </c>
      <c r="J316" s="60">
        <v>28</v>
      </c>
      <c r="K316" s="60">
        <v>846.9</v>
      </c>
      <c r="L316" s="61">
        <v>12949300</v>
      </c>
      <c r="M316" s="61">
        <v>1.7730484151741571E+18</v>
      </c>
      <c r="N316" s="60" t="s">
        <v>536</v>
      </c>
      <c r="O316" s="60"/>
    </row>
    <row r="317" spans="1:15">
      <c r="A317" s="60"/>
      <c r="B317" s="60" t="s">
        <v>505</v>
      </c>
      <c r="C317" s="60" t="s">
        <v>506</v>
      </c>
      <c r="D317" s="60" t="s">
        <v>535</v>
      </c>
      <c r="E317" s="60" t="s">
        <v>332</v>
      </c>
      <c r="F317" s="60" t="s">
        <v>276</v>
      </c>
      <c r="G317" s="60" t="s">
        <v>333</v>
      </c>
      <c r="H317" s="60" t="s">
        <v>277</v>
      </c>
      <c r="I317" s="60" t="b">
        <v>0</v>
      </c>
      <c r="J317" s="60">
        <v>6</v>
      </c>
      <c r="K317" s="60">
        <v>846.85</v>
      </c>
      <c r="L317" s="61">
        <v>12949000</v>
      </c>
      <c r="M317" s="61">
        <v>1.7730484151741571E+18</v>
      </c>
      <c r="N317" s="60" t="s">
        <v>536</v>
      </c>
      <c r="O317" s="60"/>
    </row>
    <row r="318" spans="1:15">
      <c r="A318" s="60"/>
      <c r="B318" s="60" t="s">
        <v>505</v>
      </c>
      <c r="C318" s="60" t="s">
        <v>506</v>
      </c>
      <c r="D318" s="60" t="s">
        <v>535</v>
      </c>
      <c r="E318" s="60" t="s">
        <v>332</v>
      </c>
      <c r="F318" s="60" t="s">
        <v>276</v>
      </c>
      <c r="G318" s="60" t="s">
        <v>333</v>
      </c>
      <c r="H318" s="60" t="s">
        <v>277</v>
      </c>
      <c r="I318" s="60" t="b">
        <v>0</v>
      </c>
      <c r="J318" s="60">
        <v>9</v>
      </c>
      <c r="K318" s="60">
        <v>847.35</v>
      </c>
      <c r="L318" s="61">
        <v>12949900</v>
      </c>
      <c r="M318" s="61">
        <v>1.7730484151741571E+18</v>
      </c>
      <c r="N318" s="60" t="s">
        <v>536</v>
      </c>
      <c r="O318" s="60"/>
    </row>
    <row r="319" spans="1:15">
      <c r="A319" s="60"/>
      <c r="B319" s="60" t="s">
        <v>537</v>
      </c>
      <c r="C319" s="60" t="s">
        <v>538</v>
      </c>
      <c r="D319" s="60" t="s">
        <v>535</v>
      </c>
      <c r="E319" s="60" t="s">
        <v>275</v>
      </c>
      <c r="F319" s="60" t="s">
        <v>276</v>
      </c>
      <c r="G319" s="60" t="s">
        <v>276</v>
      </c>
      <c r="H319" s="60" t="s">
        <v>277</v>
      </c>
      <c r="I319" s="60" t="b">
        <v>0</v>
      </c>
      <c r="J319" s="60">
        <v>92</v>
      </c>
      <c r="K319" s="60">
        <v>272.58999999999997</v>
      </c>
      <c r="L319" s="61">
        <v>408679913</v>
      </c>
      <c r="M319" s="61">
        <v>1200000090521780</v>
      </c>
      <c r="N319" s="60" t="s">
        <v>539</v>
      </c>
      <c r="O319" s="60"/>
    </row>
    <row r="320" spans="1:15">
      <c r="A320" s="60"/>
      <c r="B320" s="60" t="s">
        <v>272</v>
      </c>
      <c r="C320" s="60" t="s">
        <v>273</v>
      </c>
      <c r="D320" s="60" t="s">
        <v>535</v>
      </c>
      <c r="E320" s="60" t="s">
        <v>275</v>
      </c>
      <c r="F320" s="60" t="s">
        <v>276</v>
      </c>
      <c r="G320" s="60" t="s">
        <v>276</v>
      </c>
      <c r="H320" s="60" t="s">
        <v>277</v>
      </c>
      <c r="I320" s="60" t="b">
        <v>0</v>
      </c>
      <c r="J320" s="60">
        <v>12</v>
      </c>
      <c r="K320" s="60">
        <v>8230.5</v>
      </c>
      <c r="L320" s="61">
        <v>409007482</v>
      </c>
      <c r="M320" s="61">
        <v>1200000092616711</v>
      </c>
      <c r="N320" s="60" t="s">
        <v>540</v>
      </c>
      <c r="O320" s="60"/>
    </row>
    <row r="321" spans="1:15">
      <c r="A321" s="60"/>
      <c r="B321" s="60" t="s">
        <v>123</v>
      </c>
      <c r="C321" s="60" t="s">
        <v>541</v>
      </c>
      <c r="D321" s="60" t="s">
        <v>535</v>
      </c>
      <c r="E321" s="60" t="s">
        <v>275</v>
      </c>
      <c r="F321" s="60" t="s">
        <v>276</v>
      </c>
      <c r="G321" s="60" t="s">
        <v>276</v>
      </c>
      <c r="H321" s="60" t="s">
        <v>277</v>
      </c>
      <c r="I321" s="60" t="b">
        <v>0</v>
      </c>
      <c r="J321" s="60">
        <v>20</v>
      </c>
      <c r="K321" s="60">
        <v>1033.0999999999999</v>
      </c>
      <c r="L321" s="61">
        <v>8272775</v>
      </c>
      <c r="M321" s="61">
        <v>1000000076102617</v>
      </c>
      <c r="N321" s="60" t="s">
        <v>542</v>
      </c>
      <c r="O321" s="60"/>
    </row>
    <row r="322" spans="1:15">
      <c r="A322" s="60"/>
      <c r="B322" s="60" t="s">
        <v>123</v>
      </c>
      <c r="C322" s="60" t="s">
        <v>541</v>
      </c>
      <c r="D322" s="60" t="s">
        <v>535</v>
      </c>
      <c r="E322" s="60" t="s">
        <v>275</v>
      </c>
      <c r="F322" s="60" t="s">
        <v>276</v>
      </c>
      <c r="G322" s="60" t="s">
        <v>276</v>
      </c>
      <c r="H322" s="60" t="s">
        <v>277</v>
      </c>
      <c r="I322" s="60" t="b">
        <v>0</v>
      </c>
      <c r="J322" s="60">
        <v>2</v>
      </c>
      <c r="K322" s="60">
        <v>1033.0999999999999</v>
      </c>
      <c r="L322" s="61">
        <v>8272774</v>
      </c>
      <c r="M322" s="61">
        <v>1000000076102617</v>
      </c>
      <c r="N322" s="60" t="s">
        <v>542</v>
      </c>
      <c r="O322" s="60"/>
    </row>
    <row r="323" spans="1:15">
      <c r="A323" s="60"/>
      <c r="B323" s="60" t="s">
        <v>123</v>
      </c>
      <c r="C323" s="60" t="s">
        <v>541</v>
      </c>
      <c r="D323" s="60" t="s">
        <v>535</v>
      </c>
      <c r="E323" s="60" t="s">
        <v>275</v>
      </c>
      <c r="F323" s="60" t="s">
        <v>276</v>
      </c>
      <c r="G323" s="60" t="s">
        <v>276</v>
      </c>
      <c r="H323" s="60" t="s">
        <v>277</v>
      </c>
      <c r="I323" s="60" t="b">
        <v>0</v>
      </c>
      <c r="J323" s="60">
        <v>27</v>
      </c>
      <c r="K323" s="60">
        <v>1033.2</v>
      </c>
      <c r="L323" s="61">
        <v>8272776</v>
      </c>
      <c r="M323" s="61">
        <v>1000000076102617</v>
      </c>
      <c r="N323" s="60" t="s">
        <v>542</v>
      </c>
      <c r="O323" s="60"/>
    </row>
    <row r="324" spans="1:15">
      <c r="A324" s="60"/>
      <c r="B324" s="60" t="s">
        <v>543</v>
      </c>
      <c r="C324" s="60" t="s">
        <v>544</v>
      </c>
      <c r="D324" s="60" t="s">
        <v>535</v>
      </c>
      <c r="E324" s="60" t="s">
        <v>275</v>
      </c>
      <c r="F324" s="60" t="s">
        <v>276</v>
      </c>
      <c r="G324" s="60" t="s">
        <v>276</v>
      </c>
      <c r="H324" s="60" t="s">
        <v>277</v>
      </c>
      <c r="I324" s="60" t="b">
        <v>0</v>
      </c>
      <c r="J324" s="60">
        <v>1</v>
      </c>
      <c r="K324" s="60">
        <v>3775.7</v>
      </c>
      <c r="L324" s="61">
        <v>211697566</v>
      </c>
      <c r="M324" s="61">
        <v>1100000104870322</v>
      </c>
      <c r="N324" s="60" t="s">
        <v>545</v>
      </c>
      <c r="O324" s="60"/>
    </row>
    <row r="325" spans="1:15">
      <c r="A325" s="60"/>
      <c r="B325" s="60" t="s">
        <v>543</v>
      </c>
      <c r="C325" s="60" t="s">
        <v>544</v>
      </c>
      <c r="D325" s="60" t="s">
        <v>535</v>
      </c>
      <c r="E325" s="60" t="s">
        <v>275</v>
      </c>
      <c r="F325" s="60" t="s">
        <v>276</v>
      </c>
      <c r="G325" s="60" t="s">
        <v>276</v>
      </c>
      <c r="H325" s="60" t="s">
        <v>277</v>
      </c>
      <c r="I325" s="60" t="b">
        <v>0</v>
      </c>
      <c r="J325" s="60">
        <v>3</v>
      </c>
      <c r="K325" s="60">
        <v>3775.7</v>
      </c>
      <c r="L325" s="61">
        <v>211697563</v>
      </c>
      <c r="M325" s="61">
        <v>1100000104870322</v>
      </c>
      <c r="N325" s="60" t="s">
        <v>545</v>
      </c>
      <c r="O325" s="60"/>
    </row>
    <row r="326" spans="1:15">
      <c r="A326" s="60"/>
      <c r="B326" s="60" t="s">
        <v>543</v>
      </c>
      <c r="C326" s="60" t="s">
        <v>544</v>
      </c>
      <c r="D326" s="60" t="s">
        <v>535</v>
      </c>
      <c r="E326" s="60" t="s">
        <v>275</v>
      </c>
      <c r="F326" s="60" t="s">
        <v>276</v>
      </c>
      <c r="G326" s="60" t="s">
        <v>276</v>
      </c>
      <c r="H326" s="60" t="s">
        <v>277</v>
      </c>
      <c r="I326" s="60" t="b">
        <v>0</v>
      </c>
      <c r="J326" s="60">
        <v>4</v>
      </c>
      <c r="K326" s="60">
        <v>3775.7</v>
      </c>
      <c r="L326" s="61">
        <v>211697565</v>
      </c>
      <c r="M326" s="61">
        <v>1100000104870322</v>
      </c>
      <c r="N326" s="60" t="s">
        <v>545</v>
      </c>
      <c r="O326" s="60"/>
    </row>
    <row r="327" spans="1:15">
      <c r="A327" s="60"/>
      <c r="B327" s="60" t="s">
        <v>543</v>
      </c>
      <c r="C327" s="60" t="s">
        <v>544</v>
      </c>
      <c r="D327" s="60" t="s">
        <v>535</v>
      </c>
      <c r="E327" s="60" t="s">
        <v>275</v>
      </c>
      <c r="F327" s="60" t="s">
        <v>276</v>
      </c>
      <c r="G327" s="60" t="s">
        <v>276</v>
      </c>
      <c r="H327" s="60" t="s">
        <v>277</v>
      </c>
      <c r="I327" s="60" t="b">
        <v>0</v>
      </c>
      <c r="J327" s="60">
        <v>5</v>
      </c>
      <c r="K327" s="60">
        <v>3775.7</v>
      </c>
      <c r="L327" s="61">
        <v>211697564</v>
      </c>
      <c r="M327" s="61">
        <v>1100000104870322</v>
      </c>
      <c r="N327" s="60" t="s">
        <v>545</v>
      </c>
      <c r="O327" s="60"/>
    </row>
    <row r="328" spans="1:15">
      <c r="A328" s="60"/>
      <c r="B328" s="60" t="s">
        <v>305</v>
      </c>
      <c r="C328" s="60" t="s">
        <v>306</v>
      </c>
      <c r="D328" s="60" t="s">
        <v>325</v>
      </c>
      <c r="E328" s="60" t="s">
        <v>275</v>
      </c>
      <c r="F328" s="60" t="s">
        <v>276</v>
      </c>
      <c r="G328" s="60" t="s">
        <v>276</v>
      </c>
      <c r="H328" s="60" t="s">
        <v>326</v>
      </c>
      <c r="I328" s="60" t="b">
        <v>0</v>
      </c>
      <c r="J328" s="60">
        <v>4</v>
      </c>
      <c r="K328" s="60">
        <v>1477.1</v>
      </c>
      <c r="L328" s="61">
        <v>402016993</v>
      </c>
      <c r="M328" s="61">
        <v>1200000018561473</v>
      </c>
      <c r="N328" s="60" t="s">
        <v>329</v>
      </c>
      <c r="O328" s="60"/>
    </row>
    <row r="329" spans="1:15">
      <c r="A329" s="60"/>
      <c r="B329" s="60" t="s">
        <v>305</v>
      </c>
      <c r="C329" s="60" t="s">
        <v>306</v>
      </c>
      <c r="D329" s="60" t="s">
        <v>325</v>
      </c>
      <c r="E329" s="60" t="s">
        <v>275</v>
      </c>
      <c r="F329" s="60" t="s">
        <v>276</v>
      </c>
      <c r="G329" s="60" t="s">
        <v>276</v>
      </c>
      <c r="H329" s="60" t="s">
        <v>326</v>
      </c>
      <c r="I329" s="60" t="b">
        <v>0</v>
      </c>
      <c r="J329" s="60">
        <v>4</v>
      </c>
      <c r="K329" s="60">
        <v>1477.1</v>
      </c>
      <c r="L329" s="61">
        <v>402016995</v>
      </c>
      <c r="M329" s="61">
        <v>1200000018561473</v>
      </c>
      <c r="N329" s="60" t="s">
        <v>329</v>
      </c>
      <c r="O329" s="60"/>
    </row>
    <row r="330" spans="1:15">
      <c r="A330" s="60"/>
      <c r="B330" s="60" t="s">
        <v>465</v>
      </c>
      <c r="C330" s="60" t="s">
        <v>466</v>
      </c>
      <c r="D330" s="60" t="s">
        <v>546</v>
      </c>
      <c r="E330" s="60" t="s">
        <v>332</v>
      </c>
      <c r="F330" s="60" t="s">
        <v>276</v>
      </c>
      <c r="G330" s="60" t="s">
        <v>333</v>
      </c>
      <c r="H330" s="60" t="s">
        <v>326</v>
      </c>
      <c r="I330" s="60" t="b">
        <v>0</v>
      </c>
      <c r="J330" s="60">
        <v>368</v>
      </c>
      <c r="K330" s="60">
        <v>152.80000000000001</v>
      </c>
      <c r="L330" s="61">
        <v>1999700</v>
      </c>
      <c r="M330" s="61">
        <v>1.7738046000148769E+18</v>
      </c>
      <c r="N330" s="60" t="s">
        <v>547</v>
      </c>
      <c r="O330" s="60"/>
    </row>
    <row r="331" spans="1:15">
      <c r="A331" s="60"/>
      <c r="B331" s="60" t="s">
        <v>465</v>
      </c>
      <c r="C331" s="60" t="s">
        <v>466</v>
      </c>
      <c r="D331" s="60" t="s">
        <v>546</v>
      </c>
      <c r="E331" s="60" t="s">
        <v>332</v>
      </c>
      <c r="F331" s="60" t="s">
        <v>276</v>
      </c>
      <c r="G331" s="60" t="s">
        <v>333</v>
      </c>
      <c r="H331" s="60" t="s">
        <v>326</v>
      </c>
      <c r="I331" s="60" t="b">
        <v>0</v>
      </c>
      <c r="J331" s="60">
        <v>97</v>
      </c>
      <c r="K331" s="60">
        <v>152.85</v>
      </c>
      <c r="L331" s="61">
        <v>1999000</v>
      </c>
      <c r="M331" s="61">
        <v>1.7738046000148769E+18</v>
      </c>
      <c r="N331" s="60" t="s">
        <v>547</v>
      </c>
      <c r="O331" s="60"/>
    </row>
    <row r="332" spans="1:15">
      <c r="A332" s="60"/>
      <c r="B332" s="60" t="s">
        <v>505</v>
      </c>
      <c r="C332" s="60" t="s">
        <v>506</v>
      </c>
      <c r="D332" s="60" t="s">
        <v>548</v>
      </c>
      <c r="E332" s="60" t="s">
        <v>275</v>
      </c>
      <c r="F332" s="60" t="s">
        <v>276</v>
      </c>
      <c r="G332" s="60" t="s">
        <v>276</v>
      </c>
      <c r="H332" s="60" t="s">
        <v>277</v>
      </c>
      <c r="I332" s="60" t="b">
        <v>0</v>
      </c>
      <c r="J332" s="60">
        <v>12</v>
      </c>
      <c r="K332" s="60">
        <v>862.95</v>
      </c>
      <c r="L332" s="61">
        <v>606850025</v>
      </c>
      <c r="M332" s="61">
        <v>1300000087261603</v>
      </c>
      <c r="N332" s="60" t="s">
        <v>549</v>
      </c>
      <c r="O332" s="60"/>
    </row>
    <row r="333" spans="1:15">
      <c r="A333" s="60"/>
      <c r="B333" s="60" t="s">
        <v>505</v>
      </c>
      <c r="C333" s="60" t="s">
        <v>506</v>
      </c>
      <c r="D333" s="60" t="s">
        <v>548</v>
      </c>
      <c r="E333" s="60" t="s">
        <v>275</v>
      </c>
      <c r="F333" s="60" t="s">
        <v>276</v>
      </c>
      <c r="G333" s="60" t="s">
        <v>276</v>
      </c>
      <c r="H333" s="60" t="s">
        <v>277</v>
      </c>
      <c r="I333" s="60" t="b">
        <v>0</v>
      </c>
      <c r="J333" s="60">
        <v>2</v>
      </c>
      <c r="K333" s="60">
        <v>862.95</v>
      </c>
      <c r="L333" s="61">
        <v>606850024</v>
      </c>
      <c r="M333" s="61">
        <v>1300000087261603</v>
      </c>
      <c r="N333" s="60" t="s">
        <v>549</v>
      </c>
      <c r="O333" s="60"/>
    </row>
    <row r="334" spans="1:15">
      <c r="A334" s="60"/>
      <c r="B334" s="60" t="s">
        <v>505</v>
      </c>
      <c r="C334" s="60" t="s">
        <v>506</v>
      </c>
      <c r="D334" s="60" t="s">
        <v>548</v>
      </c>
      <c r="E334" s="60" t="s">
        <v>275</v>
      </c>
      <c r="F334" s="60" t="s">
        <v>276</v>
      </c>
      <c r="G334" s="60" t="s">
        <v>276</v>
      </c>
      <c r="H334" s="60" t="s">
        <v>277</v>
      </c>
      <c r="I334" s="60" t="b">
        <v>0</v>
      </c>
      <c r="J334" s="60">
        <v>26</v>
      </c>
      <c r="K334" s="60">
        <v>862.95</v>
      </c>
      <c r="L334" s="61">
        <v>606850023</v>
      </c>
      <c r="M334" s="61">
        <v>1300000087261603</v>
      </c>
      <c r="N334" s="60" t="s">
        <v>549</v>
      </c>
      <c r="O334" s="60"/>
    </row>
    <row r="335" spans="1:15">
      <c r="A335" s="60"/>
      <c r="B335" s="60" t="s">
        <v>505</v>
      </c>
      <c r="C335" s="60" t="s">
        <v>506</v>
      </c>
      <c r="D335" s="60" t="s">
        <v>548</v>
      </c>
      <c r="E335" s="60" t="s">
        <v>275</v>
      </c>
      <c r="F335" s="60" t="s">
        <v>276</v>
      </c>
      <c r="G335" s="60" t="s">
        <v>276</v>
      </c>
      <c r="H335" s="60" t="s">
        <v>277</v>
      </c>
      <c r="I335" s="60" t="b">
        <v>0</v>
      </c>
      <c r="J335" s="60">
        <v>9</v>
      </c>
      <c r="K335" s="60">
        <v>862.95</v>
      </c>
      <c r="L335" s="61">
        <v>606850022</v>
      </c>
      <c r="M335" s="61">
        <v>1300000087261603</v>
      </c>
      <c r="N335" s="60" t="s">
        <v>549</v>
      </c>
      <c r="O335" s="60"/>
    </row>
    <row r="336" spans="1:15">
      <c r="A336" s="60"/>
      <c r="B336" s="60" t="s">
        <v>505</v>
      </c>
      <c r="C336" s="60" t="s">
        <v>506</v>
      </c>
      <c r="D336" s="60" t="s">
        <v>548</v>
      </c>
      <c r="E336" s="60" t="s">
        <v>275</v>
      </c>
      <c r="F336" s="60" t="s">
        <v>276</v>
      </c>
      <c r="G336" s="60" t="s">
        <v>276</v>
      </c>
      <c r="H336" s="60" t="s">
        <v>277</v>
      </c>
      <c r="I336" s="60" t="b">
        <v>0</v>
      </c>
      <c r="J336" s="60">
        <v>9</v>
      </c>
      <c r="K336" s="60">
        <v>862.95</v>
      </c>
      <c r="L336" s="61">
        <v>606850026</v>
      </c>
      <c r="M336" s="61">
        <v>1300000087261603</v>
      </c>
      <c r="N336" s="60" t="s">
        <v>549</v>
      </c>
      <c r="O336" s="60"/>
    </row>
    <row r="337" spans="1:15">
      <c r="A337" s="60"/>
      <c r="B337" s="60" t="s">
        <v>127</v>
      </c>
      <c r="C337" s="60" t="s">
        <v>282</v>
      </c>
      <c r="D337" s="60" t="s">
        <v>548</v>
      </c>
      <c r="E337" s="60" t="s">
        <v>275</v>
      </c>
      <c r="F337" s="60" t="s">
        <v>276</v>
      </c>
      <c r="G337" s="60" t="s">
        <v>276</v>
      </c>
      <c r="H337" s="60" t="s">
        <v>326</v>
      </c>
      <c r="I337" s="60" t="b">
        <v>0</v>
      </c>
      <c r="J337" s="60">
        <v>3</v>
      </c>
      <c r="K337" s="60">
        <v>661.7</v>
      </c>
      <c r="L337" s="61">
        <v>209509049</v>
      </c>
      <c r="M337" s="61">
        <v>1100000108860545</v>
      </c>
      <c r="N337" s="60" t="s">
        <v>550</v>
      </c>
      <c r="O337" s="60"/>
    </row>
    <row r="338" spans="1:15">
      <c r="A338" s="60"/>
      <c r="B338" s="60" t="s">
        <v>127</v>
      </c>
      <c r="C338" s="60" t="s">
        <v>282</v>
      </c>
      <c r="D338" s="60" t="s">
        <v>548</v>
      </c>
      <c r="E338" s="60" t="s">
        <v>275</v>
      </c>
      <c r="F338" s="60" t="s">
        <v>276</v>
      </c>
      <c r="G338" s="60" t="s">
        <v>276</v>
      </c>
      <c r="H338" s="60" t="s">
        <v>326</v>
      </c>
      <c r="I338" s="60" t="b">
        <v>0</v>
      </c>
      <c r="J338" s="60">
        <v>10</v>
      </c>
      <c r="K338" s="60">
        <v>661.7</v>
      </c>
      <c r="L338" s="61">
        <v>209509052</v>
      </c>
      <c r="M338" s="61">
        <v>1100000108860545</v>
      </c>
      <c r="N338" s="60" t="s">
        <v>550</v>
      </c>
      <c r="O338" s="60"/>
    </row>
    <row r="339" spans="1:15">
      <c r="A339" s="60"/>
      <c r="B339" s="60" t="s">
        <v>127</v>
      </c>
      <c r="C339" s="60" t="s">
        <v>282</v>
      </c>
      <c r="D339" s="60" t="s">
        <v>548</v>
      </c>
      <c r="E339" s="60" t="s">
        <v>275</v>
      </c>
      <c r="F339" s="60" t="s">
        <v>276</v>
      </c>
      <c r="G339" s="60" t="s">
        <v>276</v>
      </c>
      <c r="H339" s="60" t="s">
        <v>326</v>
      </c>
      <c r="I339" s="60" t="b">
        <v>0</v>
      </c>
      <c r="J339" s="60">
        <v>11</v>
      </c>
      <c r="K339" s="60">
        <v>662</v>
      </c>
      <c r="L339" s="61">
        <v>209509041</v>
      </c>
      <c r="M339" s="61">
        <v>1100000108860545</v>
      </c>
      <c r="N339" s="60" t="s">
        <v>550</v>
      </c>
      <c r="O339" s="60"/>
    </row>
    <row r="340" spans="1:15">
      <c r="A340" s="60"/>
      <c r="B340" s="60" t="s">
        <v>127</v>
      </c>
      <c r="C340" s="60" t="s">
        <v>282</v>
      </c>
      <c r="D340" s="60" t="s">
        <v>548</v>
      </c>
      <c r="E340" s="60" t="s">
        <v>275</v>
      </c>
      <c r="F340" s="60" t="s">
        <v>276</v>
      </c>
      <c r="G340" s="60" t="s">
        <v>276</v>
      </c>
      <c r="H340" s="60" t="s">
        <v>326</v>
      </c>
      <c r="I340" s="60" t="b">
        <v>0</v>
      </c>
      <c r="J340" s="60">
        <v>1</v>
      </c>
      <c r="K340" s="60">
        <v>661.7</v>
      </c>
      <c r="L340" s="61">
        <v>209509053</v>
      </c>
      <c r="M340" s="61">
        <v>1100000108860545</v>
      </c>
      <c r="N340" s="60" t="s">
        <v>550</v>
      </c>
      <c r="O340" s="60"/>
    </row>
    <row r="341" spans="1:15">
      <c r="A341" s="60"/>
      <c r="B341" s="60" t="s">
        <v>127</v>
      </c>
      <c r="C341" s="60" t="s">
        <v>282</v>
      </c>
      <c r="D341" s="60" t="s">
        <v>548</v>
      </c>
      <c r="E341" s="60" t="s">
        <v>275</v>
      </c>
      <c r="F341" s="60" t="s">
        <v>276</v>
      </c>
      <c r="G341" s="60" t="s">
        <v>276</v>
      </c>
      <c r="H341" s="60" t="s">
        <v>326</v>
      </c>
      <c r="I341" s="60" t="b">
        <v>0</v>
      </c>
      <c r="J341" s="60">
        <v>1</v>
      </c>
      <c r="K341" s="60">
        <v>662.1</v>
      </c>
      <c r="L341" s="61">
        <v>209509040</v>
      </c>
      <c r="M341" s="61">
        <v>1100000108860545</v>
      </c>
      <c r="N341" s="60" t="s">
        <v>550</v>
      </c>
      <c r="O341" s="60"/>
    </row>
    <row r="342" spans="1:15">
      <c r="A342" s="60"/>
      <c r="B342" s="60" t="s">
        <v>127</v>
      </c>
      <c r="C342" s="60" t="s">
        <v>282</v>
      </c>
      <c r="D342" s="60" t="s">
        <v>548</v>
      </c>
      <c r="E342" s="60" t="s">
        <v>275</v>
      </c>
      <c r="F342" s="60" t="s">
        <v>276</v>
      </c>
      <c r="G342" s="60" t="s">
        <v>276</v>
      </c>
      <c r="H342" s="60" t="s">
        <v>326</v>
      </c>
      <c r="I342" s="60" t="b">
        <v>0</v>
      </c>
      <c r="J342" s="60">
        <v>21</v>
      </c>
      <c r="K342" s="60">
        <v>661.75</v>
      </c>
      <c r="L342" s="61">
        <v>209509047</v>
      </c>
      <c r="M342" s="61">
        <v>1100000108860545</v>
      </c>
      <c r="N342" s="60" t="s">
        <v>550</v>
      </c>
      <c r="O342" s="60"/>
    </row>
    <row r="343" spans="1:15">
      <c r="A343" s="60"/>
      <c r="B343" s="60" t="s">
        <v>127</v>
      </c>
      <c r="C343" s="60" t="s">
        <v>282</v>
      </c>
      <c r="D343" s="60" t="s">
        <v>548</v>
      </c>
      <c r="E343" s="60" t="s">
        <v>275</v>
      </c>
      <c r="F343" s="60" t="s">
        <v>276</v>
      </c>
      <c r="G343" s="60" t="s">
        <v>276</v>
      </c>
      <c r="H343" s="60" t="s">
        <v>326</v>
      </c>
      <c r="I343" s="60" t="b">
        <v>0</v>
      </c>
      <c r="J343" s="60">
        <v>22</v>
      </c>
      <c r="K343" s="60">
        <v>661.8</v>
      </c>
      <c r="L343" s="61">
        <v>209509043</v>
      </c>
      <c r="M343" s="61">
        <v>1100000108860545</v>
      </c>
      <c r="N343" s="60" t="s">
        <v>550</v>
      </c>
      <c r="O343" s="60"/>
    </row>
    <row r="344" spans="1:15">
      <c r="A344" s="60"/>
      <c r="B344" s="60" t="s">
        <v>127</v>
      </c>
      <c r="C344" s="60" t="s">
        <v>282</v>
      </c>
      <c r="D344" s="60" t="s">
        <v>548</v>
      </c>
      <c r="E344" s="60" t="s">
        <v>275</v>
      </c>
      <c r="F344" s="60" t="s">
        <v>276</v>
      </c>
      <c r="G344" s="60" t="s">
        <v>276</v>
      </c>
      <c r="H344" s="60" t="s">
        <v>326</v>
      </c>
      <c r="I344" s="60" t="b">
        <v>0</v>
      </c>
      <c r="J344" s="60">
        <v>10</v>
      </c>
      <c r="K344" s="60">
        <v>661.7</v>
      </c>
      <c r="L344" s="61">
        <v>209509050</v>
      </c>
      <c r="M344" s="61">
        <v>1100000108860545</v>
      </c>
      <c r="N344" s="60" t="s">
        <v>550</v>
      </c>
      <c r="O344" s="60"/>
    </row>
    <row r="345" spans="1:15">
      <c r="A345" s="60"/>
      <c r="B345" s="60" t="s">
        <v>127</v>
      </c>
      <c r="C345" s="60" t="s">
        <v>282</v>
      </c>
      <c r="D345" s="60" t="s">
        <v>548</v>
      </c>
      <c r="E345" s="60" t="s">
        <v>275</v>
      </c>
      <c r="F345" s="60" t="s">
        <v>276</v>
      </c>
      <c r="G345" s="60" t="s">
        <v>276</v>
      </c>
      <c r="H345" s="60" t="s">
        <v>326</v>
      </c>
      <c r="I345" s="60" t="b">
        <v>0</v>
      </c>
      <c r="J345" s="60">
        <v>3</v>
      </c>
      <c r="K345" s="60">
        <v>661.7</v>
      </c>
      <c r="L345" s="61">
        <v>209509051</v>
      </c>
      <c r="M345" s="61">
        <v>1100000108860545</v>
      </c>
      <c r="N345" s="60" t="s">
        <v>550</v>
      </c>
      <c r="O345" s="60"/>
    </row>
    <row r="346" spans="1:15">
      <c r="A346" s="60"/>
      <c r="B346" s="60" t="s">
        <v>127</v>
      </c>
      <c r="C346" s="60" t="s">
        <v>282</v>
      </c>
      <c r="D346" s="60" t="s">
        <v>548</v>
      </c>
      <c r="E346" s="60" t="s">
        <v>275</v>
      </c>
      <c r="F346" s="60" t="s">
        <v>276</v>
      </c>
      <c r="G346" s="60" t="s">
        <v>276</v>
      </c>
      <c r="H346" s="60" t="s">
        <v>326</v>
      </c>
      <c r="I346" s="60" t="b">
        <v>0</v>
      </c>
      <c r="J346" s="60">
        <v>3</v>
      </c>
      <c r="K346" s="60">
        <v>661.75</v>
      </c>
      <c r="L346" s="61">
        <v>209509045</v>
      </c>
      <c r="M346" s="61">
        <v>1100000108860545</v>
      </c>
      <c r="N346" s="60" t="s">
        <v>550</v>
      </c>
      <c r="O346" s="60"/>
    </row>
    <row r="347" spans="1:15">
      <c r="A347" s="60"/>
      <c r="B347" s="60" t="s">
        <v>127</v>
      </c>
      <c r="C347" s="60" t="s">
        <v>282</v>
      </c>
      <c r="D347" s="60" t="s">
        <v>548</v>
      </c>
      <c r="E347" s="60" t="s">
        <v>275</v>
      </c>
      <c r="F347" s="60" t="s">
        <v>276</v>
      </c>
      <c r="G347" s="60" t="s">
        <v>276</v>
      </c>
      <c r="H347" s="60" t="s">
        <v>326</v>
      </c>
      <c r="I347" s="60" t="b">
        <v>0</v>
      </c>
      <c r="J347" s="60">
        <v>60</v>
      </c>
      <c r="K347" s="60">
        <v>661.75</v>
      </c>
      <c r="L347" s="61">
        <v>209509046</v>
      </c>
      <c r="M347" s="61">
        <v>1100000108860545</v>
      </c>
      <c r="N347" s="60" t="s">
        <v>550</v>
      </c>
      <c r="O347" s="60"/>
    </row>
    <row r="348" spans="1:15">
      <c r="A348" s="60"/>
      <c r="B348" s="60" t="s">
        <v>127</v>
      </c>
      <c r="C348" s="60" t="s">
        <v>282</v>
      </c>
      <c r="D348" s="60" t="s">
        <v>548</v>
      </c>
      <c r="E348" s="60" t="s">
        <v>275</v>
      </c>
      <c r="F348" s="60" t="s">
        <v>276</v>
      </c>
      <c r="G348" s="60" t="s">
        <v>276</v>
      </c>
      <c r="H348" s="60" t="s">
        <v>326</v>
      </c>
      <c r="I348" s="60" t="b">
        <v>0</v>
      </c>
      <c r="J348" s="60">
        <v>64</v>
      </c>
      <c r="K348" s="60">
        <v>661.8</v>
      </c>
      <c r="L348" s="61">
        <v>209509044</v>
      </c>
      <c r="M348" s="61">
        <v>1100000108860545</v>
      </c>
      <c r="N348" s="60" t="s">
        <v>550</v>
      </c>
      <c r="O348" s="60"/>
    </row>
    <row r="349" spans="1:15">
      <c r="A349" s="60"/>
      <c r="B349" s="60" t="s">
        <v>127</v>
      </c>
      <c r="C349" s="60" t="s">
        <v>282</v>
      </c>
      <c r="D349" s="60" t="s">
        <v>548</v>
      </c>
      <c r="E349" s="60" t="s">
        <v>275</v>
      </c>
      <c r="F349" s="60" t="s">
        <v>276</v>
      </c>
      <c r="G349" s="60" t="s">
        <v>276</v>
      </c>
      <c r="H349" s="60" t="s">
        <v>326</v>
      </c>
      <c r="I349" s="60" t="b">
        <v>0</v>
      </c>
      <c r="J349" s="60">
        <v>8</v>
      </c>
      <c r="K349" s="60">
        <v>661.75</v>
      </c>
      <c r="L349" s="61">
        <v>209509048</v>
      </c>
      <c r="M349" s="61">
        <v>1100000108860545</v>
      </c>
      <c r="N349" s="60" t="s">
        <v>550</v>
      </c>
      <c r="O349" s="60"/>
    </row>
    <row r="350" spans="1:15">
      <c r="A350" s="60"/>
      <c r="B350" s="60" t="s">
        <v>127</v>
      </c>
      <c r="C350" s="60" t="s">
        <v>282</v>
      </c>
      <c r="D350" s="60" t="s">
        <v>548</v>
      </c>
      <c r="E350" s="60" t="s">
        <v>275</v>
      </c>
      <c r="F350" s="60" t="s">
        <v>276</v>
      </c>
      <c r="G350" s="60" t="s">
        <v>276</v>
      </c>
      <c r="H350" s="60" t="s">
        <v>326</v>
      </c>
      <c r="I350" s="60" t="b">
        <v>0</v>
      </c>
      <c r="J350" s="60">
        <v>9</v>
      </c>
      <c r="K350" s="60">
        <v>661.85</v>
      </c>
      <c r="L350" s="61">
        <v>209509042</v>
      </c>
      <c r="M350" s="61">
        <v>1100000108860545</v>
      </c>
      <c r="N350" s="60" t="s">
        <v>550</v>
      </c>
      <c r="O350" s="60"/>
    </row>
    <row r="351" spans="1:15">
      <c r="A351" s="60"/>
      <c r="B351" s="60" t="s">
        <v>543</v>
      </c>
      <c r="C351" s="60" t="s">
        <v>544</v>
      </c>
      <c r="D351" s="60" t="s">
        <v>548</v>
      </c>
      <c r="E351" s="60" t="s">
        <v>275</v>
      </c>
      <c r="F351" s="60" t="s">
        <v>276</v>
      </c>
      <c r="G351" s="60" t="s">
        <v>276</v>
      </c>
      <c r="H351" s="60" t="s">
        <v>277</v>
      </c>
      <c r="I351" s="60" t="b">
        <v>0</v>
      </c>
      <c r="J351" s="60">
        <v>14</v>
      </c>
      <c r="K351" s="60">
        <v>3676.8</v>
      </c>
      <c r="L351" s="61">
        <v>209534085</v>
      </c>
      <c r="M351" s="61">
        <v>1100000109127675</v>
      </c>
      <c r="N351" s="60" t="s">
        <v>551</v>
      </c>
      <c r="O351" s="60"/>
    </row>
    <row r="352" spans="1:15">
      <c r="A352" s="60"/>
      <c r="B352" s="60" t="s">
        <v>501</v>
      </c>
      <c r="C352" s="60" t="s">
        <v>502</v>
      </c>
      <c r="D352" s="60" t="s">
        <v>548</v>
      </c>
      <c r="E352" s="60" t="s">
        <v>275</v>
      </c>
      <c r="F352" s="60" t="s">
        <v>276</v>
      </c>
      <c r="G352" s="60" t="s">
        <v>276</v>
      </c>
      <c r="H352" s="60" t="s">
        <v>277</v>
      </c>
      <c r="I352" s="60" t="b">
        <v>0</v>
      </c>
      <c r="J352" s="60">
        <v>15</v>
      </c>
      <c r="K352" s="60">
        <v>1980.1</v>
      </c>
      <c r="L352" s="61">
        <v>5422345</v>
      </c>
      <c r="M352" s="61">
        <v>1000000073661560</v>
      </c>
      <c r="N352" s="60" t="s">
        <v>552</v>
      </c>
      <c r="O352" s="60"/>
    </row>
    <row r="353" spans="1:15">
      <c r="A353" s="60"/>
      <c r="B353" s="60" t="s">
        <v>501</v>
      </c>
      <c r="C353" s="60" t="s">
        <v>502</v>
      </c>
      <c r="D353" s="60" t="s">
        <v>548</v>
      </c>
      <c r="E353" s="60" t="s">
        <v>275</v>
      </c>
      <c r="F353" s="60" t="s">
        <v>276</v>
      </c>
      <c r="G353" s="60" t="s">
        <v>276</v>
      </c>
      <c r="H353" s="60" t="s">
        <v>277</v>
      </c>
      <c r="I353" s="60" t="b">
        <v>0</v>
      </c>
      <c r="J353" s="60">
        <v>31</v>
      </c>
      <c r="K353" s="60">
        <v>1980.1</v>
      </c>
      <c r="L353" s="61">
        <v>5422346</v>
      </c>
      <c r="M353" s="61">
        <v>1000000073661560</v>
      </c>
      <c r="N353" s="60" t="s">
        <v>552</v>
      </c>
      <c r="O353" s="60"/>
    </row>
    <row r="354" spans="1:15">
      <c r="A354" s="60"/>
      <c r="B354" s="60" t="s">
        <v>501</v>
      </c>
      <c r="C354" s="60" t="s">
        <v>502</v>
      </c>
      <c r="D354" s="60" t="s">
        <v>548</v>
      </c>
      <c r="E354" s="60" t="s">
        <v>275</v>
      </c>
      <c r="F354" s="60" t="s">
        <v>276</v>
      </c>
      <c r="G354" s="60" t="s">
        <v>276</v>
      </c>
      <c r="H354" s="60" t="s">
        <v>277</v>
      </c>
      <c r="I354" s="60" t="b">
        <v>0</v>
      </c>
      <c r="J354" s="60">
        <v>5</v>
      </c>
      <c r="K354" s="60">
        <v>1980.1</v>
      </c>
      <c r="L354" s="61">
        <v>5422347</v>
      </c>
      <c r="M354" s="61">
        <v>1000000073661560</v>
      </c>
      <c r="N354" s="60" t="s">
        <v>552</v>
      </c>
      <c r="O354" s="60"/>
    </row>
    <row r="355" spans="1:15">
      <c r="A355" s="60"/>
      <c r="B355" s="60" t="s">
        <v>553</v>
      </c>
      <c r="C355" s="60" t="s">
        <v>554</v>
      </c>
      <c r="D355" s="60" t="s">
        <v>548</v>
      </c>
      <c r="E355" s="60" t="s">
        <v>275</v>
      </c>
      <c r="F355" s="60" t="s">
        <v>276</v>
      </c>
      <c r="G355" s="60" t="s">
        <v>276</v>
      </c>
      <c r="H355" s="60" t="s">
        <v>277</v>
      </c>
      <c r="I355" s="60" t="b">
        <v>0</v>
      </c>
      <c r="J355" s="60">
        <v>1</v>
      </c>
      <c r="K355" s="60">
        <v>13020</v>
      </c>
      <c r="L355" s="61">
        <v>607146405</v>
      </c>
      <c r="M355" s="61">
        <v>1300000090848577</v>
      </c>
      <c r="N355" s="60" t="s">
        <v>555</v>
      </c>
      <c r="O355" s="60"/>
    </row>
    <row r="356" spans="1:15">
      <c r="A356" s="60"/>
      <c r="B356" s="60" t="s">
        <v>553</v>
      </c>
      <c r="C356" s="60" t="s">
        <v>554</v>
      </c>
      <c r="D356" s="60" t="s">
        <v>548</v>
      </c>
      <c r="E356" s="60" t="s">
        <v>275</v>
      </c>
      <c r="F356" s="60" t="s">
        <v>276</v>
      </c>
      <c r="G356" s="60" t="s">
        <v>276</v>
      </c>
      <c r="H356" s="60" t="s">
        <v>277</v>
      </c>
      <c r="I356" s="60" t="b">
        <v>0</v>
      </c>
      <c r="J356" s="60">
        <v>1</v>
      </c>
      <c r="K356" s="60">
        <v>13022</v>
      </c>
      <c r="L356" s="61">
        <v>607146406</v>
      </c>
      <c r="M356" s="61">
        <v>1300000090848577</v>
      </c>
      <c r="N356" s="60" t="s">
        <v>555</v>
      </c>
      <c r="O356" s="60"/>
    </row>
    <row r="357" spans="1:15">
      <c r="A357" s="60"/>
      <c r="B357" s="60" t="s">
        <v>119</v>
      </c>
      <c r="C357" s="60" t="s">
        <v>487</v>
      </c>
      <c r="D357" s="60" t="s">
        <v>548</v>
      </c>
      <c r="E357" s="60" t="s">
        <v>275</v>
      </c>
      <c r="F357" s="60" t="s">
        <v>276</v>
      </c>
      <c r="G357" s="60" t="s">
        <v>276</v>
      </c>
      <c r="H357" s="60" t="s">
        <v>277</v>
      </c>
      <c r="I357" s="60" t="b">
        <v>0</v>
      </c>
      <c r="J357" s="60">
        <v>8</v>
      </c>
      <c r="K357" s="60">
        <v>1378.7</v>
      </c>
      <c r="L357" s="61">
        <v>608752169</v>
      </c>
      <c r="M357" s="61">
        <v>1300000102008239</v>
      </c>
      <c r="N357" s="60" t="s">
        <v>556</v>
      </c>
      <c r="O357" s="60"/>
    </row>
    <row r="358" spans="1:15">
      <c r="A358" s="60"/>
      <c r="B358" s="60" t="s">
        <v>557</v>
      </c>
      <c r="C358" s="60" t="s">
        <v>558</v>
      </c>
      <c r="D358" s="60" t="s">
        <v>559</v>
      </c>
      <c r="E358" s="60" t="s">
        <v>275</v>
      </c>
      <c r="F358" s="60" t="s">
        <v>276</v>
      </c>
      <c r="G358" s="60" t="s">
        <v>276</v>
      </c>
      <c r="H358" s="60" t="s">
        <v>277</v>
      </c>
      <c r="I358" s="60" t="b">
        <v>0</v>
      </c>
      <c r="J358" s="60">
        <v>19</v>
      </c>
      <c r="K358" s="60">
        <v>2683</v>
      </c>
      <c r="L358" s="61">
        <v>406774172</v>
      </c>
      <c r="M358" s="61">
        <v>1200000087322430</v>
      </c>
      <c r="N358" s="60" t="s">
        <v>560</v>
      </c>
      <c r="O358" s="60"/>
    </row>
    <row r="359" spans="1:15">
      <c r="A359" s="60"/>
      <c r="B359" s="60" t="s">
        <v>173</v>
      </c>
      <c r="C359" s="60" t="s">
        <v>561</v>
      </c>
      <c r="D359" s="60" t="s">
        <v>559</v>
      </c>
      <c r="E359" s="60" t="s">
        <v>275</v>
      </c>
      <c r="F359" s="60" t="s">
        <v>276</v>
      </c>
      <c r="G359" s="60" t="s">
        <v>276</v>
      </c>
      <c r="H359" s="60" t="s">
        <v>277</v>
      </c>
      <c r="I359" s="60" t="b">
        <v>0</v>
      </c>
      <c r="J359" s="60">
        <v>44</v>
      </c>
      <c r="K359" s="60">
        <v>1141.55</v>
      </c>
      <c r="L359" s="61">
        <v>6545076</v>
      </c>
      <c r="M359" s="61">
        <v>1000000074468622</v>
      </c>
      <c r="N359" s="60" t="s">
        <v>562</v>
      </c>
      <c r="O359" s="60"/>
    </row>
    <row r="360" spans="1:15">
      <c r="A360" s="60"/>
      <c r="B360" s="60" t="s">
        <v>382</v>
      </c>
      <c r="C360" s="60" t="s">
        <v>383</v>
      </c>
      <c r="D360" s="60" t="s">
        <v>563</v>
      </c>
      <c r="E360" s="60" t="s">
        <v>275</v>
      </c>
      <c r="F360" s="60" t="s">
        <v>276</v>
      </c>
      <c r="G360" s="60" t="s">
        <v>276</v>
      </c>
      <c r="H360" s="60" t="s">
        <v>326</v>
      </c>
      <c r="I360" s="60" t="b">
        <v>0</v>
      </c>
      <c r="J360" s="60">
        <v>6</v>
      </c>
      <c r="K360" s="60">
        <v>301.64999999999998</v>
      </c>
      <c r="L360" s="61">
        <v>8430924</v>
      </c>
      <c r="M360" s="61">
        <v>1000000084813264</v>
      </c>
      <c r="N360" s="60" t="s">
        <v>564</v>
      </c>
      <c r="O360" s="60"/>
    </row>
    <row r="361" spans="1:15">
      <c r="A361" s="60"/>
      <c r="B361" s="60" t="s">
        <v>382</v>
      </c>
      <c r="C361" s="60" t="s">
        <v>383</v>
      </c>
      <c r="D361" s="60" t="s">
        <v>563</v>
      </c>
      <c r="E361" s="60" t="s">
        <v>275</v>
      </c>
      <c r="F361" s="60" t="s">
        <v>276</v>
      </c>
      <c r="G361" s="60" t="s">
        <v>276</v>
      </c>
      <c r="H361" s="60" t="s">
        <v>326</v>
      </c>
      <c r="I361" s="60" t="b">
        <v>0</v>
      </c>
      <c r="J361" s="60">
        <v>76</v>
      </c>
      <c r="K361" s="60">
        <v>301.64999999999998</v>
      </c>
      <c r="L361" s="61">
        <v>8430923</v>
      </c>
      <c r="M361" s="61">
        <v>1000000084813264</v>
      </c>
      <c r="N361" s="60" t="s">
        <v>564</v>
      </c>
      <c r="O361" s="60"/>
    </row>
    <row r="362" spans="1:15">
      <c r="A362" s="60"/>
      <c r="B362" s="60" t="s">
        <v>532</v>
      </c>
      <c r="C362" s="60" t="s">
        <v>533</v>
      </c>
      <c r="D362" s="60" t="s">
        <v>563</v>
      </c>
      <c r="E362" s="60" t="s">
        <v>332</v>
      </c>
      <c r="F362" s="60" t="s">
        <v>276</v>
      </c>
      <c r="G362" s="60" t="s">
        <v>333</v>
      </c>
      <c r="H362" s="60" t="s">
        <v>326</v>
      </c>
      <c r="I362" s="60" t="b">
        <v>0</v>
      </c>
      <c r="J362" s="60">
        <v>23</v>
      </c>
      <c r="K362" s="60">
        <v>159.5</v>
      </c>
      <c r="L362" s="61">
        <v>5853700</v>
      </c>
      <c r="M362" s="61">
        <v>1.777882835281353E+18</v>
      </c>
      <c r="N362" s="60" t="s">
        <v>565</v>
      </c>
      <c r="O362" s="60"/>
    </row>
    <row r="363" spans="1:15">
      <c r="A363" s="60"/>
      <c r="B363" s="60" t="s">
        <v>532</v>
      </c>
      <c r="C363" s="60" t="s">
        <v>533</v>
      </c>
      <c r="D363" s="60" t="s">
        <v>563</v>
      </c>
      <c r="E363" s="60" t="s">
        <v>332</v>
      </c>
      <c r="F363" s="60" t="s">
        <v>276</v>
      </c>
      <c r="G363" s="60" t="s">
        <v>333</v>
      </c>
      <c r="H363" s="60" t="s">
        <v>326</v>
      </c>
      <c r="I363" s="60" t="b">
        <v>0</v>
      </c>
      <c r="J363" s="60">
        <v>98</v>
      </c>
      <c r="K363" s="60">
        <v>159.44999999999999</v>
      </c>
      <c r="L363" s="61">
        <v>5854000</v>
      </c>
      <c r="M363" s="61">
        <v>1.777882835281353E+18</v>
      </c>
      <c r="N363" s="60" t="s">
        <v>565</v>
      </c>
      <c r="O363" s="60"/>
    </row>
    <row r="364" spans="1:15">
      <c r="A364" s="60"/>
      <c r="B364" s="60" t="s">
        <v>155</v>
      </c>
      <c r="C364" s="60" t="s">
        <v>566</v>
      </c>
      <c r="D364" s="60" t="s">
        <v>563</v>
      </c>
      <c r="E364" s="60" t="s">
        <v>275</v>
      </c>
      <c r="F364" s="60" t="s">
        <v>276</v>
      </c>
      <c r="G364" s="60" t="s">
        <v>276</v>
      </c>
      <c r="H364" s="60" t="s">
        <v>277</v>
      </c>
      <c r="I364" s="60" t="b">
        <v>0</v>
      </c>
      <c r="J364" s="60">
        <v>17</v>
      </c>
      <c r="K364" s="60">
        <v>1375</v>
      </c>
      <c r="L364" s="61">
        <v>408376134</v>
      </c>
      <c r="M364" s="61">
        <v>1200000088766497</v>
      </c>
      <c r="N364" s="60" t="s">
        <v>567</v>
      </c>
      <c r="O364" s="60"/>
    </row>
    <row r="365" spans="1:15">
      <c r="A365" s="60"/>
      <c r="B365" s="60" t="s">
        <v>155</v>
      </c>
      <c r="C365" s="60" t="s">
        <v>566</v>
      </c>
      <c r="D365" s="60" t="s">
        <v>563</v>
      </c>
      <c r="E365" s="60" t="s">
        <v>275</v>
      </c>
      <c r="F365" s="60" t="s">
        <v>276</v>
      </c>
      <c r="G365" s="60" t="s">
        <v>276</v>
      </c>
      <c r="H365" s="60" t="s">
        <v>277</v>
      </c>
      <c r="I365" s="60" t="b">
        <v>0</v>
      </c>
      <c r="J365" s="60">
        <v>37</v>
      </c>
      <c r="K365" s="60">
        <v>1375</v>
      </c>
      <c r="L365" s="61">
        <v>408376133</v>
      </c>
      <c r="M365" s="61">
        <v>1200000088766497</v>
      </c>
      <c r="N365" s="60" t="s">
        <v>567</v>
      </c>
      <c r="O365" s="60"/>
    </row>
    <row r="366" spans="1:15">
      <c r="A366" s="60"/>
      <c r="B366" s="60" t="s">
        <v>180</v>
      </c>
      <c r="C366" s="60" t="s">
        <v>568</v>
      </c>
      <c r="D366" s="60" t="s">
        <v>563</v>
      </c>
      <c r="E366" s="60" t="s">
        <v>275</v>
      </c>
      <c r="F366" s="60" t="s">
        <v>276</v>
      </c>
      <c r="G366" s="60" t="s">
        <v>276</v>
      </c>
      <c r="H366" s="60" t="s">
        <v>277</v>
      </c>
      <c r="I366" s="60" t="b">
        <v>0</v>
      </c>
      <c r="J366" s="60">
        <v>3</v>
      </c>
      <c r="K366" s="60">
        <v>293.85000000000002</v>
      </c>
      <c r="L366" s="61">
        <v>8522751</v>
      </c>
      <c r="M366" s="61">
        <v>1000000085710219</v>
      </c>
      <c r="N366" s="60" t="s">
        <v>569</v>
      </c>
      <c r="O366" s="60"/>
    </row>
    <row r="367" spans="1:15">
      <c r="A367" s="60"/>
      <c r="B367" s="60" t="s">
        <v>180</v>
      </c>
      <c r="C367" s="60" t="s">
        <v>568</v>
      </c>
      <c r="D367" s="60" t="s">
        <v>563</v>
      </c>
      <c r="E367" s="60" t="s">
        <v>275</v>
      </c>
      <c r="F367" s="60" t="s">
        <v>276</v>
      </c>
      <c r="G367" s="60" t="s">
        <v>276</v>
      </c>
      <c r="H367" s="60" t="s">
        <v>277</v>
      </c>
      <c r="I367" s="60" t="b">
        <v>0</v>
      </c>
      <c r="J367" s="60">
        <v>72</v>
      </c>
      <c r="K367" s="60">
        <v>293.85000000000002</v>
      </c>
      <c r="L367" s="61">
        <v>8522752</v>
      </c>
      <c r="M367" s="61">
        <v>1000000085710219</v>
      </c>
      <c r="N367" s="60" t="s">
        <v>569</v>
      </c>
      <c r="O367" s="60"/>
    </row>
    <row r="368" spans="1:15">
      <c r="A368" s="60"/>
      <c r="B368" s="60" t="s">
        <v>180</v>
      </c>
      <c r="C368" s="60" t="s">
        <v>568</v>
      </c>
      <c r="D368" s="60" t="s">
        <v>563</v>
      </c>
      <c r="E368" s="60" t="s">
        <v>275</v>
      </c>
      <c r="F368" s="60" t="s">
        <v>276</v>
      </c>
      <c r="G368" s="60" t="s">
        <v>276</v>
      </c>
      <c r="H368" s="60" t="s">
        <v>277</v>
      </c>
      <c r="I368" s="60" t="b">
        <v>0</v>
      </c>
      <c r="J368" s="60">
        <v>96</v>
      </c>
      <c r="K368" s="60">
        <v>293.85000000000002</v>
      </c>
      <c r="L368" s="61">
        <v>8522750</v>
      </c>
      <c r="M368" s="61">
        <v>1000000085710219</v>
      </c>
      <c r="N368" s="60" t="s">
        <v>569</v>
      </c>
      <c r="O368" s="60"/>
    </row>
    <row r="369" spans="1:15">
      <c r="A369" s="60"/>
      <c r="B369" s="60" t="s">
        <v>570</v>
      </c>
      <c r="C369" s="60" t="s">
        <v>571</v>
      </c>
      <c r="D369" s="60" t="s">
        <v>572</v>
      </c>
      <c r="E369" s="60" t="s">
        <v>275</v>
      </c>
      <c r="F369" s="60" t="s">
        <v>276</v>
      </c>
      <c r="G369" s="60" t="s">
        <v>276</v>
      </c>
      <c r="H369" s="60" t="s">
        <v>277</v>
      </c>
      <c r="I369" s="60" t="b">
        <v>0</v>
      </c>
      <c r="J369" s="60">
        <v>10</v>
      </c>
      <c r="K369" s="60">
        <v>10033</v>
      </c>
      <c r="L369" s="61">
        <v>607637537</v>
      </c>
      <c r="M369" s="61">
        <v>1300000082781863</v>
      </c>
      <c r="N369" s="60" t="s">
        <v>573</v>
      </c>
      <c r="O369" s="60"/>
    </row>
    <row r="370" spans="1:15">
      <c r="A370" s="60"/>
      <c r="B370" s="60" t="s">
        <v>570</v>
      </c>
      <c r="C370" s="60" t="s">
        <v>571</v>
      </c>
      <c r="D370" s="60" t="s">
        <v>574</v>
      </c>
      <c r="E370" s="60" t="s">
        <v>275</v>
      </c>
      <c r="F370" s="60" t="s">
        <v>276</v>
      </c>
      <c r="G370" s="60" t="s">
        <v>276</v>
      </c>
      <c r="H370" s="60" t="s">
        <v>326</v>
      </c>
      <c r="I370" s="60" t="b">
        <v>0</v>
      </c>
      <c r="J370" s="60">
        <v>10</v>
      </c>
      <c r="K370" s="60">
        <v>9901</v>
      </c>
      <c r="L370" s="61">
        <v>600356889</v>
      </c>
      <c r="M370" s="61">
        <v>1300000002487452</v>
      </c>
      <c r="N370" s="60" t="s">
        <v>575</v>
      </c>
      <c r="O370" s="60"/>
    </row>
    <row r="371" spans="1:15">
      <c r="A371" s="60"/>
      <c r="B371" s="60" t="s">
        <v>302</v>
      </c>
      <c r="C371" s="60" t="s">
        <v>303</v>
      </c>
      <c r="D371" s="60" t="s">
        <v>574</v>
      </c>
      <c r="E371" s="60" t="s">
        <v>275</v>
      </c>
      <c r="F371" s="60" t="s">
        <v>276</v>
      </c>
      <c r="G371" s="60" t="s">
        <v>276</v>
      </c>
      <c r="H371" s="60" t="s">
        <v>326</v>
      </c>
      <c r="I371" s="60" t="b">
        <v>0</v>
      </c>
      <c r="J371" s="60">
        <v>71</v>
      </c>
      <c r="K371" s="60">
        <v>1091.8</v>
      </c>
      <c r="L371" s="61">
        <v>601225185</v>
      </c>
      <c r="M371" s="61">
        <v>1300000010227980</v>
      </c>
      <c r="N371" s="60" t="s">
        <v>576</v>
      </c>
      <c r="O371" s="60"/>
    </row>
    <row r="372" spans="1:15">
      <c r="A372" s="60"/>
      <c r="B372" s="60" t="s">
        <v>505</v>
      </c>
      <c r="C372" s="60" t="s">
        <v>506</v>
      </c>
      <c r="D372" s="60" t="s">
        <v>574</v>
      </c>
      <c r="E372" s="60" t="s">
        <v>332</v>
      </c>
      <c r="F372" s="60" t="s">
        <v>276</v>
      </c>
      <c r="G372" s="60" t="s">
        <v>333</v>
      </c>
      <c r="H372" s="60" t="s">
        <v>277</v>
      </c>
      <c r="I372" s="60" t="b">
        <v>0</v>
      </c>
      <c r="J372" s="60">
        <v>1</v>
      </c>
      <c r="K372" s="60">
        <v>1159.9000000000001</v>
      </c>
      <c r="L372" s="61">
        <v>2757900</v>
      </c>
      <c r="M372" s="61">
        <v>1.7780382000158469E+18</v>
      </c>
      <c r="N372" s="60" t="s">
        <v>577</v>
      </c>
      <c r="O372" s="60"/>
    </row>
    <row r="373" spans="1:15">
      <c r="A373" s="60"/>
      <c r="B373" s="60" t="s">
        <v>505</v>
      </c>
      <c r="C373" s="60" t="s">
        <v>506</v>
      </c>
      <c r="D373" s="60" t="s">
        <v>574</v>
      </c>
      <c r="E373" s="60" t="s">
        <v>332</v>
      </c>
      <c r="F373" s="60" t="s">
        <v>276</v>
      </c>
      <c r="G373" s="60" t="s">
        <v>333</v>
      </c>
      <c r="H373" s="60" t="s">
        <v>277</v>
      </c>
      <c r="I373" s="60" t="b">
        <v>0</v>
      </c>
      <c r="J373" s="60">
        <v>12</v>
      </c>
      <c r="K373" s="60">
        <v>1160</v>
      </c>
      <c r="L373" s="61">
        <v>2758100</v>
      </c>
      <c r="M373" s="61">
        <v>1.7780382000158469E+18</v>
      </c>
      <c r="N373" s="60" t="s">
        <v>577</v>
      </c>
      <c r="O373" s="60"/>
    </row>
    <row r="374" spans="1:15">
      <c r="A374" s="60"/>
      <c r="B374" s="60" t="s">
        <v>505</v>
      </c>
      <c r="C374" s="60" t="s">
        <v>506</v>
      </c>
      <c r="D374" s="60" t="s">
        <v>574</v>
      </c>
      <c r="E374" s="60" t="s">
        <v>332</v>
      </c>
      <c r="F374" s="60" t="s">
        <v>276</v>
      </c>
      <c r="G374" s="60" t="s">
        <v>333</v>
      </c>
      <c r="H374" s="60" t="s">
        <v>277</v>
      </c>
      <c r="I374" s="60" t="b">
        <v>0</v>
      </c>
      <c r="J374" s="60">
        <v>3</v>
      </c>
      <c r="K374" s="60">
        <v>1159.6500000000001</v>
      </c>
      <c r="L374" s="61">
        <v>2757400</v>
      </c>
      <c r="M374" s="61">
        <v>1.7780382000158469E+18</v>
      </c>
      <c r="N374" s="60" t="s">
        <v>577</v>
      </c>
      <c r="O374" s="60"/>
    </row>
    <row r="375" spans="1:15">
      <c r="A375" s="60"/>
      <c r="B375" s="60" t="s">
        <v>505</v>
      </c>
      <c r="C375" s="60" t="s">
        <v>506</v>
      </c>
      <c r="D375" s="60" t="s">
        <v>574</v>
      </c>
      <c r="E375" s="60" t="s">
        <v>332</v>
      </c>
      <c r="F375" s="60" t="s">
        <v>276</v>
      </c>
      <c r="G375" s="60" t="s">
        <v>333</v>
      </c>
      <c r="H375" s="60" t="s">
        <v>277</v>
      </c>
      <c r="I375" s="60" t="b">
        <v>0</v>
      </c>
      <c r="J375" s="60">
        <v>49</v>
      </c>
      <c r="K375" s="60">
        <v>1159.7</v>
      </c>
      <c r="L375" s="61">
        <v>2757700</v>
      </c>
      <c r="M375" s="61">
        <v>1.7780382000158469E+18</v>
      </c>
      <c r="N375" s="60" t="s">
        <v>577</v>
      </c>
      <c r="O375" s="60"/>
    </row>
    <row r="376" spans="1:15">
      <c r="A376" s="60"/>
      <c r="B376" s="60" t="s">
        <v>468</v>
      </c>
      <c r="C376" s="60" t="s">
        <v>469</v>
      </c>
      <c r="D376" s="60" t="s">
        <v>578</v>
      </c>
      <c r="E376" s="60" t="s">
        <v>332</v>
      </c>
      <c r="F376" s="60" t="s">
        <v>276</v>
      </c>
      <c r="G376" s="60" t="s">
        <v>333</v>
      </c>
      <c r="H376" s="60" t="s">
        <v>277</v>
      </c>
      <c r="I376" s="60" t="b">
        <v>0</v>
      </c>
      <c r="J376" s="60">
        <v>204</v>
      </c>
      <c r="K376" s="60">
        <v>84.04</v>
      </c>
      <c r="L376" s="61">
        <v>16785300</v>
      </c>
      <c r="M376" s="61">
        <v>1.7782300901514481E+18</v>
      </c>
      <c r="N376" s="60" t="s">
        <v>579</v>
      </c>
      <c r="O376" s="60"/>
    </row>
    <row r="377" spans="1:15">
      <c r="A377" s="60"/>
      <c r="B377" s="60" t="s">
        <v>468</v>
      </c>
      <c r="C377" s="60" t="s">
        <v>469</v>
      </c>
      <c r="D377" s="60" t="s">
        <v>578</v>
      </c>
      <c r="E377" s="60" t="s">
        <v>332</v>
      </c>
      <c r="F377" s="60" t="s">
        <v>276</v>
      </c>
      <c r="G377" s="60" t="s">
        <v>333</v>
      </c>
      <c r="H377" s="60" t="s">
        <v>277</v>
      </c>
      <c r="I377" s="60" t="b">
        <v>0</v>
      </c>
      <c r="J377" s="60">
        <v>391</v>
      </c>
      <c r="K377" s="60">
        <v>84.05</v>
      </c>
      <c r="L377" s="61">
        <v>16785600</v>
      </c>
      <c r="M377" s="61">
        <v>1.7782300901514481E+18</v>
      </c>
      <c r="N377" s="60" t="s">
        <v>579</v>
      </c>
      <c r="O377" s="60"/>
    </row>
    <row r="378" spans="1:15">
      <c r="A378" s="60"/>
      <c r="B378" s="60" t="s">
        <v>169</v>
      </c>
      <c r="C378" s="60" t="s">
        <v>308</v>
      </c>
      <c r="D378" s="60" t="s">
        <v>578</v>
      </c>
      <c r="E378" s="60" t="s">
        <v>275</v>
      </c>
      <c r="F378" s="60" t="s">
        <v>276</v>
      </c>
      <c r="G378" s="60" t="s">
        <v>276</v>
      </c>
      <c r="H378" s="60" t="s">
        <v>277</v>
      </c>
      <c r="I378" s="60" t="b">
        <v>0</v>
      </c>
      <c r="J378" s="60">
        <v>17</v>
      </c>
      <c r="K378" s="60">
        <v>870.95</v>
      </c>
      <c r="L378" s="61">
        <v>7993096</v>
      </c>
      <c r="M378" s="61">
        <v>1000000080642240</v>
      </c>
      <c r="N378" s="60" t="s">
        <v>580</v>
      </c>
      <c r="O378" s="60"/>
    </row>
    <row r="379" spans="1:15">
      <c r="A379" s="60"/>
      <c r="B379" s="60" t="s">
        <v>169</v>
      </c>
      <c r="C379" s="60" t="s">
        <v>308</v>
      </c>
      <c r="D379" s="60" t="s">
        <v>578</v>
      </c>
      <c r="E379" s="60" t="s">
        <v>275</v>
      </c>
      <c r="F379" s="60" t="s">
        <v>276</v>
      </c>
      <c r="G379" s="60" t="s">
        <v>276</v>
      </c>
      <c r="H379" s="60" t="s">
        <v>277</v>
      </c>
      <c r="I379" s="60" t="b">
        <v>0</v>
      </c>
      <c r="J379" s="60">
        <v>18</v>
      </c>
      <c r="K379" s="60">
        <v>870.95</v>
      </c>
      <c r="L379" s="61">
        <v>7993097</v>
      </c>
      <c r="M379" s="61">
        <v>1000000080642240</v>
      </c>
      <c r="N379" s="60" t="s">
        <v>580</v>
      </c>
      <c r="O379" s="60"/>
    </row>
    <row r="380" spans="1:15">
      <c r="A380" s="60"/>
      <c r="B380" s="60" t="s">
        <v>169</v>
      </c>
      <c r="C380" s="60" t="s">
        <v>308</v>
      </c>
      <c r="D380" s="60" t="s">
        <v>578</v>
      </c>
      <c r="E380" s="60" t="s">
        <v>275</v>
      </c>
      <c r="F380" s="60" t="s">
        <v>276</v>
      </c>
      <c r="G380" s="60" t="s">
        <v>276</v>
      </c>
      <c r="H380" s="60" t="s">
        <v>277</v>
      </c>
      <c r="I380" s="60" t="b">
        <v>0</v>
      </c>
      <c r="J380" s="60">
        <v>22</v>
      </c>
      <c r="K380" s="60">
        <v>870.95</v>
      </c>
      <c r="L380" s="61">
        <v>7993098</v>
      </c>
      <c r="M380" s="61">
        <v>1000000080642240</v>
      </c>
      <c r="N380" s="60" t="s">
        <v>580</v>
      </c>
      <c r="O380" s="60"/>
    </row>
    <row r="381" spans="1:15">
      <c r="A381" s="60"/>
      <c r="B381" s="60" t="s">
        <v>468</v>
      </c>
      <c r="C381" s="60" t="s">
        <v>469</v>
      </c>
      <c r="D381" s="60" t="s">
        <v>578</v>
      </c>
      <c r="E381" s="60" t="s">
        <v>332</v>
      </c>
      <c r="F381" s="60" t="s">
        <v>276</v>
      </c>
      <c r="G381" s="60" t="s">
        <v>333</v>
      </c>
      <c r="H381" s="60" t="s">
        <v>326</v>
      </c>
      <c r="I381" s="60" t="b">
        <v>0</v>
      </c>
      <c r="J381" s="60">
        <v>535</v>
      </c>
      <c r="K381" s="60">
        <v>83.95</v>
      </c>
      <c r="L381" s="61">
        <v>16855200</v>
      </c>
      <c r="M381" s="61">
        <v>1.7782300901514501E+18</v>
      </c>
      <c r="N381" s="60" t="s">
        <v>581</v>
      </c>
      <c r="O381" s="60"/>
    </row>
    <row r="382" spans="1:15">
      <c r="A382" s="60"/>
      <c r="B382" s="60" t="s">
        <v>468</v>
      </c>
      <c r="C382" s="60" t="s">
        <v>469</v>
      </c>
      <c r="D382" s="60" t="s">
        <v>578</v>
      </c>
      <c r="E382" s="60" t="s">
        <v>332</v>
      </c>
      <c r="F382" s="60" t="s">
        <v>276</v>
      </c>
      <c r="G382" s="60" t="s">
        <v>333</v>
      </c>
      <c r="H382" s="60" t="s">
        <v>326</v>
      </c>
      <c r="I382" s="60" t="b">
        <v>0</v>
      </c>
      <c r="J382" s="60">
        <v>60</v>
      </c>
      <c r="K382" s="60">
        <v>83.96</v>
      </c>
      <c r="L382" s="61">
        <v>16854900</v>
      </c>
      <c r="M382" s="61">
        <v>1.7782300901514501E+18</v>
      </c>
      <c r="N382" s="60" t="s">
        <v>581</v>
      </c>
      <c r="O382" s="60"/>
    </row>
    <row r="383" spans="1:15">
      <c r="A383" s="60"/>
      <c r="B383" s="60" t="s">
        <v>543</v>
      </c>
      <c r="C383" s="60" t="s">
        <v>544</v>
      </c>
      <c r="D383" s="60" t="s">
        <v>574</v>
      </c>
      <c r="E383" s="60" t="s">
        <v>332</v>
      </c>
      <c r="F383" s="60" t="s">
        <v>276</v>
      </c>
      <c r="G383" s="60" t="s">
        <v>333</v>
      </c>
      <c r="H383" s="60" t="s">
        <v>277</v>
      </c>
      <c r="I383" s="60" t="b">
        <v>0</v>
      </c>
      <c r="J383" s="60">
        <v>1</v>
      </c>
      <c r="K383" s="60">
        <v>4534.5</v>
      </c>
      <c r="L383" s="61">
        <v>2301600</v>
      </c>
      <c r="M383" s="61">
        <v>1.7780382000125921E+18</v>
      </c>
      <c r="N383" s="60" t="s">
        <v>582</v>
      </c>
      <c r="O383" s="60"/>
    </row>
    <row r="384" spans="1:15">
      <c r="A384" s="60"/>
      <c r="B384" s="60" t="s">
        <v>543</v>
      </c>
      <c r="C384" s="60" t="s">
        <v>544</v>
      </c>
      <c r="D384" s="60" t="s">
        <v>574</v>
      </c>
      <c r="E384" s="60" t="s">
        <v>332</v>
      </c>
      <c r="F384" s="60" t="s">
        <v>276</v>
      </c>
      <c r="G384" s="60" t="s">
        <v>333</v>
      </c>
      <c r="H384" s="60" t="s">
        <v>277</v>
      </c>
      <c r="I384" s="60" t="b">
        <v>0</v>
      </c>
      <c r="J384" s="60">
        <v>1</v>
      </c>
      <c r="K384" s="60">
        <v>4534.7997999999998</v>
      </c>
      <c r="L384" s="61">
        <v>2302000</v>
      </c>
      <c r="M384" s="61">
        <v>1.7780382000125921E+18</v>
      </c>
      <c r="N384" s="60" t="s">
        <v>582</v>
      </c>
      <c r="O384" s="60"/>
    </row>
    <row r="385" spans="1:15">
      <c r="A385" s="60"/>
      <c r="B385" s="60" t="s">
        <v>543</v>
      </c>
      <c r="C385" s="60" t="s">
        <v>544</v>
      </c>
      <c r="D385" s="60" t="s">
        <v>574</v>
      </c>
      <c r="E385" s="60" t="s">
        <v>332</v>
      </c>
      <c r="F385" s="60" t="s">
        <v>276</v>
      </c>
      <c r="G385" s="60" t="s">
        <v>333</v>
      </c>
      <c r="H385" s="60" t="s">
        <v>277</v>
      </c>
      <c r="I385" s="60" t="b">
        <v>0</v>
      </c>
      <c r="J385" s="60">
        <v>5</v>
      </c>
      <c r="K385" s="60">
        <v>4534.7002000000002</v>
      </c>
      <c r="L385" s="61">
        <v>2301800</v>
      </c>
      <c r="M385" s="61">
        <v>1.7780382000125921E+18</v>
      </c>
      <c r="N385" s="60" t="s">
        <v>582</v>
      </c>
      <c r="O385" s="60"/>
    </row>
    <row r="386" spans="1:15">
      <c r="A386" s="60"/>
      <c r="B386" s="60" t="s">
        <v>543</v>
      </c>
      <c r="C386" s="60" t="s">
        <v>544</v>
      </c>
      <c r="D386" s="60" t="s">
        <v>574</v>
      </c>
      <c r="E386" s="60" t="s">
        <v>332</v>
      </c>
      <c r="F386" s="60" t="s">
        <v>276</v>
      </c>
      <c r="G386" s="60" t="s">
        <v>333</v>
      </c>
      <c r="H386" s="60" t="s">
        <v>277</v>
      </c>
      <c r="I386" s="60" t="b">
        <v>0</v>
      </c>
      <c r="J386" s="60">
        <v>6</v>
      </c>
      <c r="K386" s="60">
        <v>4534.4502000000002</v>
      </c>
      <c r="L386" s="61">
        <v>2301400</v>
      </c>
      <c r="M386" s="61">
        <v>1.7780382000125921E+18</v>
      </c>
      <c r="N386" s="60" t="s">
        <v>582</v>
      </c>
      <c r="O386" s="60"/>
    </row>
    <row r="387" spans="1:15">
      <c r="A387" s="60"/>
      <c r="B387" s="60" t="s">
        <v>543</v>
      </c>
      <c r="C387" s="60" t="s">
        <v>544</v>
      </c>
      <c r="D387" s="60" t="s">
        <v>574</v>
      </c>
      <c r="E387" s="60" t="s">
        <v>332</v>
      </c>
      <c r="F387" s="60" t="s">
        <v>276</v>
      </c>
      <c r="G387" s="60" t="s">
        <v>333</v>
      </c>
      <c r="H387" s="60" t="s">
        <v>277</v>
      </c>
      <c r="I387" s="60" t="b">
        <v>0</v>
      </c>
      <c r="J387" s="60">
        <v>9</v>
      </c>
      <c r="K387" s="60">
        <v>4535</v>
      </c>
      <c r="L387" s="61">
        <v>2302200</v>
      </c>
      <c r="M387" s="61">
        <v>1.7780382000125921E+18</v>
      </c>
      <c r="N387" s="60" t="s">
        <v>582</v>
      </c>
      <c r="O387" s="60"/>
    </row>
    <row r="388" spans="1:15">
      <c r="A388" s="60"/>
      <c r="B388" s="60" t="s">
        <v>484</v>
      </c>
      <c r="C388" s="60" t="s">
        <v>485</v>
      </c>
      <c r="D388" s="60" t="s">
        <v>583</v>
      </c>
      <c r="E388" s="60" t="s">
        <v>332</v>
      </c>
      <c r="F388" s="60" t="s">
        <v>276</v>
      </c>
      <c r="G388" s="60" t="s">
        <v>333</v>
      </c>
      <c r="H388" s="60" t="s">
        <v>326</v>
      </c>
      <c r="I388" s="60" t="b">
        <v>0</v>
      </c>
      <c r="J388" s="60">
        <v>222</v>
      </c>
      <c r="K388" s="60">
        <v>425.25</v>
      </c>
      <c r="L388" s="61">
        <v>19706700</v>
      </c>
      <c r="M388" s="61">
        <v>1.7788293053555899E+18</v>
      </c>
      <c r="N388" s="60" t="s">
        <v>584</v>
      </c>
      <c r="O388" s="60"/>
    </row>
    <row r="389" spans="1:15">
      <c r="A389" s="60"/>
      <c r="B389" s="60" t="s">
        <v>557</v>
      </c>
      <c r="C389" s="60" t="s">
        <v>558</v>
      </c>
      <c r="D389" s="60" t="s">
        <v>583</v>
      </c>
      <c r="E389" s="60" t="s">
        <v>332</v>
      </c>
      <c r="F389" s="60" t="s">
        <v>276</v>
      </c>
      <c r="G389" s="60" t="s">
        <v>333</v>
      </c>
      <c r="H389" s="60" t="s">
        <v>326</v>
      </c>
      <c r="I389" s="60" t="b">
        <v>0</v>
      </c>
      <c r="J389" s="60">
        <v>1</v>
      </c>
      <c r="K389" s="60">
        <v>2505.8501000000001</v>
      </c>
      <c r="L389" s="61">
        <v>8437100</v>
      </c>
      <c r="M389" s="61">
        <v>1.7788291752655501E+18</v>
      </c>
      <c r="N389" s="60" t="s">
        <v>585</v>
      </c>
      <c r="O389" s="60"/>
    </row>
    <row r="390" spans="1:15">
      <c r="A390" s="60"/>
      <c r="B390" s="60" t="s">
        <v>557</v>
      </c>
      <c r="C390" s="60" t="s">
        <v>558</v>
      </c>
      <c r="D390" s="60" t="s">
        <v>583</v>
      </c>
      <c r="E390" s="60" t="s">
        <v>332</v>
      </c>
      <c r="F390" s="60" t="s">
        <v>276</v>
      </c>
      <c r="G390" s="60" t="s">
        <v>333</v>
      </c>
      <c r="H390" s="60" t="s">
        <v>326</v>
      </c>
      <c r="I390" s="60" t="b">
        <v>0</v>
      </c>
      <c r="J390" s="60">
        <v>18</v>
      </c>
      <c r="K390" s="60">
        <v>2505.8998999999999</v>
      </c>
      <c r="L390" s="61">
        <v>8436900</v>
      </c>
      <c r="M390" s="61">
        <v>1.7788291752655501E+18</v>
      </c>
      <c r="N390" s="60" t="s">
        <v>585</v>
      </c>
      <c r="O390" s="60"/>
    </row>
    <row r="391" spans="1:15">
      <c r="A391" s="60"/>
      <c r="B391" s="60" t="s">
        <v>388</v>
      </c>
      <c r="C391" s="60" t="s">
        <v>389</v>
      </c>
      <c r="D391" s="60" t="s">
        <v>583</v>
      </c>
      <c r="E391" s="60" t="s">
        <v>275</v>
      </c>
      <c r="F391" s="60" t="s">
        <v>276</v>
      </c>
      <c r="G391" s="60" t="s">
        <v>276</v>
      </c>
      <c r="H391" s="60" t="s">
        <v>326</v>
      </c>
      <c r="I391" s="60" t="b">
        <v>0</v>
      </c>
      <c r="J391" s="60">
        <v>139</v>
      </c>
      <c r="K391" s="60">
        <v>970.2</v>
      </c>
      <c r="L391" s="61">
        <v>607127058</v>
      </c>
      <c r="M391" s="61">
        <v>1300000075009446</v>
      </c>
      <c r="N391" s="60" t="s">
        <v>586</v>
      </c>
      <c r="O391" s="60"/>
    </row>
    <row r="392" spans="1:15">
      <c r="A392" s="60"/>
      <c r="B392" s="60" t="s">
        <v>388</v>
      </c>
      <c r="C392" s="60" t="s">
        <v>389</v>
      </c>
      <c r="D392" s="60" t="s">
        <v>583</v>
      </c>
      <c r="E392" s="60" t="s">
        <v>275</v>
      </c>
      <c r="F392" s="60" t="s">
        <v>276</v>
      </c>
      <c r="G392" s="60" t="s">
        <v>276</v>
      </c>
      <c r="H392" s="60" t="s">
        <v>326</v>
      </c>
      <c r="I392" s="60" t="b">
        <v>0</v>
      </c>
      <c r="J392" s="60">
        <v>139</v>
      </c>
      <c r="K392" s="60">
        <v>970.4</v>
      </c>
      <c r="L392" s="61">
        <v>607127057</v>
      </c>
      <c r="M392" s="61">
        <v>1300000075009446</v>
      </c>
      <c r="N392" s="60" t="s">
        <v>586</v>
      </c>
      <c r="O392" s="60"/>
    </row>
    <row r="393" spans="1:15">
      <c r="A393" s="60"/>
      <c r="B393" s="60" t="s">
        <v>520</v>
      </c>
      <c r="C393" s="60" t="s">
        <v>521</v>
      </c>
      <c r="D393" s="60" t="s">
        <v>583</v>
      </c>
      <c r="E393" s="60" t="s">
        <v>275</v>
      </c>
      <c r="F393" s="60" t="s">
        <v>276</v>
      </c>
      <c r="G393" s="60" t="s">
        <v>276</v>
      </c>
      <c r="H393" s="60" t="s">
        <v>326</v>
      </c>
      <c r="I393" s="60" t="b">
        <v>0</v>
      </c>
      <c r="J393" s="60">
        <v>80</v>
      </c>
      <c r="K393" s="60">
        <v>304.10000000000002</v>
      </c>
      <c r="L393" s="61">
        <v>607151187</v>
      </c>
      <c r="M393" s="61">
        <v>1300000075257931</v>
      </c>
      <c r="N393" s="60" t="s">
        <v>587</v>
      </c>
      <c r="O393" s="60"/>
    </row>
    <row r="394" spans="1:15">
      <c r="A394" s="60"/>
      <c r="B394" s="60" t="s">
        <v>375</v>
      </c>
      <c r="C394" s="60" t="s">
        <v>376</v>
      </c>
      <c r="D394" s="60" t="s">
        <v>583</v>
      </c>
      <c r="E394" s="60" t="s">
        <v>275</v>
      </c>
      <c r="F394" s="60" t="s">
        <v>276</v>
      </c>
      <c r="G394" s="60" t="s">
        <v>276</v>
      </c>
      <c r="H394" s="60" t="s">
        <v>326</v>
      </c>
      <c r="I394" s="60" t="b">
        <v>0</v>
      </c>
      <c r="J394" s="60">
        <v>100</v>
      </c>
      <c r="K394" s="60">
        <v>367</v>
      </c>
      <c r="L394" s="61">
        <v>206749723</v>
      </c>
      <c r="M394" s="61">
        <v>1100000069714916</v>
      </c>
      <c r="N394" s="60" t="s">
        <v>588</v>
      </c>
      <c r="O394" s="60"/>
    </row>
    <row r="395" spans="1:15">
      <c r="A395" s="60"/>
      <c r="B395" s="60" t="s">
        <v>375</v>
      </c>
      <c r="C395" s="60" t="s">
        <v>376</v>
      </c>
      <c r="D395" s="60" t="s">
        <v>583</v>
      </c>
      <c r="E395" s="60" t="s">
        <v>275</v>
      </c>
      <c r="F395" s="60" t="s">
        <v>276</v>
      </c>
      <c r="G395" s="60" t="s">
        <v>276</v>
      </c>
      <c r="H395" s="60" t="s">
        <v>326</v>
      </c>
      <c r="I395" s="60" t="b">
        <v>0</v>
      </c>
      <c r="J395" s="60">
        <v>41</v>
      </c>
      <c r="K395" s="60">
        <v>367</v>
      </c>
      <c r="L395" s="61">
        <v>206749724</v>
      </c>
      <c r="M395" s="61">
        <v>1100000069714916</v>
      </c>
      <c r="N395" s="60" t="s">
        <v>588</v>
      </c>
      <c r="O395" s="60"/>
    </row>
    <row r="396" spans="1:15">
      <c r="A396" s="60"/>
      <c r="B396" s="60" t="s">
        <v>375</v>
      </c>
      <c r="C396" s="60" t="s">
        <v>376</v>
      </c>
      <c r="D396" s="60" t="s">
        <v>583</v>
      </c>
      <c r="E396" s="60" t="s">
        <v>275</v>
      </c>
      <c r="F396" s="60" t="s">
        <v>276</v>
      </c>
      <c r="G396" s="60" t="s">
        <v>276</v>
      </c>
      <c r="H396" s="60" t="s">
        <v>326</v>
      </c>
      <c r="I396" s="60" t="b">
        <v>0</v>
      </c>
      <c r="J396" s="60">
        <v>64</v>
      </c>
      <c r="K396" s="60">
        <v>367</v>
      </c>
      <c r="L396" s="61">
        <v>206749722</v>
      </c>
      <c r="M396" s="61">
        <v>1100000069714916</v>
      </c>
      <c r="N396" s="60" t="s">
        <v>588</v>
      </c>
      <c r="O396" s="60"/>
    </row>
    <row r="397" spans="1:15">
      <c r="A397" s="60"/>
      <c r="B397" s="60" t="s">
        <v>385</v>
      </c>
      <c r="C397" s="60" t="s">
        <v>386</v>
      </c>
      <c r="D397" s="60" t="s">
        <v>583</v>
      </c>
      <c r="E397" s="60" t="s">
        <v>275</v>
      </c>
      <c r="F397" s="60" t="s">
        <v>276</v>
      </c>
      <c r="G397" s="60" t="s">
        <v>276</v>
      </c>
      <c r="H397" s="60" t="s">
        <v>326</v>
      </c>
      <c r="I397" s="60" t="b">
        <v>0</v>
      </c>
      <c r="J397" s="60">
        <v>49</v>
      </c>
      <c r="K397" s="60">
        <v>136.25</v>
      </c>
      <c r="L397" s="61">
        <v>206751108</v>
      </c>
      <c r="M397" s="61">
        <v>1100000069734612</v>
      </c>
      <c r="N397" s="60" t="s">
        <v>589</v>
      </c>
      <c r="O397" s="60"/>
    </row>
    <row r="398" spans="1:15">
      <c r="A398" s="60"/>
      <c r="B398" s="60" t="s">
        <v>385</v>
      </c>
      <c r="C398" s="60" t="s">
        <v>386</v>
      </c>
      <c r="D398" s="60" t="s">
        <v>583</v>
      </c>
      <c r="E398" s="60" t="s">
        <v>275</v>
      </c>
      <c r="F398" s="60" t="s">
        <v>276</v>
      </c>
      <c r="G398" s="60" t="s">
        <v>276</v>
      </c>
      <c r="H398" s="60" t="s">
        <v>326</v>
      </c>
      <c r="I398" s="60" t="b">
        <v>0</v>
      </c>
      <c r="J398" s="60">
        <v>201</v>
      </c>
      <c r="K398" s="60">
        <v>136.25</v>
      </c>
      <c r="L398" s="61">
        <v>206751110</v>
      </c>
      <c r="M398" s="61">
        <v>1100000069734612</v>
      </c>
      <c r="N398" s="60" t="s">
        <v>589</v>
      </c>
      <c r="O398" s="60"/>
    </row>
    <row r="399" spans="1:15">
      <c r="A399" s="60"/>
      <c r="B399" s="60" t="s">
        <v>385</v>
      </c>
      <c r="C399" s="60" t="s">
        <v>386</v>
      </c>
      <c r="D399" s="60" t="s">
        <v>583</v>
      </c>
      <c r="E399" s="60" t="s">
        <v>275</v>
      </c>
      <c r="F399" s="60" t="s">
        <v>276</v>
      </c>
      <c r="G399" s="60" t="s">
        <v>276</v>
      </c>
      <c r="H399" s="60" t="s">
        <v>326</v>
      </c>
      <c r="I399" s="60" t="b">
        <v>0</v>
      </c>
      <c r="J399" s="60">
        <v>33</v>
      </c>
      <c r="K399" s="60">
        <v>136.25</v>
      </c>
      <c r="L399" s="61">
        <v>206751111</v>
      </c>
      <c r="M399" s="61">
        <v>1100000069734612</v>
      </c>
      <c r="N399" s="60" t="s">
        <v>589</v>
      </c>
      <c r="O399" s="60"/>
    </row>
    <row r="400" spans="1:15">
      <c r="A400" s="60"/>
      <c r="B400" s="60" t="s">
        <v>385</v>
      </c>
      <c r="C400" s="60" t="s">
        <v>386</v>
      </c>
      <c r="D400" s="60" t="s">
        <v>583</v>
      </c>
      <c r="E400" s="60" t="s">
        <v>275</v>
      </c>
      <c r="F400" s="60" t="s">
        <v>276</v>
      </c>
      <c r="G400" s="60" t="s">
        <v>276</v>
      </c>
      <c r="H400" s="60" t="s">
        <v>326</v>
      </c>
      <c r="I400" s="60" t="b">
        <v>0</v>
      </c>
      <c r="J400" s="60">
        <v>103</v>
      </c>
      <c r="K400" s="60">
        <v>136.25</v>
      </c>
      <c r="L400" s="61">
        <v>206751109</v>
      </c>
      <c r="M400" s="61">
        <v>1100000069734612</v>
      </c>
      <c r="N400" s="60" t="s">
        <v>589</v>
      </c>
      <c r="O400" s="60"/>
    </row>
    <row r="401" spans="1:15">
      <c r="A401" s="60"/>
      <c r="B401" s="60" t="s">
        <v>155</v>
      </c>
      <c r="C401" s="60" t="s">
        <v>566</v>
      </c>
      <c r="D401" s="60" t="s">
        <v>583</v>
      </c>
      <c r="E401" s="60" t="s">
        <v>275</v>
      </c>
      <c r="F401" s="60" t="s">
        <v>276</v>
      </c>
      <c r="G401" s="60" t="s">
        <v>276</v>
      </c>
      <c r="H401" s="60" t="s">
        <v>277</v>
      </c>
      <c r="I401" s="60" t="b">
        <v>0</v>
      </c>
      <c r="J401" s="60">
        <v>1</v>
      </c>
      <c r="K401" s="60">
        <v>1583.5</v>
      </c>
      <c r="L401" s="61">
        <v>406658173</v>
      </c>
      <c r="M401" s="61">
        <v>1200000075614562</v>
      </c>
      <c r="N401" s="60" t="s">
        <v>590</v>
      </c>
      <c r="O401" s="60"/>
    </row>
    <row r="402" spans="1:15">
      <c r="A402" s="60"/>
      <c r="B402" s="60" t="s">
        <v>155</v>
      </c>
      <c r="C402" s="60" t="s">
        <v>566</v>
      </c>
      <c r="D402" s="60" t="s">
        <v>583</v>
      </c>
      <c r="E402" s="60" t="s">
        <v>275</v>
      </c>
      <c r="F402" s="60" t="s">
        <v>276</v>
      </c>
      <c r="G402" s="60" t="s">
        <v>276</v>
      </c>
      <c r="H402" s="60" t="s">
        <v>277</v>
      </c>
      <c r="I402" s="60" t="b">
        <v>0</v>
      </c>
      <c r="J402" s="60">
        <v>3</v>
      </c>
      <c r="K402" s="60">
        <v>1583.3</v>
      </c>
      <c r="L402" s="61">
        <v>406658171</v>
      </c>
      <c r="M402" s="61">
        <v>1200000075614562</v>
      </c>
      <c r="N402" s="60" t="s">
        <v>590</v>
      </c>
      <c r="O402" s="60"/>
    </row>
    <row r="403" spans="1:15">
      <c r="A403" s="60"/>
      <c r="B403" s="60" t="s">
        <v>155</v>
      </c>
      <c r="C403" s="60" t="s">
        <v>566</v>
      </c>
      <c r="D403" s="60" t="s">
        <v>583</v>
      </c>
      <c r="E403" s="60" t="s">
        <v>275</v>
      </c>
      <c r="F403" s="60" t="s">
        <v>276</v>
      </c>
      <c r="G403" s="60" t="s">
        <v>276</v>
      </c>
      <c r="H403" s="60" t="s">
        <v>277</v>
      </c>
      <c r="I403" s="60" t="b">
        <v>0</v>
      </c>
      <c r="J403" s="60">
        <v>4</v>
      </c>
      <c r="K403" s="60">
        <v>1583.1</v>
      </c>
      <c r="L403" s="61">
        <v>406658169</v>
      </c>
      <c r="M403" s="61">
        <v>1200000075614562</v>
      </c>
      <c r="N403" s="60" t="s">
        <v>590</v>
      </c>
      <c r="O403" s="60"/>
    </row>
    <row r="404" spans="1:15">
      <c r="A404" s="60"/>
      <c r="B404" s="60" t="s">
        <v>155</v>
      </c>
      <c r="C404" s="60" t="s">
        <v>566</v>
      </c>
      <c r="D404" s="60" t="s">
        <v>583</v>
      </c>
      <c r="E404" s="60" t="s">
        <v>275</v>
      </c>
      <c r="F404" s="60" t="s">
        <v>276</v>
      </c>
      <c r="G404" s="60" t="s">
        <v>276</v>
      </c>
      <c r="H404" s="60" t="s">
        <v>277</v>
      </c>
      <c r="I404" s="60" t="b">
        <v>0</v>
      </c>
      <c r="J404" s="60">
        <v>4</v>
      </c>
      <c r="K404" s="60">
        <v>1583.3</v>
      </c>
      <c r="L404" s="61">
        <v>406658170</v>
      </c>
      <c r="M404" s="61">
        <v>1200000075614562</v>
      </c>
      <c r="N404" s="60" t="s">
        <v>590</v>
      </c>
      <c r="O404" s="60"/>
    </row>
    <row r="405" spans="1:15">
      <c r="A405" s="60"/>
      <c r="B405" s="60" t="s">
        <v>155</v>
      </c>
      <c r="C405" s="60" t="s">
        <v>566</v>
      </c>
      <c r="D405" s="60" t="s">
        <v>583</v>
      </c>
      <c r="E405" s="60" t="s">
        <v>275</v>
      </c>
      <c r="F405" s="60" t="s">
        <v>276</v>
      </c>
      <c r="G405" s="60" t="s">
        <v>276</v>
      </c>
      <c r="H405" s="60" t="s">
        <v>277</v>
      </c>
      <c r="I405" s="60" t="b">
        <v>0</v>
      </c>
      <c r="J405" s="60">
        <v>4</v>
      </c>
      <c r="K405" s="60">
        <v>1583.4</v>
      </c>
      <c r="L405" s="61">
        <v>406658172</v>
      </c>
      <c r="M405" s="61">
        <v>1200000075614562</v>
      </c>
      <c r="N405" s="60" t="s">
        <v>590</v>
      </c>
      <c r="O405" s="60"/>
    </row>
    <row r="406" spans="1:15">
      <c r="A406" s="60"/>
      <c r="B406" s="60" t="s">
        <v>150</v>
      </c>
      <c r="C406" s="60" t="s">
        <v>591</v>
      </c>
      <c r="D406" s="60" t="s">
        <v>583</v>
      </c>
      <c r="E406" s="60" t="s">
        <v>275</v>
      </c>
      <c r="F406" s="60" t="s">
        <v>276</v>
      </c>
      <c r="G406" s="60" t="s">
        <v>276</v>
      </c>
      <c r="H406" s="60" t="s">
        <v>277</v>
      </c>
      <c r="I406" s="60" t="b">
        <v>0</v>
      </c>
      <c r="J406" s="60">
        <v>38</v>
      </c>
      <c r="K406" s="60">
        <v>1325.5</v>
      </c>
      <c r="L406" s="61">
        <v>408006404</v>
      </c>
      <c r="M406" s="61">
        <v>1200000088607726</v>
      </c>
      <c r="N406" s="60" t="s">
        <v>592</v>
      </c>
      <c r="O406" s="60"/>
    </row>
    <row r="407" spans="1:15">
      <c r="A407" s="60"/>
      <c r="B407" s="60" t="s">
        <v>176</v>
      </c>
      <c r="C407" s="60" t="s">
        <v>593</v>
      </c>
      <c r="D407" s="60" t="s">
        <v>583</v>
      </c>
      <c r="E407" s="60" t="s">
        <v>275</v>
      </c>
      <c r="F407" s="60" t="s">
        <v>276</v>
      </c>
      <c r="G407" s="60" t="s">
        <v>276</v>
      </c>
      <c r="H407" s="60" t="s">
        <v>277</v>
      </c>
      <c r="I407" s="60" t="b">
        <v>0</v>
      </c>
      <c r="J407" s="60">
        <v>15</v>
      </c>
      <c r="K407" s="60">
        <v>2727.2</v>
      </c>
      <c r="L407" s="61">
        <v>7218708</v>
      </c>
      <c r="M407" s="61">
        <v>1000000079349236</v>
      </c>
      <c r="N407" s="60" t="s">
        <v>594</v>
      </c>
      <c r="O407" s="60"/>
    </row>
    <row r="408" spans="1:15">
      <c r="A408" s="60"/>
      <c r="B408" s="60" t="s">
        <v>176</v>
      </c>
      <c r="C408" s="60" t="s">
        <v>593</v>
      </c>
      <c r="D408" s="60" t="s">
        <v>583</v>
      </c>
      <c r="E408" s="60" t="s">
        <v>275</v>
      </c>
      <c r="F408" s="60" t="s">
        <v>276</v>
      </c>
      <c r="G408" s="60" t="s">
        <v>276</v>
      </c>
      <c r="H408" s="60" t="s">
        <v>277</v>
      </c>
      <c r="I408" s="60" t="b">
        <v>0</v>
      </c>
      <c r="J408" s="60">
        <v>4</v>
      </c>
      <c r="K408" s="60">
        <v>2727.2</v>
      </c>
      <c r="L408" s="61">
        <v>7218709</v>
      </c>
      <c r="M408" s="61">
        <v>1000000079349236</v>
      </c>
      <c r="N408" s="60" t="s">
        <v>594</v>
      </c>
      <c r="O408" s="60"/>
    </row>
    <row r="409" spans="1:15">
      <c r="A409" s="60"/>
      <c r="B409" s="60" t="s">
        <v>595</v>
      </c>
      <c r="C409" s="60" t="s">
        <v>596</v>
      </c>
      <c r="D409" s="60" t="s">
        <v>583</v>
      </c>
      <c r="E409" s="60" t="s">
        <v>275</v>
      </c>
      <c r="F409" s="60" t="s">
        <v>276</v>
      </c>
      <c r="G409" s="60" t="s">
        <v>276</v>
      </c>
      <c r="H409" s="60" t="s">
        <v>277</v>
      </c>
      <c r="I409" s="60" t="b">
        <v>0</v>
      </c>
      <c r="J409" s="60">
        <v>1</v>
      </c>
      <c r="K409" s="60">
        <v>2730</v>
      </c>
      <c r="L409" s="61">
        <v>7769815</v>
      </c>
      <c r="M409" s="61">
        <v>1000000082794405</v>
      </c>
      <c r="N409" s="60" t="s">
        <v>597</v>
      </c>
      <c r="O409" s="60"/>
    </row>
    <row r="410" spans="1:15">
      <c r="A410" s="60"/>
      <c r="B410" s="60" t="s">
        <v>595</v>
      </c>
      <c r="C410" s="60" t="s">
        <v>596</v>
      </c>
      <c r="D410" s="60" t="s">
        <v>583</v>
      </c>
      <c r="E410" s="60" t="s">
        <v>275</v>
      </c>
      <c r="F410" s="60" t="s">
        <v>276</v>
      </c>
      <c r="G410" s="60" t="s">
        <v>276</v>
      </c>
      <c r="H410" s="60" t="s">
        <v>277</v>
      </c>
      <c r="I410" s="60" t="b">
        <v>0</v>
      </c>
      <c r="J410" s="60">
        <v>17</v>
      </c>
      <c r="K410" s="60">
        <v>2730</v>
      </c>
      <c r="L410" s="61">
        <v>7769814</v>
      </c>
      <c r="M410" s="61">
        <v>1000000082794405</v>
      </c>
      <c r="N410" s="60" t="s">
        <v>597</v>
      </c>
      <c r="O410" s="60"/>
    </row>
    <row r="411" spans="1:15">
      <c r="A411" s="60"/>
      <c r="B411" s="60" t="s">
        <v>124</v>
      </c>
      <c r="C411" s="60" t="s">
        <v>598</v>
      </c>
      <c r="D411" s="60" t="s">
        <v>583</v>
      </c>
      <c r="E411" s="60" t="s">
        <v>275</v>
      </c>
      <c r="F411" s="60" t="s">
        <v>276</v>
      </c>
      <c r="G411" s="60" t="s">
        <v>276</v>
      </c>
      <c r="H411" s="60" t="s">
        <v>277</v>
      </c>
      <c r="I411" s="60" t="b">
        <v>0</v>
      </c>
      <c r="J411" s="60">
        <v>16</v>
      </c>
      <c r="K411" s="60">
        <v>3127</v>
      </c>
      <c r="L411" s="61">
        <v>408659311</v>
      </c>
      <c r="M411" s="61">
        <v>1200000092419234</v>
      </c>
      <c r="N411" s="60" t="s">
        <v>599</v>
      </c>
      <c r="O411" s="60"/>
    </row>
    <row r="412" spans="1:15">
      <c r="A412" s="60"/>
      <c r="B412" s="60" t="s">
        <v>120</v>
      </c>
      <c r="C412" s="60" t="s">
        <v>600</v>
      </c>
      <c r="D412" s="60" t="s">
        <v>601</v>
      </c>
      <c r="E412" s="60" t="s">
        <v>275</v>
      </c>
      <c r="F412" s="60" t="s">
        <v>276</v>
      </c>
      <c r="G412" s="60" t="s">
        <v>276</v>
      </c>
      <c r="H412" s="60" t="s">
        <v>277</v>
      </c>
      <c r="I412" s="60" t="b">
        <v>0</v>
      </c>
      <c r="J412" s="60">
        <v>10</v>
      </c>
      <c r="K412" s="60">
        <v>1505.6</v>
      </c>
      <c r="L412" s="61">
        <v>6180298</v>
      </c>
      <c r="M412" s="61">
        <v>1000000066826705</v>
      </c>
      <c r="N412" s="60" t="s">
        <v>602</v>
      </c>
      <c r="O412" s="60"/>
    </row>
    <row r="413" spans="1:15">
      <c r="A413" s="60"/>
      <c r="B413" s="60" t="s">
        <v>120</v>
      </c>
      <c r="C413" s="60" t="s">
        <v>600</v>
      </c>
      <c r="D413" s="60" t="s">
        <v>601</v>
      </c>
      <c r="E413" s="60" t="s">
        <v>275</v>
      </c>
      <c r="F413" s="60" t="s">
        <v>276</v>
      </c>
      <c r="G413" s="60" t="s">
        <v>276</v>
      </c>
      <c r="H413" s="60" t="s">
        <v>277</v>
      </c>
      <c r="I413" s="60" t="b">
        <v>0</v>
      </c>
      <c r="J413" s="60">
        <v>10</v>
      </c>
      <c r="K413" s="60">
        <v>1505.6</v>
      </c>
      <c r="L413" s="61">
        <v>6180301</v>
      </c>
      <c r="M413" s="61">
        <v>1000000066826705</v>
      </c>
      <c r="N413" s="60" t="s">
        <v>602</v>
      </c>
      <c r="O413" s="60"/>
    </row>
    <row r="414" spans="1:15">
      <c r="A414" s="60"/>
      <c r="B414" s="60" t="s">
        <v>120</v>
      </c>
      <c r="C414" s="60" t="s">
        <v>600</v>
      </c>
      <c r="D414" s="60" t="s">
        <v>601</v>
      </c>
      <c r="E414" s="60" t="s">
        <v>275</v>
      </c>
      <c r="F414" s="60" t="s">
        <v>276</v>
      </c>
      <c r="G414" s="60" t="s">
        <v>276</v>
      </c>
      <c r="H414" s="60" t="s">
        <v>277</v>
      </c>
      <c r="I414" s="60" t="b">
        <v>0</v>
      </c>
      <c r="J414" s="60">
        <v>1</v>
      </c>
      <c r="K414" s="60">
        <v>1505.6</v>
      </c>
      <c r="L414" s="61">
        <v>6180299</v>
      </c>
      <c r="M414" s="61">
        <v>1000000066826705</v>
      </c>
      <c r="N414" s="60" t="s">
        <v>602</v>
      </c>
      <c r="O414" s="60"/>
    </row>
    <row r="415" spans="1:15">
      <c r="A415" s="60"/>
      <c r="B415" s="60" t="s">
        <v>120</v>
      </c>
      <c r="C415" s="60" t="s">
        <v>600</v>
      </c>
      <c r="D415" s="60" t="s">
        <v>601</v>
      </c>
      <c r="E415" s="60" t="s">
        <v>275</v>
      </c>
      <c r="F415" s="60" t="s">
        <v>276</v>
      </c>
      <c r="G415" s="60" t="s">
        <v>276</v>
      </c>
      <c r="H415" s="60" t="s">
        <v>277</v>
      </c>
      <c r="I415" s="60" t="b">
        <v>0</v>
      </c>
      <c r="J415" s="60">
        <v>12</v>
      </c>
      <c r="K415" s="60">
        <v>1505.6</v>
      </c>
      <c r="L415" s="61">
        <v>6180300</v>
      </c>
      <c r="M415" s="61">
        <v>1000000066826705</v>
      </c>
      <c r="N415" s="60" t="s">
        <v>602</v>
      </c>
      <c r="O415" s="60"/>
    </row>
    <row r="416" spans="1:15">
      <c r="A416" s="60"/>
      <c r="B416" s="60" t="s">
        <v>182</v>
      </c>
      <c r="C416" s="60" t="s">
        <v>603</v>
      </c>
      <c r="D416" s="60" t="s">
        <v>601</v>
      </c>
      <c r="E416" s="60" t="s">
        <v>275</v>
      </c>
      <c r="F416" s="60" t="s">
        <v>276</v>
      </c>
      <c r="G416" s="60" t="s">
        <v>276</v>
      </c>
      <c r="H416" s="60" t="s">
        <v>277</v>
      </c>
      <c r="I416" s="60" t="b">
        <v>0</v>
      </c>
      <c r="J416" s="60">
        <v>10</v>
      </c>
      <c r="K416" s="60">
        <v>1713.2</v>
      </c>
      <c r="L416" s="61">
        <v>6186275</v>
      </c>
      <c r="M416" s="61">
        <v>1000000066876330</v>
      </c>
      <c r="N416" s="60" t="s">
        <v>604</v>
      </c>
      <c r="O416" s="60"/>
    </row>
    <row r="417" spans="1:15">
      <c r="A417" s="60"/>
      <c r="B417" s="60" t="s">
        <v>182</v>
      </c>
      <c r="C417" s="60" t="s">
        <v>603</v>
      </c>
      <c r="D417" s="60" t="s">
        <v>601</v>
      </c>
      <c r="E417" s="60" t="s">
        <v>275</v>
      </c>
      <c r="F417" s="60" t="s">
        <v>276</v>
      </c>
      <c r="G417" s="60" t="s">
        <v>276</v>
      </c>
      <c r="H417" s="60" t="s">
        <v>277</v>
      </c>
      <c r="I417" s="60" t="b">
        <v>0</v>
      </c>
      <c r="J417" s="60">
        <v>10</v>
      </c>
      <c r="K417" s="60">
        <v>1713.8</v>
      </c>
      <c r="L417" s="61">
        <v>6186277</v>
      </c>
      <c r="M417" s="61">
        <v>1000000066876330</v>
      </c>
      <c r="N417" s="60" t="s">
        <v>604</v>
      </c>
      <c r="O417" s="60"/>
    </row>
    <row r="418" spans="1:15">
      <c r="A418" s="60"/>
      <c r="B418" s="60" t="s">
        <v>182</v>
      </c>
      <c r="C418" s="60" t="s">
        <v>603</v>
      </c>
      <c r="D418" s="60" t="s">
        <v>601</v>
      </c>
      <c r="E418" s="60" t="s">
        <v>275</v>
      </c>
      <c r="F418" s="60" t="s">
        <v>276</v>
      </c>
      <c r="G418" s="60" t="s">
        <v>276</v>
      </c>
      <c r="H418" s="60" t="s">
        <v>277</v>
      </c>
      <c r="I418" s="60" t="b">
        <v>0</v>
      </c>
      <c r="J418" s="60">
        <v>1</v>
      </c>
      <c r="K418" s="60">
        <v>1712.9</v>
      </c>
      <c r="L418" s="61">
        <v>6186273</v>
      </c>
      <c r="M418" s="61">
        <v>1000000066876330</v>
      </c>
      <c r="N418" s="60" t="s">
        <v>604</v>
      </c>
      <c r="O418" s="60"/>
    </row>
    <row r="419" spans="1:15">
      <c r="A419" s="60"/>
      <c r="B419" s="60" t="s">
        <v>182</v>
      </c>
      <c r="C419" s="60" t="s">
        <v>603</v>
      </c>
      <c r="D419" s="60" t="s">
        <v>601</v>
      </c>
      <c r="E419" s="60" t="s">
        <v>275</v>
      </c>
      <c r="F419" s="60" t="s">
        <v>276</v>
      </c>
      <c r="G419" s="60" t="s">
        <v>276</v>
      </c>
      <c r="H419" s="60" t="s">
        <v>277</v>
      </c>
      <c r="I419" s="60" t="b">
        <v>0</v>
      </c>
      <c r="J419" s="60">
        <v>4</v>
      </c>
      <c r="K419" s="60">
        <v>1713</v>
      </c>
      <c r="L419" s="61">
        <v>6186274</v>
      </c>
      <c r="M419" s="61">
        <v>1000000066876330</v>
      </c>
      <c r="N419" s="60" t="s">
        <v>604</v>
      </c>
      <c r="O419" s="60"/>
    </row>
    <row r="420" spans="1:15">
      <c r="A420" s="60"/>
      <c r="B420" s="60" t="s">
        <v>182</v>
      </c>
      <c r="C420" s="60" t="s">
        <v>603</v>
      </c>
      <c r="D420" s="60" t="s">
        <v>601</v>
      </c>
      <c r="E420" s="60" t="s">
        <v>275</v>
      </c>
      <c r="F420" s="60" t="s">
        <v>276</v>
      </c>
      <c r="G420" s="60" t="s">
        <v>276</v>
      </c>
      <c r="H420" s="60" t="s">
        <v>277</v>
      </c>
      <c r="I420" s="60" t="b">
        <v>0</v>
      </c>
      <c r="J420" s="60">
        <v>4</v>
      </c>
      <c r="K420" s="60">
        <v>1713.6</v>
      </c>
      <c r="L420" s="61">
        <v>6186276</v>
      </c>
      <c r="M420" s="61">
        <v>1000000066876330</v>
      </c>
      <c r="N420" s="60" t="s">
        <v>604</v>
      </c>
      <c r="O420" s="60"/>
    </row>
    <row r="421" spans="1:15">
      <c r="A421" s="60"/>
      <c r="B421" s="60" t="s">
        <v>105</v>
      </c>
      <c r="C421" s="60" t="s">
        <v>443</v>
      </c>
      <c r="D421" s="60" t="s">
        <v>601</v>
      </c>
      <c r="E421" s="60" t="s">
        <v>332</v>
      </c>
      <c r="F421" s="60" t="s">
        <v>276</v>
      </c>
      <c r="G421" s="60" t="s">
        <v>457</v>
      </c>
      <c r="H421" s="60" t="s">
        <v>277</v>
      </c>
      <c r="I421" s="60" t="b">
        <v>0</v>
      </c>
      <c r="J421" s="60">
        <v>411</v>
      </c>
      <c r="K421" s="60">
        <v>121.7</v>
      </c>
      <c r="L421" s="61">
        <v>10509600</v>
      </c>
      <c r="M421" s="61">
        <v>1.7790926332850911E+18</v>
      </c>
      <c r="N421" s="60" t="s">
        <v>605</v>
      </c>
      <c r="O421" s="60"/>
    </row>
    <row r="422" spans="1:15">
      <c r="A422" s="60"/>
      <c r="B422" s="60" t="s">
        <v>118</v>
      </c>
      <c r="C422" s="60" t="s">
        <v>450</v>
      </c>
      <c r="D422" s="60" t="s">
        <v>601</v>
      </c>
      <c r="E422" s="60" t="s">
        <v>275</v>
      </c>
      <c r="F422" s="60" t="s">
        <v>276</v>
      </c>
      <c r="G422" s="60" t="s">
        <v>276</v>
      </c>
      <c r="H422" s="60" t="s">
        <v>277</v>
      </c>
      <c r="I422" s="60" t="b">
        <v>0</v>
      </c>
      <c r="J422" s="60">
        <v>10</v>
      </c>
      <c r="K422" s="60">
        <v>3214</v>
      </c>
      <c r="L422" s="61">
        <v>6654262</v>
      </c>
      <c r="M422" s="61">
        <v>1000000071638445</v>
      </c>
      <c r="N422" s="60" t="s">
        <v>606</v>
      </c>
      <c r="O422" s="60"/>
    </row>
    <row r="423" spans="1:15">
      <c r="A423" s="60"/>
      <c r="B423" s="60" t="s">
        <v>153</v>
      </c>
      <c r="C423" s="60" t="s">
        <v>607</v>
      </c>
      <c r="D423" s="60" t="s">
        <v>601</v>
      </c>
      <c r="E423" s="60" t="s">
        <v>275</v>
      </c>
      <c r="F423" s="60" t="s">
        <v>276</v>
      </c>
      <c r="G423" s="60" t="s">
        <v>276</v>
      </c>
      <c r="H423" s="60" t="s">
        <v>277</v>
      </c>
      <c r="I423" s="60" t="b">
        <v>0</v>
      </c>
      <c r="J423" s="60">
        <v>26</v>
      </c>
      <c r="K423" s="60">
        <v>1899.2</v>
      </c>
      <c r="L423" s="61">
        <v>609084122</v>
      </c>
      <c r="M423" s="61">
        <v>1300000096080231</v>
      </c>
      <c r="N423" s="60" t="s">
        <v>608</v>
      </c>
      <c r="O423" s="60"/>
    </row>
    <row r="424" spans="1:15">
      <c r="A424" s="60"/>
      <c r="B424" s="60" t="s">
        <v>391</v>
      </c>
      <c r="C424" s="60" t="s">
        <v>392</v>
      </c>
      <c r="D424" s="60" t="s">
        <v>491</v>
      </c>
      <c r="E424" s="60" t="s">
        <v>275</v>
      </c>
      <c r="F424" s="60" t="s">
        <v>276</v>
      </c>
      <c r="G424" s="60" t="s">
        <v>276</v>
      </c>
      <c r="H424" s="60" t="s">
        <v>326</v>
      </c>
      <c r="I424" s="60" t="b">
        <v>0</v>
      </c>
      <c r="J424" s="60">
        <v>10</v>
      </c>
      <c r="K424" s="60">
        <v>271.55</v>
      </c>
      <c r="L424" s="61">
        <v>3556965</v>
      </c>
      <c r="M424" s="61">
        <v>1000000039324729</v>
      </c>
      <c r="N424" s="60" t="s">
        <v>494</v>
      </c>
      <c r="O424" s="60"/>
    </row>
    <row r="425" spans="1:15">
      <c r="A425" s="60"/>
      <c r="B425" s="60" t="s">
        <v>391</v>
      </c>
      <c r="C425" s="60" t="s">
        <v>392</v>
      </c>
      <c r="D425" s="60" t="s">
        <v>491</v>
      </c>
      <c r="E425" s="60" t="s">
        <v>275</v>
      </c>
      <c r="F425" s="60" t="s">
        <v>276</v>
      </c>
      <c r="G425" s="60" t="s">
        <v>276</v>
      </c>
      <c r="H425" s="60" t="s">
        <v>326</v>
      </c>
      <c r="I425" s="60" t="b">
        <v>0</v>
      </c>
      <c r="J425" s="60">
        <v>10</v>
      </c>
      <c r="K425" s="60">
        <v>271.55</v>
      </c>
      <c r="L425" s="61">
        <v>3556967</v>
      </c>
      <c r="M425" s="61">
        <v>1000000039324729</v>
      </c>
      <c r="N425" s="60" t="s">
        <v>494</v>
      </c>
      <c r="O425" s="60"/>
    </row>
    <row r="426" spans="1:15">
      <c r="A426" s="60"/>
      <c r="B426" s="60" t="s">
        <v>391</v>
      </c>
      <c r="C426" s="60" t="s">
        <v>392</v>
      </c>
      <c r="D426" s="60" t="s">
        <v>491</v>
      </c>
      <c r="E426" s="60" t="s">
        <v>275</v>
      </c>
      <c r="F426" s="60" t="s">
        <v>276</v>
      </c>
      <c r="G426" s="60" t="s">
        <v>276</v>
      </c>
      <c r="H426" s="60" t="s">
        <v>326</v>
      </c>
      <c r="I426" s="60" t="b">
        <v>0</v>
      </c>
      <c r="J426" s="60">
        <v>70</v>
      </c>
      <c r="K426" s="60">
        <v>271.55</v>
      </c>
      <c r="L426" s="61">
        <v>3556966</v>
      </c>
      <c r="M426" s="61">
        <v>1000000039324729</v>
      </c>
      <c r="N426" s="60" t="s">
        <v>494</v>
      </c>
      <c r="O426" s="60"/>
    </row>
    <row r="427" spans="1:15">
      <c r="A427" s="60"/>
      <c r="B427" s="60" t="s">
        <v>178</v>
      </c>
      <c r="C427" s="60" t="s">
        <v>609</v>
      </c>
      <c r="D427" s="60" t="s">
        <v>610</v>
      </c>
      <c r="E427" s="60" t="s">
        <v>275</v>
      </c>
      <c r="F427" s="60" t="s">
        <v>276</v>
      </c>
      <c r="G427" s="60" t="s">
        <v>276</v>
      </c>
      <c r="H427" s="60" t="s">
        <v>277</v>
      </c>
      <c r="I427" s="60" t="b">
        <v>0</v>
      </c>
      <c r="J427" s="60">
        <v>16</v>
      </c>
      <c r="K427" s="60">
        <v>670.55</v>
      </c>
      <c r="L427" s="61">
        <v>610264981</v>
      </c>
      <c r="M427" s="61">
        <v>1300000103548770</v>
      </c>
      <c r="N427" s="60" t="s">
        <v>611</v>
      </c>
      <c r="O427" s="60"/>
    </row>
    <row r="428" spans="1:15">
      <c r="A428" s="60"/>
      <c r="B428" s="60" t="s">
        <v>178</v>
      </c>
      <c r="C428" s="60" t="s">
        <v>609</v>
      </c>
      <c r="D428" s="60" t="s">
        <v>610</v>
      </c>
      <c r="E428" s="60" t="s">
        <v>275</v>
      </c>
      <c r="F428" s="60" t="s">
        <v>276</v>
      </c>
      <c r="G428" s="60" t="s">
        <v>276</v>
      </c>
      <c r="H428" s="60" t="s">
        <v>277</v>
      </c>
      <c r="I428" s="60" t="b">
        <v>0</v>
      </c>
      <c r="J428" s="60">
        <v>59</v>
      </c>
      <c r="K428" s="60">
        <v>670.55</v>
      </c>
      <c r="L428" s="61">
        <v>610264982</v>
      </c>
      <c r="M428" s="61">
        <v>1300000103548770</v>
      </c>
      <c r="N428" s="60" t="s">
        <v>611</v>
      </c>
      <c r="O428" s="60"/>
    </row>
    <row r="429" spans="1:15">
      <c r="A429" s="60"/>
      <c r="B429" s="60" t="s">
        <v>299</v>
      </c>
      <c r="C429" s="60" t="s">
        <v>300</v>
      </c>
      <c r="D429" s="60" t="s">
        <v>612</v>
      </c>
      <c r="E429" s="60" t="s">
        <v>332</v>
      </c>
      <c r="F429" s="60" t="s">
        <v>276</v>
      </c>
      <c r="G429" s="60" t="s">
        <v>333</v>
      </c>
      <c r="H429" s="60" t="s">
        <v>326</v>
      </c>
      <c r="I429" s="60" t="b">
        <v>0</v>
      </c>
      <c r="J429" s="60">
        <v>17</v>
      </c>
      <c r="K429" s="60">
        <v>633.6</v>
      </c>
      <c r="L429" s="61">
        <v>5746000</v>
      </c>
      <c r="M429" s="61">
        <v>1.7792507871813509E+18</v>
      </c>
      <c r="N429" s="60" t="s">
        <v>613</v>
      </c>
      <c r="O429" s="60"/>
    </row>
    <row r="430" spans="1:15">
      <c r="A430" s="60"/>
      <c r="B430" s="60" t="s">
        <v>299</v>
      </c>
      <c r="C430" s="60" t="s">
        <v>300</v>
      </c>
      <c r="D430" s="60" t="s">
        <v>612</v>
      </c>
      <c r="E430" s="60" t="s">
        <v>332</v>
      </c>
      <c r="F430" s="60" t="s">
        <v>276</v>
      </c>
      <c r="G430" s="60" t="s">
        <v>333</v>
      </c>
      <c r="H430" s="60" t="s">
        <v>326</v>
      </c>
      <c r="I430" s="60" t="b">
        <v>0</v>
      </c>
      <c r="J430" s="60">
        <v>24</v>
      </c>
      <c r="K430" s="60">
        <v>633.54999999999995</v>
      </c>
      <c r="L430" s="61">
        <v>5746200</v>
      </c>
      <c r="M430" s="61">
        <v>1.7792507871813509E+18</v>
      </c>
      <c r="N430" s="60" t="s">
        <v>613</v>
      </c>
      <c r="O430" s="60"/>
    </row>
    <row r="431" spans="1:15">
      <c r="A431" s="60"/>
      <c r="B431" s="60" t="s">
        <v>468</v>
      </c>
      <c r="C431" s="60" t="s">
        <v>469</v>
      </c>
      <c r="D431" s="60" t="s">
        <v>612</v>
      </c>
      <c r="E431" s="60" t="s">
        <v>332</v>
      </c>
      <c r="F431" s="60" t="s">
        <v>276</v>
      </c>
      <c r="G431" s="60" t="s">
        <v>333</v>
      </c>
      <c r="H431" s="60" t="s">
        <v>326</v>
      </c>
      <c r="I431" s="60" t="b">
        <v>0</v>
      </c>
      <c r="J431" s="60">
        <v>720</v>
      </c>
      <c r="K431" s="60">
        <v>77.709999999999994</v>
      </c>
      <c r="L431" s="61">
        <v>8419700</v>
      </c>
      <c r="M431" s="61">
        <v>1.779251488030295E+18</v>
      </c>
      <c r="N431" s="60" t="s">
        <v>614</v>
      </c>
      <c r="O431" s="60"/>
    </row>
    <row r="432" spans="1:15">
      <c r="A432" s="60"/>
      <c r="B432" s="60" t="s">
        <v>537</v>
      </c>
      <c r="C432" s="60" t="s">
        <v>538</v>
      </c>
      <c r="D432" s="60" t="s">
        <v>612</v>
      </c>
      <c r="E432" s="60" t="s">
        <v>275</v>
      </c>
      <c r="F432" s="60" t="s">
        <v>276</v>
      </c>
      <c r="G432" s="60" t="s">
        <v>276</v>
      </c>
      <c r="H432" s="60" t="s">
        <v>326</v>
      </c>
      <c r="I432" s="60" t="b">
        <v>0</v>
      </c>
      <c r="J432" s="60">
        <v>92</v>
      </c>
      <c r="K432" s="60">
        <v>266.3</v>
      </c>
      <c r="L432" s="61">
        <v>402043589</v>
      </c>
      <c r="M432" s="61">
        <v>1200000022573549</v>
      </c>
      <c r="N432" s="60" t="s">
        <v>615</v>
      </c>
      <c r="O432" s="60"/>
    </row>
    <row r="433" spans="1:15">
      <c r="A433" s="60"/>
      <c r="B433" s="60" t="s">
        <v>180</v>
      </c>
      <c r="C433" s="60" t="s">
        <v>568</v>
      </c>
      <c r="D433" s="60" t="s">
        <v>616</v>
      </c>
      <c r="E433" s="60" t="s">
        <v>275</v>
      </c>
      <c r="F433" s="60" t="s">
        <v>276</v>
      </c>
      <c r="G433" s="60" t="s">
        <v>276</v>
      </c>
      <c r="H433" s="60" t="s">
        <v>277</v>
      </c>
      <c r="I433" s="60" t="b">
        <v>0</v>
      </c>
      <c r="J433" s="60">
        <v>141</v>
      </c>
      <c r="K433" s="60">
        <v>355.5</v>
      </c>
      <c r="L433" s="61">
        <v>5129327</v>
      </c>
      <c r="M433" s="61">
        <v>1000000063206223</v>
      </c>
      <c r="N433" s="60" t="s">
        <v>617</v>
      </c>
      <c r="O433" s="60"/>
    </row>
    <row r="434" spans="1:15">
      <c r="A434" s="60"/>
      <c r="B434" s="60" t="s">
        <v>182</v>
      </c>
      <c r="C434" s="60" t="s">
        <v>603</v>
      </c>
      <c r="D434" s="60" t="s">
        <v>616</v>
      </c>
      <c r="E434" s="60" t="s">
        <v>275</v>
      </c>
      <c r="F434" s="60" t="s">
        <v>276</v>
      </c>
      <c r="G434" s="60" t="s">
        <v>276</v>
      </c>
      <c r="H434" s="60" t="s">
        <v>277</v>
      </c>
      <c r="I434" s="60" t="b">
        <v>0</v>
      </c>
      <c r="J434" s="60">
        <v>1</v>
      </c>
      <c r="K434" s="60">
        <v>1814.3</v>
      </c>
      <c r="L434" s="61">
        <v>5140759</v>
      </c>
      <c r="M434" s="61">
        <v>1000000063330323</v>
      </c>
      <c r="N434" s="60" t="s">
        <v>618</v>
      </c>
      <c r="O434" s="60"/>
    </row>
    <row r="435" spans="1:15">
      <c r="A435" s="60"/>
      <c r="B435" s="60" t="s">
        <v>182</v>
      </c>
      <c r="C435" s="60" t="s">
        <v>603</v>
      </c>
      <c r="D435" s="60" t="s">
        <v>616</v>
      </c>
      <c r="E435" s="60" t="s">
        <v>275</v>
      </c>
      <c r="F435" s="60" t="s">
        <v>276</v>
      </c>
      <c r="G435" s="60" t="s">
        <v>276</v>
      </c>
      <c r="H435" s="60" t="s">
        <v>277</v>
      </c>
      <c r="I435" s="60" t="b">
        <v>0</v>
      </c>
      <c r="J435" s="60">
        <v>2</v>
      </c>
      <c r="K435" s="60">
        <v>1814.5</v>
      </c>
      <c r="L435" s="61">
        <v>5140760</v>
      </c>
      <c r="M435" s="61">
        <v>1000000063330323</v>
      </c>
      <c r="N435" s="60" t="s">
        <v>618</v>
      </c>
      <c r="O435" s="60"/>
    </row>
    <row r="436" spans="1:15">
      <c r="A436" s="60"/>
      <c r="B436" s="60" t="s">
        <v>182</v>
      </c>
      <c r="C436" s="60" t="s">
        <v>603</v>
      </c>
      <c r="D436" s="60" t="s">
        <v>616</v>
      </c>
      <c r="E436" s="60" t="s">
        <v>275</v>
      </c>
      <c r="F436" s="60" t="s">
        <v>276</v>
      </c>
      <c r="G436" s="60" t="s">
        <v>276</v>
      </c>
      <c r="H436" s="60" t="s">
        <v>277</v>
      </c>
      <c r="I436" s="60" t="b">
        <v>0</v>
      </c>
      <c r="J436" s="60">
        <v>2</v>
      </c>
      <c r="K436" s="60">
        <v>1815</v>
      </c>
      <c r="L436" s="61">
        <v>5140764</v>
      </c>
      <c r="M436" s="61">
        <v>1000000063330323</v>
      </c>
      <c r="N436" s="60" t="s">
        <v>618</v>
      </c>
      <c r="O436" s="60"/>
    </row>
    <row r="437" spans="1:15">
      <c r="A437" s="60"/>
      <c r="B437" s="60" t="s">
        <v>182</v>
      </c>
      <c r="C437" s="60" t="s">
        <v>603</v>
      </c>
      <c r="D437" s="60" t="s">
        <v>616</v>
      </c>
      <c r="E437" s="60" t="s">
        <v>275</v>
      </c>
      <c r="F437" s="60" t="s">
        <v>276</v>
      </c>
      <c r="G437" s="60" t="s">
        <v>276</v>
      </c>
      <c r="H437" s="60" t="s">
        <v>277</v>
      </c>
      <c r="I437" s="60" t="b">
        <v>0</v>
      </c>
      <c r="J437" s="60">
        <v>5</v>
      </c>
      <c r="K437" s="60">
        <v>1814.9</v>
      </c>
      <c r="L437" s="61">
        <v>5140762</v>
      </c>
      <c r="M437" s="61">
        <v>1000000063330323</v>
      </c>
      <c r="N437" s="60" t="s">
        <v>618</v>
      </c>
      <c r="O437" s="60"/>
    </row>
    <row r="438" spans="1:15">
      <c r="A438" s="60"/>
      <c r="B438" s="60" t="s">
        <v>182</v>
      </c>
      <c r="C438" s="60" t="s">
        <v>603</v>
      </c>
      <c r="D438" s="60" t="s">
        <v>616</v>
      </c>
      <c r="E438" s="60" t="s">
        <v>275</v>
      </c>
      <c r="F438" s="60" t="s">
        <v>276</v>
      </c>
      <c r="G438" s="60" t="s">
        <v>276</v>
      </c>
      <c r="H438" s="60" t="s">
        <v>277</v>
      </c>
      <c r="I438" s="60" t="b">
        <v>0</v>
      </c>
      <c r="J438" s="60">
        <v>8</v>
      </c>
      <c r="K438" s="60">
        <v>1814.9</v>
      </c>
      <c r="L438" s="61">
        <v>5140763</v>
      </c>
      <c r="M438" s="61">
        <v>1000000063330323</v>
      </c>
      <c r="N438" s="60" t="s">
        <v>618</v>
      </c>
      <c r="O438" s="60"/>
    </row>
    <row r="439" spans="1:15">
      <c r="A439" s="60"/>
      <c r="B439" s="60" t="s">
        <v>182</v>
      </c>
      <c r="C439" s="60" t="s">
        <v>603</v>
      </c>
      <c r="D439" s="60" t="s">
        <v>616</v>
      </c>
      <c r="E439" s="60" t="s">
        <v>275</v>
      </c>
      <c r="F439" s="60" t="s">
        <v>276</v>
      </c>
      <c r="G439" s="60" t="s">
        <v>276</v>
      </c>
      <c r="H439" s="60" t="s">
        <v>277</v>
      </c>
      <c r="I439" s="60" t="b">
        <v>0</v>
      </c>
      <c r="J439" s="60">
        <v>9</v>
      </c>
      <c r="K439" s="60">
        <v>1814.6</v>
      </c>
      <c r="L439" s="61">
        <v>5140761</v>
      </c>
      <c r="M439" s="61">
        <v>1000000063330323</v>
      </c>
      <c r="N439" s="60" t="s">
        <v>618</v>
      </c>
      <c r="O439" s="60"/>
    </row>
    <row r="440" spans="1:15">
      <c r="A440" s="60"/>
      <c r="B440" s="60" t="s">
        <v>121</v>
      </c>
      <c r="C440" s="60" t="s">
        <v>619</v>
      </c>
      <c r="D440" s="60" t="s">
        <v>616</v>
      </c>
      <c r="E440" s="60" t="s">
        <v>332</v>
      </c>
      <c r="F440" s="60" t="s">
        <v>276</v>
      </c>
      <c r="G440" s="60" t="s">
        <v>333</v>
      </c>
      <c r="H440" s="60" t="s">
        <v>277</v>
      </c>
      <c r="I440" s="60" t="b">
        <v>0</v>
      </c>
      <c r="J440" s="60">
        <v>40</v>
      </c>
      <c r="K440" s="60">
        <v>639.20000000000005</v>
      </c>
      <c r="L440" s="61">
        <v>15380500</v>
      </c>
      <c r="M440" s="61">
        <v>1.7794414214461381E+18</v>
      </c>
      <c r="N440" s="60" t="s">
        <v>620</v>
      </c>
      <c r="O440" s="60"/>
    </row>
    <row r="441" spans="1:15">
      <c r="A441" s="60"/>
      <c r="B441" s="60" t="s">
        <v>332</v>
      </c>
      <c r="C441" s="60" t="s">
        <v>424</v>
      </c>
      <c r="D441" s="60" t="s">
        <v>616</v>
      </c>
      <c r="E441" s="60" t="s">
        <v>275</v>
      </c>
      <c r="F441" s="60" t="s">
        <v>276</v>
      </c>
      <c r="G441" s="60" t="s">
        <v>276</v>
      </c>
      <c r="H441" s="60" t="s">
        <v>277</v>
      </c>
      <c r="I441" s="60" t="b">
        <v>0</v>
      </c>
      <c r="J441" s="60">
        <v>11</v>
      </c>
      <c r="K441" s="60">
        <v>4195.1000999999997</v>
      </c>
      <c r="L441" s="61">
        <v>5529778</v>
      </c>
      <c r="M441" s="61">
        <v>1000000066683597</v>
      </c>
      <c r="N441" s="60" t="s">
        <v>621</v>
      </c>
      <c r="O441" s="60"/>
    </row>
    <row r="442" spans="1:15">
      <c r="A442" s="60"/>
      <c r="B442" s="60" t="s">
        <v>332</v>
      </c>
      <c r="C442" s="60" t="s">
        <v>424</v>
      </c>
      <c r="D442" s="60" t="s">
        <v>616</v>
      </c>
      <c r="E442" s="60" t="s">
        <v>275</v>
      </c>
      <c r="F442" s="60" t="s">
        <v>276</v>
      </c>
      <c r="G442" s="60" t="s">
        <v>276</v>
      </c>
      <c r="H442" s="60" t="s">
        <v>277</v>
      </c>
      <c r="I442" s="60" t="b">
        <v>0</v>
      </c>
      <c r="J442" s="60">
        <v>1</v>
      </c>
      <c r="K442" s="60">
        <v>4195.1000999999997</v>
      </c>
      <c r="L442" s="61">
        <v>5529777</v>
      </c>
      <c r="M442" s="61">
        <v>1000000066683597</v>
      </c>
      <c r="N442" s="60" t="s">
        <v>621</v>
      </c>
      <c r="O442" s="60"/>
    </row>
    <row r="443" spans="1:15">
      <c r="A443" s="60"/>
      <c r="B443" s="60" t="s">
        <v>236</v>
      </c>
      <c r="C443" s="60" t="s">
        <v>622</v>
      </c>
      <c r="D443" s="60" t="s">
        <v>616</v>
      </c>
      <c r="E443" s="60" t="s">
        <v>275</v>
      </c>
      <c r="F443" s="60" t="s">
        <v>276</v>
      </c>
      <c r="G443" s="60" t="s">
        <v>276</v>
      </c>
      <c r="H443" s="60" t="s">
        <v>277</v>
      </c>
      <c r="I443" s="60" t="b">
        <v>0</v>
      </c>
      <c r="J443" s="60">
        <v>67</v>
      </c>
      <c r="K443" s="60">
        <v>374</v>
      </c>
      <c r="L443" s="61">
        <v>407839702</v>
      </c>
      <c r="M443" s="61">
        <v>1200000094144267</v>
      </c>
      <c r="N443" s="60" t="s">
        <v>623</v>
      </c>
      <c r="O443" s="60"/>
    </row>
    <row r="444" spans="1:15">
      <c r="A444" s="60"/>
      <c r="B444" s="60" t="s">
        <v>236</v>
      </c>
      <c r="C444" s="60" t="s">
        <v>622</v>
      </c>
      <c r="D444" s="60" t="s">
        <v>624</v>
      </c>
      <c r="E444" s="60" t="s">
        <v>275</v>
      </c>
      <c r="F444" s="60" t="s">
        <v>276</v>
      </c>
      <c r="G444" s="60" t="s">
        <v>276</v>
      </c>
      <c r="H444" s="60" t="s">
        <v>277</v>
      </c>
      <c r="I444" s="60" t="b">
        <v>0</v>
      </c>
      <c r="J444" s="60">
        <v>66</v>
      </c>
      <c r="K444" s="60">
        <v>382</v>
      </c>
      <c r="L444" s="61">
        <v>406411588</v>
      </c>
      <c r="M444" s="61">
        <v>1200000073397345</v>
      </c>
      <c r="N444" s="60" t="s">
        <v>625</v>
      </c>
      <c r="O444" s="60"/>
    </row>
    <row r="445" spans="1:15">
      <c r="A445" s="60"/>
      <c r="B445" s="60" t="s">
        <v>105</v>
      </c>
      <c r="C445" s="60" t="s">
        <v>443</v>
      </c>
      <c r="D445" s="60" t="s">
        <v>626</v>
      </c>
      <c r="E445" s="60" t="s">
        <v>275</v>
      </c>
      <c r="F445" s="60" t="s">
        <v>276</v>
      </c>
      <c r="G445" s="60" t="s">
        <v>276</v>
      </c>
      <c r="H445" s="60" t="s">
        <v>277</v>
      </c>
      <c r="I445" s="60" t="b">
        <v>0</v>
      </c>
      <c r="J445" s="60">
        <v>389</v>
      </c>
      <c r="K445" s="60">
        <v>128.84</v>
      </c>
      <c r="L445" s="61">
        <v>2098313</v>
      </c>
      <c r="M445" s="61">
        <v>1000000020034216</v>
      </c>
      <c r="N445" s="60" t="s">
        <v>627</v>
      </c>
      <c r="O445" s="60"/>
    </row>
    <row r="446" spans="1:15">
      <c r="A446" s="60"/>
      <c r="B446" s="60" t="s">
        <v>169</v>
      </c>
      <c r="C446" s="60" t="s">
        <v>308</v>
      </c>
      <c r="D446" s="60" t="s">
        <v>628</v>
      </c>
      <c r="E446" s="60" t="s">
        <v>332</v>
      </c>
      <c r="F446" s="60" t="s">
        <v>276</v>
      </c>
      <c r="G446" s="60" t="s">
        <v>333</v>
      </c>
      <c r="H446" s="60" t="s">
        <v>277</v>
      </c>
      <c r="I446" s="60" t="b">
        <v>0</v>
      </c>
      <c r="J446" s="60">
        <v>28</v>
      </c>
      <c r="K446" s="60">
        <v>918.55</v>
      </c>
      <c r="L446" s="61">
        <v>12609700</v>
      </c>
      <c r="M446" s="61">
        <v>1.7798603051409641E+18</v>
      </c>
      <c r="N446" s="60" t="s">
        <v>629</v>
      </c>
      <c r="O446" s="60"/>
    </row>
    <row r="447" spans="1:15">
      <c r="A447" s="60"/>
      <c r="B447" s="60" t="s">
        <v>173</v>
      </c>
      <c r="C447" s="60" t="s">
        <v>561</v>
      </c>
      <c r="D447" s="60" t="s">
        <v>630</v>
      </c>
      <c r="E447" s="60" t="s">
        <v>275</v>
      </c>
      <c r="F447" s="60" t="s">
        <v>276</v>
      </c>
      <c r="G447" s="60" t="s">
        <v>276</v>
      </c>
      <c r="H447" s="60" t="s">
        <v>277</v>
      </c>
      <c r="I447" s="60" t="b">
        <v>0</v>
      </c>
      <c r="J447" s="60">
        <v>16</v>
      </c>
      <c r="K447" s="60">
        <v>1403.6</v>
      </c>
      <c r="L447" s="61">
        <v>6199973</v>
      </c>
      <c r="M447" s="61">
        <v>1000000057926996</v>
      </c>
      <c r="N447" s="60" t="s">
        <v>631</v>
      </c>
      <c r="O447" s="60"/>
    </row>
    <row r="448" spans="1:15">
      <c r="A448" s="60"/>
      <c r="B448" s="60" t="s">
        <v>173</v>
      </c>
      <c r="C448" s="60" t="s">
        <v>561</v>
      </c>
      <c r="D448" s="60" t="s">
        <v>630</v>
      </c>
      <c r="E448" s="60" t="s">
        <v>275</v>
      </c>
      <c r="F448" s="60" t="s">
        <v>276</v>
      </c>
      <c r="G448" s="60" t="s">
        <v>276</v>
      </c>
      <c r="H448" s="60" t="s">
        <v>277</v>
      </c>
      <c r="I448" s="60" t="b">
        <v>0</v>
      </c>
      <c r="J448" s="60">
        <v>17</v>
      </c>
      <c r="K448" s="60">
        <v>1403.5</v>
      </c>
      <c r="L448" s="61">
        <v>6199972</v>
      </c>
      <c r="M448" s="61">
        <v>1000000057926996</v>
      </c>
      <c r="N448" s="60" t="s">
        <v>631</v>
      </c>
      <c r="O448" s="60"/>
    </row>
    <row r="449" spans="1:15">
      <c r="A449" s="60"/>
      <c r="B449" s="60" t="s">
        <v>173</v>
      </c>
      <c r="C449" s="60" t="s">
        <v>561</v>
      </c>
      <c r="D449" s="60" t="s">
        <v>630</v>
      </c>
      <c r="E449" s="60" t="s">
        <v>275</v>
      </c>
      <c r="F449" s="60" t="s">
        <v>276</v>
      </c>
      <c r="G449" s="60" t="s">
        <v>276</v>
      </c>
      <c r="H449" s="60" t="s">
        <v>277</v>
      </c>
      <c r="I449" s="60" t="b">
        <v>0</v>
      </c>
      <c r="J449" s="60">
        <v>3</v>
      </c>
      <c r="K449" s="60">
        <v>1403.7</v>
      </c>
      <c r="L449" s="61">
        <v>6199974</v>
      </c>
      <c r="M449" s="61">
        <v>1000000057926996</v>
      </c>
      <c r="N449" s="60" t="s">
        <v>631</v>
      </c>
      <c r="O449" s="60"/>
    </row>
    <row r="450" spans="1:15">
      <c r="A450" s="60"/>
      <c r="B450" s="60" t="s">
        <v>176</v>
      </c>
      <c r="C450" s="60" t="s">
        <v>593</v>
      </c>
      <c r="D450" s="60" t="s">
        <v>630</v>
      </c>
      <c r="E450" s="60" t="s">
        <v>275</v>
      </c>
      <c r="F450" s="60" t="s">
        <v>276</v>
      </c>
      <c r="G450" s="60" t="s">
        <v>276</v>
      </c>
      <c r="H450" s="60" t="s">
        <v>277</v>
      </c>
      <c r="I450" s="60" t="b">
        <v>0</v>
      </c>
      <c r="J450" s="60">
        <v>11</v>
      </c>
      <c r="K450" s="60">
        <v>2954.2</v>
      </c>
      <c r="L450" s="61">
        <v>6227790</v>
      </c>
      <c r="M450" s="61">
        <v>1000000058217452</v>
      </c>
      <c r="N450" s="60" t="s">
        <v>632</v>
      </c>
      <c r="O450" s="60"/>
    </row>
    <row r="451" spans="1:15">
      <c r="A451" s="60"/>
      <c r="B451" s="60" t="s">
        <v>176</v>
      </c>
      <c r="C451" s="60" t="s">
        <v>593</v>
      </c>
      <c r="D451" s="60" t="s">
        <v>630</v>
      </c>
      <c r="E451" s="60" t="s">
        <v>275</v>
      </c>
      <c r="F451" s="60" t="s">
        <v>276</v>
      </c>
      <c r="G451" s="60" t="s">
        <v>276</v>
      </c>
      <c r="H451" s="60" t="s">
        <v>277</v>
      </c>
      <c r="I451" s="60" t="b">
        <v>0</v>
      </c>
      <c r="J451" s="60">
        <v>6</v>
      </c>
      <c r="K451" s="60">
        <v>2954.3998999999999</v>
      </c>
      <c r="L451" s="61">
        <v>6227791</v>
      </c>
      <c r="M451" s="61">
        <v>1000000058217452</v>
      </c>
      <c r="N451" s="60" t="s">
        <v>632</v>
      </c>
      <c r="O451" s="60"/>
    </row>
    <row r="452" spans="1:15">
      <c r="A452" s="60"/>
      <c r="B452" s="60" t="s">
        <v>155</v>
      </c>
      <c r="C452" s="60" t="s">
        <v>566</v>
      </c>
      <c r="D452" s="60" t="s">
        <v>630</v>
      </c>
      <c r="E452" s="60" t="s">
        <v>275</v>
      </c>
      <c r="F452" s="60" t="s">
        <v>276</v>
      </c>
      <c r="G452" s="60" t="s">
        <v>276</v>
      </c>
      <c r="H452" s="60" t="s">
        <v>326</v>
      </c>
      <c r="I452" s="60" t="b">
        <v>0</v>
      </c>
      <c r="J452" s="60">
        <v>5</v>
      </c>
      <c r="K452" s="60">
        <v>1292.8</v>
      </c>
      <c r="L452" s="61">
        <v>407699801</v>
      </c>
      <c r="M452" s="61">
        <v>1200000079624074</v>
      </c>
      <c r="N452" s="60" t="s">
        <v>633</v>
      </c>
      <c r="O452" s="60"/>
    </row>
    <row r="453" spans="1:15">
      <c r="A453" s="60"/>
      <c r="B453" s="60" t="s">
        <v>155</v>
      </c>
      <c r="C453" s="60" t="s">
        <v>566</v>
      </c>
      <c r="D453" s="60" t="s">
        <v>630</v>
      </c>
      <c r="E453" s="60" t="s">
        <v>275</v>
      </c>
      <c r="F453" s="60" t="s">
        <v>276</v>
      </c>
      <c r="G453" s="60" t="s">
        <v>276</v>
      </c>
      <c r="H453" s="60" t="s">
        <v>326</v>
      </c>
      <c r="I453" s="60" t="b">
        <v>0</v>
      </c>
      <c r="J453" s="60">
        <v>1</v>
      </c>
      <c r="K453" s="60">
        <v>1293.0999999999999</v>
      </c>
      <c r="L453" s="61">
        <v>407699795</v>
      </c>
      <c r="M453" s="61">
        <v>1200000079624074</v>
      </c>
      <c r="N453" s="60" t="s">
        <v>633</v>
      </c>
      <c r="O453" s="60"/>
    </row>
    <row r="454" spans="1:15">
      <c r="A454" s="60"/>
      <c r="B454" s="60" t="s">
        <v>155</v>
      </c>
      <c r="C454" s="60" t="s">
        <v>566</v>
      </c>
      <c r="D454" s="60" t="s">
        <v>630</v>
      </c>
      <c r="E454" s="60" t="s">
        <v>275</v>
      </c>
      <c r="F454" s="60" t="s">
        <v>276</v>
      </c>
      <c r="G454" s="60" t="s">
        <v>276</v>
      </c>
      <c r="H454" s="60" t="s">
        <v>326</v>
      </c>
      <c r="I454" s="60" t="b">
        <v>0</v>
      </c>
      <c r="J454" s="60">
        <v>13</v>
      </c>
      <c r="K454" s="60">
        <v>1293.2</v>
      </c>
      <c r="L454" s="61">
        <v>407699794</v>
      </c>
      <c r="M454" s="61">
        <v>1200000079624074</v>
      </c>
      <c r="N454" s="60" t="s">
        <v>633</v>
      </c>
      <c r="O454" s="60"/>
    </row>
    <row r="455" spans="1:15">
      <c r="A455" s="60"/>
      <c r="B455" s="60" t="s">
        <v>155</v>
      </c>
      <c r="C455" s="60" t="s">
        <v>566</v>
      </c>
      <c r="D455" s="60" t="s">
        <v>630</v>
      </c>
      <c r="E455" s="60" t="s">
        <v>275</v>
      </c>
      <c r="F455" s="60" t="s">
        <v>276</v>
      </c>
      <c r="G455" s="60" t="s">
        <v>276</v>
      </c>
      <c r="H455" s="60" t="s">
        <v>326</v>
      </c>
      <c r="I455" s="60" t="b">
        <v>0</v>
      </c>
      <c r="J455" s="60">
        <v>3</v>
      </c>
      <c r="K455" s="60">
        <v>1292.5</v>
      </c>
      <c r="L455" s="61">
        <v>407699804</v>
      </c>
      <c r="M455" s="61">
        <v>1200000079624074</v>
      </c>
      <c r="N455" s="60" t="s">
        <v>633</v>
      </c>
      <c r="O455" s="60"/>
    </row>
    <row r="456" spans="1:15">
      <c r="A456" s="60"/>
      <c r="B456" s="60" t="s">
        <v>155</v>
      </c>
      <c r="C456" s="60" t="s">
        <v>566</v>
      </c>
      <c r="D456" s="60" t="s">
        <v>630</v>
      </c>
      <c r="E456" s="60" t="s">
        <v>275</v>
      </c>
      <c r="F456" s="60" t="s">
        <v>276</v>
      </c>
      <c r="G456" s="60" t="s">
        <v>276</v>
      </c>
      <c r="H456" s="60" t="s">
        <v>326</v>
      </c>
      <c r="I456" s="60" t="b">
        <v>0</v>
      </c>
      <c r="J456" s="60">
        <v>3</v>
      </c>
      <c r="K456" s="60">
        <v>1292.5</v>
      </c>
      <c r="L456" s="61">
        <v>407699805</v>
      </c>
      <c r="M456" s="61">
        <v>1200000079624074</v>
      </c>
      <c r="N456" s="60" t="s">
        <v>633</v>
      </c>
      <c r="O456" s="60"/>
    </row>
    <row r="457" spans="1:15">
      <c r="A457" s="60"/>
      <c r="B457" s="60" t="s">
        <v>155</v>
      </c>
      <c r="C457" s="60" t="s">
        <v>566</v>
      </c>
      <c r="D457" s="60" t="s">
        <v>630</v>
      </c>
      <c r="E457" s="60" t="s">
        <v>275</v>
      </c>
      <c r="F457" s="60" t="s">
        <v>276</v>
      </c>
      <c r="G457" s="60" t="s">
        <v>276</v>
      </c>
      <c r="H457" s="60" t="s">
        <v>326</v>
      </c>
      <c r="I457" s="60" t="b">
        <v>0</v>
      </c>
      <c r="J457" s="60">
        <v>4</v>
      </c>
      <c r="K457" s="60">
        <v>1292.7</v>
      </c>
      <c r="L457" s="61">
        <v>407699802</v>
      </c>
      <c r="M457" s="61">
        <v>1200000079624074</v>
      </c>
      <c r="N457" s="60" t="s">
        <v>633</v>
      </c>
      <c r="O457" s="60"/>
    </row>
    <row r="458" spans="1:15">
      <c r="A458" s="60"/>
      <c r="B458" s="60" t="s">
        <v>155</v>
      </c>
      <c r="C458" s="60" t="s">
        <v>566</v>
      </c>
      <c r="D458" s="60" t="s">
        <v>630</v>
      </c>
      <c r="E458" s="60" t="s">
        <v>275</v>
      </c>
      <c r="F458" s="60" t="s">
        <v>276</v>
      </c>
      <c r="G458" s="60" t="s">
        <v>276</v>
      </c>
      <c r="H458" s="60" t="s">
        <v>326</v>
      </c>
      <c r="I458" s="60" t="b">
        <v>0</v>
      </c>
      <c r="J458" s="60">
        <v>4</v>
      </c>
      <c r="K458" s="60">
        <v>1292.8</v>
      </c>
      <c r="L458" s="61">
        <v>407699799</v>
      </c>
      <c r="M458" s="61">
        <v>1200000079624074</v>
      </c>
      <c r="N458" s="60" t="s">
        <v>633</v>
      </c>
      <c r="O458" s="60"/>
    </row>
    <row r="459" spans="1:15">
      <c r="A459" s="60"/>
      <c r="B459" s="60" t="s">
        <v>155</v>
      </c>
      <c r="C459" s="60" t="s">
        <v>566</v>
      </c>
      <c r="D459" s="60" t="s">
        <v>630</v>
      </c>
      <c r="E459" s="60" t="s">
        <v>275</v>
      </c>
      <c r="F459" s="60" t="s">
        <v>276</v>
      </c>
      <c r="G459" s="60" t="s">
        <v>276</v>
      </c>
      <c r="H459" s="60" t="s">
        <v>326</v>
      </c>
      <c r="I459" s="60" t="b">
        <v>0</v>
      </c>
      <c r="J459" s="60">
        <v>4</v>
      </c>
      <c r="K459" s="60">
        <v>1292.8</v>
      </c>
      <c r="L459" s="61">
        <v>407699800</v>
      </c>
      <c r="M459" s="61">
        <v>1200000079624074</v>
      </c>
      <c r="N459" s="60" t="s">
        <v>633</v>
      </c>
      <c r="O459" s="60"/>
    </row>
    <row r="460" spans="1:15">
      <c r="A460" s="60"/>
      <c r="B460" s="60" t="s">
        <v>155</v>
      </c>
      <c r="C460" s="60" t="s">
        <v>566</v>
      </c>
      <c r="D460" s="60" t="s">
        <v>630</v>
      </c>
      <c r="E460" s="60" t="s">
        <v>275</v>
      </c>
      <c r="F460" s="60" t="s">
        <v>276</v>
      </c>
      <c r="G460" s="60" t="s">
        <v>276</v>
      </c>
      <c r="H460" s="60" t="s">
        <v>326</v>
      </c>
      <c r="I460" s="60" t="b">
        <v>0</v>
      </c>
      <c r="J460" s="60">
        <v>4</v>
      </c>
      <c r="K460" s="60">
        <v>1293</v>
      </c>
      <c r="L460" s="61">
        <v>407699797</v>
      </c>
      <c r="M460" s="61">
        <v>1200000079624074</v>
      </c>
      <c r="N460" s="60" t="s">
        <v>633</v>
      </c>
      <c r="O460" s="60"/>
    </row>
    <row r="461" spans="1:15">
      <c r="A461" s="60"/>
      <c r="B461" s="60" t="s">
        <v>155</v>
      </c>
      <c r="C461" s="60" t="s">
        <v>566</v>
      </c>
      <c r="D461" s="60" t="s">
        <v>630</v>
      </c>
      <c r="E461" s="60" t="s">
        <v>275</v>
      </c>
      <c r="F461" s="60" t="s">
        <v>276</v>
      </c>
      <c r="G461" s="60" t="s">
        <v>276</v>
      </c>
      <c r="H461" s="60" t="s">
        <v>326</v>
      </c>
      <c r="I461" s="60" t="b">
        <v>0</v>
      </c>
      <c r="J461" s="60">
        <v>4</v>
      </c>
      <c r="K461" s="60">
        <v>1293.0999999999999</v>
      </c>
      <c r="L461" s="61">
        <v>407699796</v>
      </c>
      <c r="M461" s="61">
        <v>1200000079624074</v>
      </c>
      <c r="N461" s="60" t="s">
        <v>633</v>
      </c>
      <c r="O461" s="60"/>
    </row>
    <row r="462" spans="1:15">
      <c r="A462" s="60"/>
      <c r="B462" s="60" t="s">
        <v>155</v>
      </c>
      <c r="C462" s="60" t="s">
        <v>566</v>
      </c>
      <c r="D462" s="60" t="s">
        <v>630</v>
      </c>
      <c r="E462" s="60" t="s">
        <v>275</v>
      </c>
      <c r="F462" s="60" t="s">
        <v>276</v>
      </c>
      <c r="G462" s="60" t="s">
        <v>276</v>
      </c>
      <c r="H462" s="60" t="s">
        <v>326</v>
      </c>
      <c r="I462" s="60" t="b">
        <v>0</v>
      </c>
      <c r="J462" s="60">
        <v>4</v>
      </c>
      <c r="K462" s="60">
        <v>1293.3</v>
      </c>
      <c r="L462" s="61">
        <v>407699793</v>
      </c>
      <c r="M462" s="61">
        <v>1200000079624074</v>
      </c>
      <c r="N462" s="60" t="s">
        <v>633</v>
      </c>
      <c r="O462" s="60"/>
    </row>
    <row r="463" spans="1:15">
      <c r="A463" s="60"/>
      <c r="B463" s="60" t="s">
        <v>155</v>
      </c>
      <c r="C463" s="60" t="s">
        <v>566</v>
      </c>
      <c r="D463" s="60" t="s">
        <v>630</v>
      </c>
      <c r="E463" s="60" t="s">
        <v>275</v>
      </c>
      <c r="F463" s="60" t="s">
        <v>276</v>
      </c>
      <c r="G463" s="60" t="s">
        <v>276</v>
      </c>
      <c r="H463" s="60" t="s">
        <v>326</v>
      </c>
      <c r="I463" s="60" t="b">
        <v>0</v>
      </c>
      <c r="J463" s="60">
        <v>10</v>
      </c>
      <c r="K463" s="60">
        <v>1292.5999999999999</v>
      </c>
      <c r="L463" s="61">
        <v>407699803</v>
      </c>
      <c r="M463" s="61">
        <v>1200000079624074</v>
      </c>
      <c r="N463" s="60" t="s">
        <v>633</v>
      </c>
      <c r="O463" s="60"/>
    </row>
    <row r="464" spans="1:15">
      <c r="A464" s="60"/>
      <c r="B464" s="60" t="s">
        <v>155</v>
      </c>
      <c r="C464" s="60" t="s">
        <v>566</v>
      </c>
      <c r="D464" s="60" t="s">
        <v>630</v>
      </c>
      <c r="E464" s="60" t="s">
        <v>275</v>
      </c>
      <c r="F464" s="60" t="s">
        <v>276</v>
      </c>
      <c r="G464" s="60" t="s">
        <v>276</v>
      </c>
      <c r="H464" s="60" t="s">
        <v>326</v>
      </c>
      <c r="I464" s="60" t="b">
        <v>0</v>
      </c>
      <c r="J464" s="60">
        <v>5</v>
      </c>
      <c r="K464" s="60">
        <v>1293</v>
      </c>
      <c r="L464" s="61">
        <v>407699798</v>
      </c>
      <c r="M464" s="61">
        <v>1200000079624074</v>
      </c>
      <c r="N464" s="60" t="s">
        <v>633</v>
      </c>
      <c r="O464" s="60"/>
    </row>
    <row r="465" spans="1:15">
      <c r="A465" s="60"/>
      <c r="B465" s="60" t="s">
        <v>155</v>
      </c>
      <c r="C465" s="60" t="s">
        <v>566</v>
      </c>
      <c r="D465" s="60" t="s">
        <v>630</v>
      </c>
      <c r="E465" s="60" t="s">
        <v>275</v>
      </c>
      <c r="F465" s="60" t="s">
        <v>276</v>
      </c>
      <c r="G465" s="60" t="s">
        <v>276</v>
      </c>
      <c r="H465" s="60" t="s">
        <v>326</v>
      </c>
      <c r="I465" s="60" t="b">
        <v>0</v>
      </c>
      <c r="J465" s="60">
        <v>6</v>
      </c>
      <c r="K465" s="60">
        <v>1292.5</v>
      </c>
      <c r="L465" s="61">
        <v>407699806</v>
      </c>
      <c r="M465" s="61">
        <v>1200000079624074</v>
      </c>
      <c r="N465" s="60" t="s">
        <v>633</v>
      </c>
      <c r="O465" s="60"/>
    </row>
    <row r="466" spans="1:15">
      <c r="A466" s="60"/>
      <c r="B466" s="60" t="s">
        <v>150</v>
      </c>
      <c r="C466" s="60" t="s">
        <v>591</v>
      </c>
      <c r="D466" s="60" t="s">
        <v>630</v>
      </c>
      <c r="E466" s="60" t="s">
        <v>275</v>
      </c>
      <c r="F466" s="60" t="s">
        <v>276</v>
      </c>
      <c r="G466" s="60" t="s">
        <v>276</v>
      </c>
      <c r="H466" s="60" t="s">
        <v>277</v>
      </c>
      <c r="I466" s="60" t="b">
        <v>0</v>
      </c>
      <c r="J466" s="60">
        <v>11</v>
      </c>
      <c r="K466" s="60">
        <v>1376</v>
      </c>
      <c r="L466" s="61">
        <v>408238914</v>
      </c>
      <c r="M466" s="61">
        <v>1200000084934801</v>
      </c>
      <c r="N466" s="60" t="s">
        <v>634</v>
      </c>
      <c r="O466" s="60"/>
    </row>
    <row r="467" spans="1:15">
      <c r="A467" s="60"/>
      <c r="B467" s="60" t="s">
        <v>150</v>
      </c>
      <c r="C467" s="60" t="s">
        <v>591</v>
      </c>
      <c r="D467" s="60" t="s">
        <v>630</v>
      </c>
      <c r="E467" s="60" t="s">
        <v>275</v>
      </c>
      <c r="F467" s="60" t="s">
        <v>276</v>
      </c>
      <c r="G467" s="60" t="s">
        <v>276</v>
      </c>
      <c r="H467" s="60" t="s">
        <v>277</v>
      </c>
      <c r="I467" s="60" t="b">
        <v>0</v>
      </c>
      <c r="J467" s="60">
        <v>13</v>
      </c>
      <c r="K467" s="60">
        <v>1376</v>
      </c>
      <c r="L467" s="61">
        <v>408238918</v>
      </c>
      <c r="M467" s="61">
        <v>1200000084934801</v>
      </c>
      <c r="N467" s="60" t="s">
        <v>634</v>
      </c>
      <c r="O467" s="60"/>
    </row>
    <row r="468" spans="1:15">
      <c r="A468" s="60"/>
      <c r="B468" s="60" t="s">
        <v>150</v>
      </c>
      <c r="C468" s="60" t="s">
        <v>591</v>
      </c>
      <c r="D468" s="60" t="s">
        <v>630</v>
      </c>
      <c r="E468" s="60" t="s">
        <v>275</v>
      </c>
      <c r="F468" s="60" t="s">
        <v>276</v>
      </c>
      <c r="G468" s="60" t="s">
        <v>276</v>
      </c>
      <c r="H468" s="60" t="s">
        <v>277</v>
      </c>
      <c r="I468" s="60" t="b">
        <v>0</v>
      </c>
      <c r="J468" s="60">
        <v>4</v>
      </c>
      <c r="K468" s="60">
        <v>1376</v>
      </c>
      <c r="L468" s="61">
        <v>408238915</v>
      </c>
      <c r="M468" s="61">
        <v>1200000084934801</v>
      </c>
      <c r="N468" s="60" t="s">
        <v>634</v>
      </c>
      <c r="O468" s="60"/>
    </row>
    <row r="469" spans="1:15">
      <c r="A469" s="60"/>
      <c r="B469" s="60" t="s">
        <v>150</v>
      </c>
      <c r="C469" s="60" t="s">
        <v>591</v>
      </c>
      <c r="D469" s="60" t="s">
        <v>630</v>
      </c>
      <c r="E469" s="60" t="s">
        <v>275</v>
      </c>
      <c r="F469" s="60" t="s">
        <v>276</v>
      </c>
      <c r="G469" s="60" t="s">
        <v>276</v>
      </c>
      <c r="H469" s="60" t="s">
        <v>277</v>
      </c>
      <c r="I469" s="60" t="b">
        <v>0</v>
      </c>
      <c r="J469" s="60">
        <v>4</v>
      </c>
      <c r="K469" s="60">
        <v>1376</v>
      </c>
      <c r="L469" s="61">
        <v>408238916</v>
      </c>
      <c r="M469" s="61">
        <v>1200000084934801</v>
      </c>
      <c r="N469" s="60" t="s">
        <v>634</v>
      </c>
      <c r="O469" s="60"/>
    </row>
    <row r="470" spans="1:15">
      <c r="A470" s="60"/>
      <c r="B470" s="60" t="s">
        <v>150</v>
      </c>
      <c r="C470" s="60" t="s">
        <v>591</v>
      </c>
      <c r="D470" s="60" t="s">
        <v>630</v>
      </c>
      <c r="E470" s="60" t="s">
        <v>275</v>
      </c>
      <c r="F470" s="60" t="s">
        <v>276</v>
      </c>
      <c r="G470" s="60" t="s">
        <v>276</v>
      </c>
      <c r="H470" s="60" t="s">
        <v>277</v>
      </c>
      <c r="I470" s="60" t="b">
        <v>0</v>
      </c>
      <c r="J470" s="60">
        <v>5</v>
      </c>
      <c r="K470" s="60">
        <v>1376</v>
      </c>
      <c r="L470" s="61">
        <v>408238917</v>
      </c>
      <c r="M470" s="61">
        <v>1200000084934801</v>
      </c>
      <c r="N470" s="60" t="s">
        <v>634</v>
      </c>
      <c r="O470" s="60"/>
    </row>
    <row r="471" spans="1:15">
      <c r="A471" s="60"/>
      <c r="B471" s="60" t="s">
        <v>169</v>
      </c>
      <c r="C471" s="60" t="s">
        <v>308</v>
      </c>
      <c r="D471" s="60" t="s">
        <v>630</v>
      </c>
      <c r="E471" s="60" t="s">
        <v>332</v>
      </c>
      <c r="F471" s="60" t="s">
        <v>276</v>
      </c>
      <c r="G471" s="60" t="s">
        <v>333</v>
      </c>
      <c r="H471" s="60" t="s">
        <v>277</v>
      </c>
      <c r="I471" s="60" t="b">
        <v>0</v>
      </c>
      <c r="J471" s="60">
        <v>107</v>
      </c>
      <c r="K471" s="60">
        <v>925</v>
      </c>
      <c r="L471" s="61">
        <v>11520400</v>
      </c>
      <c r="M471" s="61">
        <v>1.7800445661825029E+18</v>
      </c>
      <c r="N471" s="60" t="s">
        <v>635</v>
      </c>
      <c r="O471" s="60"/>
    </row>
    <row r="472" spans="1:15">
      <c r="A472" s="60"/>
      <c r="B472" s="60" t="s">
        <v>169</v>
      </c>
      <c r="C472" s="60" t="s">
        <v>308</v>
      </c>
      <c r="D472" s="60" t="s">
        <v>630</v>
      </c>
      <c r="E472" s="60" t="s">
        <v>332</v>
      </c>
      <c r="F472" s="60" t="s">
        <v>276</v>
      </c>
      <c r="G472" s="60" t="s">
        <v>333</v>
      </c>
      <c r="H472" s="60" t="s">
        <v>277</v>
      </c>
      <c r="I472" s="60" t="b">
        <v>0</v>
      </c>
      <c r="J472" s="60">
        <v>1</v>
      </c>
      <c r="K472" s="60">
        <v>924.95</v>
      </c>
      <c r="L472" s="61">
        <v>11520200</v>
      </c>
      <c r="M472" s="61">
        <v>1.7800445661825029E+18</v>
      </c>
      <c r="N472" s="60" t="s">
        <v>635</v>
      </c>
      <c r="O472" s="60"/>
    </row>
    <row r="473" spans="1:15">
      <c r="A473" s="60"/>
      <c r="B473" s="60" t="s">
        <v>178</v>
      </c>
      <c r="C473" s="60" t="s">
        <v>609</v>
      </c>
      <c r="D473" s="60" t="s">
        <v>630</v>
      </c>
      <c r="E473" s="60" t="s">
        <v>275</v>
      </c>
      <c r="F473" s="60" t="s">
        <v>276</v>
      </c>
      <c r="G473" s="60" t="s">
        <v>276</v>
      </c>
      <c r="H473" s="60" t="s">
        <v>277</v>
      </c>
      <c r="I473" s="60" t="b">
        <v>0</v>
      </c>
      <c r="J473" s="60">
        <v>70</v>
      </c>
      <c r="K473" s="60">
        <v>713</v>
      </c>
      <c r="L473" s="61">
        <v>608879648</v>
      </c>
      <c r="M473" s="61">
        <v>1300000087920019</v>
      </c>
      <c r="N473" s="60" t="s">
        <v>636</v>
      </c>
      <c r="O473" s="60"/>
    </row>
    <row r="474" spans="1:15">
      <c r="A474" s="60"/>
      <c r="B474" s="60" t="s">
        <v>180</v>
      </c>
      <c r="C474" s="60" t="s">
        <v>568</v>
      </c>
      <c r="D474" s="60" t="s">
        <v>630</v>
      </c>
      <c r="E474" s="60" t="s">
        <v>275</v>
      </c>
      <c r="F474" s="60" t="s">
        <v>276</v>
      </c>
      <c r="G474" s="60" t="s">
        <v>276</v>
      </c>
      <c r="H474" s="60" t="s">
        <v>277</v>
      </c>
      <c r="I474" s="60" t="b">
        <v>0</v>
      </c>
      <c r="J474" s="60">
        <v>244</v>
      </c>
      <c r="K474" s="60">
        <v>409.9</v>
      </c>
      <c r="L474" s="61">
        <v>8090330</v>
      </c>
      <c r="M474" s="61">
        <v>1000000076792736</v>
      </c>
      <c r="N474" s="60" t="s">
        <v>637</v>
      </c>
      <c r="O474" s="60"/>
    </row>
    <row r="475" spans="1:15">
      <c r="A475" s="60"/>
      <c r="B475" s="60" t="s">
        <v>187</v>
      </c>
      <c r="C475" s="60" t="s">
        <v>342</v>
      </c>
      <c r="D475" s="60" t="s">
        <v>630</v>
      </c>
      <c r="E475" s="60" t="s">
        <v>275</v>
      </c>
      <c r="F475" s="60" t="s">
        <v>276</v>
      </c>
      <c r="G475" s="60" t="s">
        <v>276</v>
      </c>
      <c r="H475" s="60" t="s">
        <v>277</v>
      </c>
      <c r="I475" s="60" t="b">
        <v>0</v>
      </c>
      <c r="J475" s="60">
        <v>87</v>
      </c>
      <c r="K475" s="60">
        <v>1144.5</v>
      </c>
      <c r="L475" s="61">
        <v>211244603</v>
      </c>
      <c r="M475" s="61">
        <v>1100000100105170</v>
      </c>
      <c r="N475" s="60" t="s">
        <v>638</v>
      </c>
      <c r="O475" s="60"/>
    </row>
    <row r="476" spans="1:15">
      <c r="A476" s="60"/>
      <c r="B476" s="60" t="s">
        <v>162</v>
      </c>
      <c r="C476" s="60" t="s">
        <v>439</v>
      </c>
      <c r="D476" s="60" t="s">
        <v>630</v>
      </c>
      <c r="E476" s="60" t="s">
        <v>275</v>
      </c>
      <c r="F476" s="60" t="s">
        <v>276</v>
      </c>
      <c r="G476" s="60" t="s">
        <v>276</v>
      </c>
      <c r="H476" s="60" t="s">
        <v>326</v>
      </c>
      <c r="I476" s="60" t="b">
        <v>0</v>
      </c>
      <c r="J476" s="60">
        <v>295</v>
      </c>
      <c r="K476" s="60">
        <v>87.52</v>
      </c>
      <c r="L476" s="61">
        <v>410292681</v>
      </c>
      <c r="M476" s="61">
        <v>1200000097490574</v>
      </c>
      <c r="N476" s="60" t="s">
        <v>639</v>
      </c>
      <c r="O476" s="60"/>
    </row>
    <row r="477" spans="1:15">
      <c r="A477" s="60"/>
      <c r="B477" s="60" t="s">
        <v>162</v>
      </c>
      <c r="C477" s="60" t="s">
        <v>439</v>
      </c>
      <c r="D477" s="60" t="s">
        <v>630</v>
      </c>
      <c r="E477" s="60" t="s">
        <v>275</v>
      </c>
      <c r="F477" s="60" t="s">
        <v>276</v>
      </c>
      <c r="G477" s="60" t="s">
        <v>276</v>
      </c>
      <c r="H477" s="60" t="s">
        <v>326</v>
      </c>
      <c r="I477" s="60" t="b">
        <v>0</v>
      </c>
      <c r="J477" s="60">
        <v>5</v>
      </c>
      <c r="K477" s="60">
        <v>87.52</v>
      </c>
      <c r="L477" s="61">
        <v>410292680</v>
      </c>
      <c r="M477" s="61">
        <v>1200000097490574</v>
      </c>
      <c r="N477" s="60" t="s">
        <v>639</v>
      </c>
      <c r="O477" s="60"/>
    </row>
    <row r="478" spans="1:15">
      <c r="A478" s="60"/>
      <c r="B478" s="60" t="s">
        <v>207</v>
      </c>
      <c r="C478" s="60" t="s">
        <v>640</v>
      </c>
      <c r="D478" s="60" t="s">
        <v>630</v>
      </c>
      <c r="E478" s="60" t="s">
        <v>275</v>
      </c>
      <c r="F478" s="60" t="s">
        <v>276</v>
      </c>
      <c r="G478" s="60" t="s">
        <v>276</v>
      </c>
      <c r="H478" s="60" t="s">
        <v>277</v>
      </c>
      <c r="I478" s="60" t="b">
        <v>0</v>
      </c>
      <c r="J478" s="60">
        <v>4</v>
      </c>
      <c r="K478" s="60">
        <v>4949.7997999999998</v>
      </c>
      <c r="L478" s="61">
        <v>610983964</v>
      </c>
      <c r="M478" s="61">
        <v>1300000098406459</v>
      </c>
      <c r="N478" s="60" t="s">
        <v>641</v>
      </c>
      <c r="O478" s="60"/>
    </row>
    <row r="479" spans="1:15">
      <c r="A479" s="60"/>
      <c r="B479" s="60" t="s">
        <v>207</v>
      </c>
      <c r="C479" s="60" t="s">
        <v>640</v>
      </c>
      <c r="D479" s="60" t="s">
        <v>630</v>
      </c>
      <c r="E479" s="60" t="s">
        <v>275</v>
      </c>
      <c r="F479" s="60" t="s">
        <v>276</v>
      </c>
      <c r="G479" s="60" t="s">
        <v>276</v>
      </c>
      <c r="H479" s="60" t="s">
        <v>277</v>
      </c>
      <c r="I479" s="60" t="b">
        <v>0</v>
      </c>
      <c r="J479" s="60">
        <v>4</v>
      </c>
      <c r="K479" s="60">
        <v>4949.7997999999998</v>
      </c>
      <c r="L479" s="61">
        <v>610983965</v>
      </c>
      <c r="M479" s="61">
        <v>1300000098406459</v>
      </c>
      <c r="N479" s="60" t="s">
        <v>641</v>
      </c>
      <c r="O479" s="60"/>
    </row>
    <row r="480" spans="1:15">
      <c r="A480" s="60"/>
      <c r="B480" s="60" t="s">
        <v>207</v>
      </c>
      <c r="C480" s="60" t="s">
        <v>640</v>
      </c>
      <c r="D480" s="60" t="s">
        <v>642</v>
      </c>
      <c r="E480" s="60" t="s">
        <v>275</v>
      </c>
      <c r="F480" s="60" t="s">
        <v>276</v>
      </c>
      <c r="G480" s="60" t="s">
        <v>276</v>
      </c>
      <c r="H480" s="60" t="s">
        <v>277</v>
      </c>
      <c r="I480" s="60" t="b">
        <v>0</v>
      </c>
      <c r="J480" s="60">
        <v>3</v>
      </c>
      <c r="K480" s="60">
        <v>4997.3999000000003</v>
      </c>
      <c r="L480" s="61">
        <v>608407266</v>
      </c>
      <c r="M480" s="61">
        <v>1300000084210335</v>
      </c>
      <c r="N480" s="60" t="s">
        <v>643</v>
      </c>
      <c r="O480" s="60"/>
    </row>
    <row r="481" spans="1:15">
      <c r="A481" s="60"/>
      <c r="B481" s="60" t="s">
        <v>228</v>
      </c>
      <c r="C481" s="60" t="s">
        <v>644</v>
      </c>
      <c r="D481" s="60" t="s">
        <v>642</v>
      </c>
      <c r="E481" s="60" t="s">
        <v>275</v>
      </c>
      <c r="F481" s="60" t="s">
        <v>276</v>
      </c>
      <c r="G481" s="60" t="s">
        <v>276</v>
      </c>
      <c r="H481" s="60" t="s">
        <v>277</v>
      </c>
      <c r="I481" s="60" t="b">
        <v>0</v>
      </c>
      <c r="J481" s="60">
        <v>15</v>
      </c>
      <c r="K481" s="60">
        <v>547</v>
      </c>
      <c r="L481" s="61">
        <v>608423928</v>
      </c>
      <c r="M481" s="61">
        <v>1300000084371531</v>
      </c>
      <c r="N481" s="60" t="s">
        <v>645</v>
      </c>
      <c r="O481" s="60"/>
    </row>
    <row r="482" spans="1:15">
      <c r="A482" s="60"/>
      <c r="B482" s="60" t="s">
        <v>228</v>
      </c>
      <c r="C482" s="60" t="s">
        <v>644</v>
      </c>
      <c r="D482" s="60" t="s">
        <v>642</v>
      </c>
      <c r="E482" s="60" t="s">
        <v>275</v>
      </c>
      <c r="F482" s="60" t="s">
        <v>276</v>
      </c>
      <c r="G482" s="60" t="s">
        <v>276</v>
      </c>
      <c r="H482" s="60" t="s">
        <v>277</v>
      </c>
      <c r="I482" s="60" t="b">
        <v>0</v>
      </c>
      <c r="J482" s="60">
        <v>77</v>
      </c>
      <c r="K482" s="60">
        <v>547</v>
      </c>
      <c r="L482" s="61">
        <v>608423927</v>
      </c>
      <c r="M482" s="61">
        <v>1300000084371531</v>
      </c>
      <c r="N482" s="60" t="s">
        <v>645</v>
      </c>
      <c r="O482" s="60"/>
    </row>
    <row r="483" spans="1:15">
      <c r="A483" s="60"/>
      <c r="B483" s="60" t="s">
        <v>226</v>
      </c>
      <c r="C483" s="60" t="s">
        <v>646</v>
      </c>
      <c r="D483" s="60" t="s">
        <v>642</v>
      </c>
      <c r="E483" s="60" t="s">
        <v>275</v>
      </c>
      <c r="F483" s="60" t="s">
        <v>276</v>
      </c>
      <c r="G483" s="60" t="s">
        <v>276</v>
      </c>
      <c r="H483" s="60" t="s">
        <v>277</v>
      </c>
      <c r="I483" s="60" t="b">
        <v>0</v>
      </c>
      <c r="J483" s="60">
        <v>2</v>
      </c>
      <c r="K483" s="60">
        <v>4599</v>
      </c>
      <c r="L483" s="61">
        <v>407166647</v>
      </c>
      <c r="M483" s="61">
        <v>1200000080958672</v>
      </c>
      <c r="N483" s="60" t="s">
        <v>647</v>
      </c>
      <c r="O483" s="60"/>
    </row>
    <row r="484" spans="1:15">
      <c r="A484" s="60"/>
      <c r="B484" s="60" t="s">
        <v>226</v>
      </c>
      <c r="C484" s="60" t="s">
        <v>646</v>
      </c>
      <c r="D484" s="60" t="s">
        <v>642</v>
      </c>
      <c r="E484" s="60" t="s">
        <v>275</v>
      </c>
      <c r="F484" s="60" t="s">
        <v>276</v>
      </c>
      <c r="G484" s="60" t="s">
        <v>276</v>
      </c>
      <c r="H484" s="60" t="s">
        <v>277</v>
      </c>
      <c r="I484" s="60" t="b">
        <v>0</v>
      </c>
      <c r="J484" s="60">
        <v>4</v>
      </c>
      <c r="K484" s="60">
        <v>4599.2002000000002</v>
      </c>
      <c r="L484" s="61">
        <v>407166649</v>
      </c>
      <c r="M484" s="61">
        <v>1200000080958672</v>
      </c>
      <c r="N484" s="60" t="s">
        <v>647</v>
      </c>
      <c r="O484" s="60"/>
    </row>
    <row r="485" spans="1:15">
      <c r="A485" s="60"/>
      <c r="B485" s="60" t="s">
        <v>226</v>
      </c>
      <c r="C485" s="60" t="s">
        <v>646</v>
      </c>
      <c r="D485" s="60" t="s">
        <v>642</v>
      </c>
      <c r="E485" s="60" t="s">
        <v>275</v>
      </c>
      <c r="F485" s="60" t="s">
        <v>276</v>
      </c>
      <c r="G485" s="60" t="s">
        <v>276</v>
      </c>
      <c r="H485" s="60" t="s">
        <v>277</v>
      </c>
      <c r="I485" s="60" t="b">
        <v>0</v>
      </c>
      <c r="J485" s="60">
        <v>5</v>
      </c>
      <c r="K485" s="60">
        <v>4599.1000999999997</v>
      </c>
      <c r="L485" s="61">
        <v>407166648</v>
      </c>
      <c r="M485" s="61">
        <v>1200000080958672</v>
      </c>
      <c r="N485" s="60" t="s">
        <v>647</v>
      </c>
      <c r="O485" s="60"/>
    </row>
    <row r="486" spans="1:15">
      <c r="A486" s="60"/>
      <c r="B486" s="60" t="s">
        <v>648</v>
      </c>
      <c r="C486" s="60" t="s">
        <v>649</v>
      </c>
      <c r="D486" s="60" t="s">
        <v>642</v>
      </c>
      <c r="E486" s="60" t="s">
        <v>275</v>
      </c>
      <c r="F486" s="60" t="s">
        <v>276</v>
      </c>
      <c r="G486" s="60" t="s">
        <v>276</v>
      </c>
      <c r="H486" s="60" t="s">
        <v>277</v>
      </c>
      <c r="I486" s="60" t="b">
        <v>0</v>
      </c>
      <c r="J486" s="60">
        <v>11</v>
      </c>
      <c r="K486" s="60">
        <v>1092.4000000000001</v>
      </c>
      <c r="L486" s="61">
        <v>608538891</v>
      </c>
      <c r="M486" s="61">
        <v>1300000085516858</v>
      </c>
      <c r="N486" s="60" t="s">
        <v>650</v>
      </c>
      <c r="O486" s="60"/>
    </row>
    <row r="487" spans="1:15">
      <c r="A487" s="60"/>
      <c r="B487" s="60" t="s">
        <v>648</v>
      </c>
      <c r="C487" s="60" t="s">
        <v>649</v>
      </c>
      <c r="D487" s="60" t="s">
        <v>642</v>
      </c>
      <c r="E487" s="60" t="s">
        <v>275</v>
      </c>
      <c r="F487" s="60" t="s">
        <v>276</v>
      </c>
      <c r="G487" s="60" t="s">
        <v>276</v>
      </c>
      <c r="H487" s="60" t="s">
        <v>277</v>
      </c>
      <c r="I487" s="60" t="b">
        <v>0</v>
      </c>
      <c r="J487" s="60">
        <v>35</v>
      </c>
      <c r="K487" s="60">
        <v>1092.4000000000001</v>
      </c>
      <c r="L487" s="61">
        <v>608538892</v>
      </c>
      <c r="M487" s="61">
        <v>1300000085516858</v>
      </c>
      <c r="N487" s="60" t="s">
        <v>650</v>
      </c>
      <c r="O487" s="60"/>
    </row>
    <row r="488" spans="1:15">
      <c r="A488" s="60"/>
      <c r="B488" s="60" t="s">
        <v>125</v>
      </c>
      <c r="C488" s="60" t="s">
        <v>651</v>
      </c>
      <c r="D488" s="60" t="s">
        <v>642</v>
      </c>
      <c r="E488" s="60" t="s">
        <v>275</v>
      </c>
      <c r="F488" s="60" t="s">
        <v>276</v>
      </c>
      <c r="G488" s="60" t="s">
        <v>276</v>
      </c>
      <c r="H488" s="60" t="s">
        <v>277</v>
      </c>
      <c r="I488" s="60" t="b">
        <v>0</v>
      </c>
      <c r="J488" s="60">
        <v>1</v>
      </c>
      <c r="K488" s="60">
        <v>697.1</v>
      </c>
      <c r="L488" s="61">
        <v>608626693</v>
      </c>
      <c r="M488" s="61">
        <v>1300000086413096</v>
      </c>
      <c r="N488" s="60" t="s">
        <v>652</v>
      </c>
      <c r="O488" s="60"/>
    </row>
    <row r="489" spans="1:15">
      <c r="A489" s="60"/>
      <c r="B489" s="60" t="s">
        <v>125</v>
      </c>
      <c r="C489" s="60" t="s">
        <v>651</v>
      </c>
      <c r="D489" s="60" t="s">
        <v>642</v>
      </c>
      <c r="E489" s="60" t="s">
        <v>275</v>
      </c>
      <c r="F489" s="60" t="s">
        <v>276</v>
      </c>
      <c r="G489" s="60" t="s">
        <v>276</v>
      </c>
      <c r="H489" s="60" t="s">
        <v>277</v>
      </c>
      <c r="I489" s="60" t="b">
        <v>0</v>
      </c>
      <c r="J489" s="60">
        <v>22</v>
      </c>
      <c r="K489" s="60">
        <v>697.1</v>
      </c>
      <c r="L489" s="61">
        <v>608626692</v>
      </c>
      <c r="M489" s="61">
        <v>1300000086413096</v>
      </c>
      <c r="N489" s="60" t="s">
        <v>652</v>
      </c>
      <c r="O489" s="60"/>
    </row>
    <row r="490" spans="1:15">
      <c r="A490" s="60"/>
      <c r="B490" s="60" t="s">
        <v>125</v>
      </c>
      <c r="C490" s="60" t="s">
        <v>651</v>
      </c>
      <c r="D490" s="60" t="s">
        <v>642</v>
      </c>
      <c r="E490" s="60" t="s">
        <v>275</v>
      </c>
      <c r="F490" s="60" t="s">
        <v>276</v>
      </c>
      <c r="G490" s="60" t="s">
        <v>276</v>
      </c>
      <c r="H490" s="60" t="s">
        <v>277</v>
      </c>
      <c r="I490" s="60" t="b">
        <v>0</v>
      </c>
      <c r="J490" s="60">
        <v>3</v>
      </c>
      <c r="K490" s="60">
        <v>697.1</v>
      </c>
      <c r="L490" s="61">
        <v>608626694</v>
      </c>
      <c r="M490" s="61">
        <v>1300000086413096</v>
      </c>
      <c r="N490" s="60" t="s">
        <v>652</v>
      </c>
      <c r="O490" s="60"/>
    </row>
    <row r="491" spans="1:15">
      <c r="A491" s="60"/>
      <c r="B491" s="60" t="s">
        <v>125</v>
      </c>
      <c r="C491" s="60" t="s">
        <v>651</v>
      </c>
      <c r="D491" s="60" t="s">
        <v>642</v>
      </c>
      <c r="E491" s="60" t="s">
        <v>275</v>
      </c>
      <c r="F491" s="60" t="s">
        <v>276</v>
      </c>
      <c r="G491" s="60" t="s">
        <v>276</v>
      </c>
      <c r="H491" s="60" t="s">
        <v>277</v>
      </c>
      <c r="I491" s="60" t="b">
        <v>0</v>
      </c>
      <c r="J491" s="60">
        <v>37</v>
      </c>
      <c r="K491" s="60">
        <v>697.1</v>
      </c>
      <c r="L491" s="61">
        <v>608626695</v>
      </c>
      <c r="M491" s="61">
        <v>1300000086413096</v>
      </c>
      <c r="N491" s="60" t="s">
        <v>652</v>
      </c>
      <c r="O491" s="60"/>
    </row>
    <row r="492" spans="1:15">
      <c r="A492" s="60"/>
      <c r="B492" s="60" t="s">
        <v>125</v>
      </c>
      <c r="C492" s="60" t="s">
        <v>651</v>
      </c>
      <c r="D492" s="60" t="s">
        <v>642</v>
      </c>
      <c r="E492" s="60" t="s">
        <v>275</v>
      </c>
      <c r="F492" s="60" t="s">
        <v>276</v>
      </c>
      <c r="G492" s="60" t="s">
        <v>276</v>
      </c>
      <c r="H492" s="60" t="s">
        <v>277</v>
      </c>
      <c r="I492" s="60" t="b">
        <v>0</v>
      </c>
      <c r="J492" s="60">
        <v>9</v>
      </c>
      <c r="K492" s="60">
        <v>697.1</v>
      </c>
      <c r="L492" s="61">
        <v>608626696</v>
      </c>
      <c r="M492" s="61">
        <v>1300000086413096</v>
      </c>
      <c r="N492" s="60" t="s">
        <v>652</v>
      </c>
      <c r="O492" s="60"/>
    </row>
    <row r="493" spans="1:15">
      <c r="A493" s="60"/>
      <c r="B493" s="60" t="s">
        <v>217</v>
      </c>
      <c r="C493" s="60" t="s">
        <v>653</v>
      </c>
      <c r="D493" s="60" t="s">
        <v>642</v>
      </c>
      <c r="E493" s="60" t="s">
        <v>275</v>
      </c>
      <c r="F493" s="60" t="s">
        <v>276</v>
      </c>
      <c r="G493" s="60" t="s">
        <v>276</v>
      </c>
      <c r="H493" s="60" t="s">
        <v>277</v>
      </c>
      <c r="I493" s="60" t="b">
        <v>0</v>
      </c>
      <c r="J493" s="60">
        <v>111</v>
      </c>
      <c r="K493" s="60">
        <v>389.65</v>
      </c>
      <c r="L493" s="61">
        <v>208620145</v>
      </c>
      <c r="M493" s="61">
        <v>1100000080505821</v>
      </c>
      <c r="N493" s="60" t="s">
        <v>654</v>
      </c>
      <c r="O493" s="60"/>
    </row>
    <row r="494" spans="1:15">
      <c r="A494" s="60"/>
      <c r="B494" s="60" t="s">
        <v>217</v>
      </c>
      <c r="C494" s="60" t="s">
        <v>653</v>
      </c>
      <c r="D494" s="60" t="s">
        <v>642</v>
      </c>
      <c r="E494" s="60" t="s">
        <v>275</v>
      </c>
      <c r="F494" s="60" t="s">
        <v>276</v>
      </c>
      <c r="G494" s="60" t="s">
        <v>276</v>
      </c>
      <c r="H494" s="60" t="s">
        <v>277</v>
      </c>
      <c r="I494" s="60" t="b">
        <v>0</v>
      </c>
      <c r="J494" s="60">
        <v>13</v>
      </c>
      <c r="K494" s="60">
        <v>389.65</v>
      </c>
      <c r="L494" s="61">
        <v>208620146</v>
      </c>
      <c r="M494" s="61">
        <v>1100000080505821</v>
      </c>
      <c r="N494" s="60" t="s">
        <v>654</v>
      </c>
      <c r="O494" s="60"/>
    </row>
    <row r="495" spans="1:15">
      <c r="A495" s="60"/>
      <c r="B495" s="60" t="s">
        <v>217</v>
      </c>
      <c r="C495" s="60" t="s">
        <v>653</v>
      </c>
      <c r="D495" s="60" t="s">
        <v>642</v>
      </c>
      <c r="E495" s="60" t="s">
        <v>275</v>
      </c>
      <c r="F495" s="60" t="s">
        <v>276</v>
      </c>
      <c r="G495" s="60" t="s">
        <v>276</v>
      </c>
      <c r="H495" s="60" t="s">
        <v>277</v>
      </c>
      <c r="I495" s="60" t="b">
        <v>0</v>
      </c>
      <c r="J495" s="60">
        <v>5</v>
      </c>
      <c r="K495" s="60">
        <v>389.65</v>
      </c>
      <c r="L495" s="61">
        <v>208620144</v>
      </c>
      <c r="M495" s="61">
        <v>1100000080505821</v>
      </c>
      <c r="N495" s="60" t="s">
        <v>654</v>
      </c>
      <c r="O495" s="60"/>
    </row>
    <row r="496" spans="1:15">
      <c r="A496" s="60"/>
      <c r="B496" s="60" t="s">
        <v>655</v>
      </c>
      <c r="C496" s="60" t="s">
        <v>656</v>
      </c>
      <c r="D496" s="60" t="s">
        <v>657</v>
      </c>
      <c r="E496" s="60" t="s">
        <v>275</v>
      </c>
      <c r="F496" s="60" t="s">
        <v>276</v>
      </c>
      <c r="G496" s="60" t="s">
        <v>276</v>
      </c>
      <c r="H496" s="60" t="s">
        <v>277</v>
      </c>
      <c r="I496" s="60" t="b">
        <v>0</v>
      </c>
      <c r="J496" s="60">
        <v>27</v>
      </c>
      <c r="K496" s="60">
        <v>1101.3</v>
      </c>
      <c r="L496" s="61">
        <v>3959605</v>
      </c>
      <c r="M496" s="61">
        <v>1000000041112468</v>
      </c>
      <c r="N496" s="60" t="s">
        <v>658</v>
      </c>
      <c r="O496" s="60"/>
    </row>
    <row r="497" spans="1:15">
      <c r="A497" s="60"/>
      <c r="B497" s="60" t="s">
        <v>127</v>
      </c>
      <c r="C497" s="60" t="s">
        <v>282</v>
      </c>
      <c r="D497" s="60" t="s">
        <v>657</v>
      </c>
      <c r="E497" s="60" t="s">
        <v>275</v>
      </c>
      <c r="F497" s="60" t="s">
        <v>276</v>
      </c>
      <c r="G497" s="60" t="s">
        <v>276</v>
      </c>
      <c r="H497" s="60" t="s">
        <v>277</v>
      </c>
      <c r="I497" s="60" t="b">
        <v>0</v>
      </c>
      <c r="J497" s="60">
        <v>24</v>
      </c>
      <c r="K497" s="60">
        <v>787.95</v>
      </c>
      <c r="L497" s="61">
        <v>205609098</v>
      </c>
      <c r="M497" s="61">
        <v>1100000054514308</v>
      </c>
      <c r="N497" s="60" t="s">
        <v>659</v>
      </c>
      <c r="O497" s="60"/>
    </row>
    <row r="498" spans="1:15">
      <c r="A498" s="60"/>
      <c r="B498" s="60" t="s">
        <v>127</v>
      </c>
      <c r="C498" s="60" t="s">
        <v>282</v>
      </c>
      <c r="D498" s="60" t="s">
        <v>657</v>
      </c>
      <c r="E498" s="60" t="s">
        <v>275</v>
      </c>
      <c r="F498" s="60" t="s">
        <v>276</v>
      </c>
      <c r="G498" s="60" t="s">
        <v>276</v>
      </c>
      <c r="H498" s="60" t="s">
        <v>277</v>
      </c>
      <c r="I498" s="60" t="b">
        <v>0</v>
      </c>
      <c r="J498" s="60">
        <v>5</v>
      </c>
      <c r="K498" s="60">
        <v>788</v>
      </c>
      <c r="L498" s="61">
        <v>205609100</v>
      </c>
      <c r="M498" s="61">
        <v>1100000054514308</v>
      </c>
      <c r="N498" s="60" t="s">
        <v>659</v>
      </c>
      <c r="O498" s="60"/>
    </row>
    <row r="499" spans="1:15">
      <c r="A499" s="60"/>
      <c r="B499" s="60" t="s">
        <v>127</v>
      </c>
      <c r="C499" s="60" t="s">
        <v>282</v>
      </c>
      <c r="D499" s="60" t="s">
        <v>657</v>
      </c>
      <c r="E499" s="60" t="s">
        <v>275</v>
      </c>
      <c r="F499" s="60" t="s">
        <v>276</v>
      </c>
      <c r="G499" s="60" t="s">
        <v>276</v>
      </c>
      <c r="H499" s="60" t="s">
        <v>277</v>
      </c>
      <c r="I499" s="60" t="b">
        <v>0</v>
      </c>
      <c r="J499" s="60">
        <v>8</v>
      </c>
      <c r="K499" s="60">
        <v>787.95</v>
      </c>
      <c r="L499" s="61">
        <v>205609099</v>
      </c>
      <c r="M499" s="61">
        <v>1100000054514308</v>
      </c>
      <c r="N499" s="60" t="s">
        <v>659</v>
      </c>
      <c r="O499" s="60"/>
    </row>
    <row r="500" spans="1:15">
      <c r="A500" s="60"/>
      <c r="B500" s="60" t="s">
        <v>660</v>
      </c>
      <c r="C500" s="60" t="s">
        <v>661</v>
      </c>
      <c r="D500" s="60" t="s">
        <v>657</v>
      </c>
      <c r="E500" s="60" t="s">
        <v>275</v>
      </c>
      <c r="F500" s="60" t="s">
        <v>276</v>
      </c>
      <c r="G500" s="60" t="s">
        <v>276</v>
      </c>
      <c r="H500" s="60" t="s">
        <v>277</v>
      </c>
      <c r="I500" s="60" t="b">
        <v>0</v>
      </c>
      <c r="J500" s="60">
        <v>1</v>
      </c>
      <c r="K500" s="60">
        <v>35105</v>
      </c>
      <c r="L500" s="61">
        <v>404510111</v>
      </c>
      <c r="M500" s="61">
        <v>1200000049482545</v>
      </c>
      <c r="N500" s="60" t="s">
        <v>662</v>
      </c>
      <c r="O500" s="60"/>
    </row>
    <row r="501" spans="1:15">
      <c r="A501" s="60"/>
      <c r="B501" s="60" t="s">
        <v>663</v>
      </c>
      <c r="C501" s="60" t="s">
        <v>664</v>
      </c>
      <c r="D501" s="60" t="s">
        <v>657</v>
      </c>
      <c r="E501" s="60" t="s">
        <v>275</v>
      </c>
      <c r="F501" s="60" t="s">
        <v>276</v>
      </c>
      <c r="G501" s="60" t="s">
        <v>276</v>
      </c>
      <c r="H501" s="60" t="s">
        <v>277</v>
      </c>
      <c r="I501" s="60" t="b">
        <v>0</v>
      </c>
      <c r="J501" s="60">
        <v>26</v>
      </c>
      <c r="K501" s="60">
        <v>1152.9000000000001</v>
      </c>
      <c r="L501" s="61">
        <v>605253704</v>
      </c>
      <c r="M501" s="61">
        <v>1300000053059876</v>
      </c>
      <c r="N501" s="60" t="s">
        <v>665</v>
      </c>
      <c r="O501" s="60"/>
    </row>
    <row r="502" spans="1:15">
      <c r="A502" s="60"/>
      <c r="B502" s="60" t="s">
        <v>666</v>
      </c>
      <c r="C502" s="60" t="s">
        <v>667</v>
      </c>
      <c r="D502" s="60" t="s">
        <v>657</v>
      </c>
      <c r="E502" s="60" t="s">
        <v>275</v>
      </c>
      <c r="F502" s="60" t="s">
        <v>276</v>
      </c>
      <c r="G502" s="60" t="s">
        <v>276</v>
      </c>
      <c r="H502" s="60" t="s">
        <v>277</v>
      </c>
      <c r="I502" s="60" t="b">
        <v>0</v>
      </c>
      <c r="J502" s="60">
        <v>55</v>
      </c>
      <c r="K502" s="60">
        <v>533.75</v>
      </c>
      <c r="L502" s="61">
        <v>605258299</v>
      </c>
      <c r="M502" s="61">
        <v>1300000053106392</v>
      </c>
      <c r="N502" s="60" t="s">
        <v>668</v>
      </c>
      <c r="O502" s="60"/>
    </row>
    <row r="503" spans="1:15">
      <c r="A503" s="60"/>
      <c r="B503" s="60" t="s">
        <v>669</v>
      </c>
      <c r="C503" s="60" t="s">
        <v>670</v>
      </c>
      <c r="D503" s="60" t="s">
        <v>657</v>
      </c>
      <c r="E503" s="60" t="s">
        <v>275</v>
      </c>
      <c r="F503" s="60" t="s">
        <v>276</v>
      </c>
      <c r="G503" s="60" t="s">
        <v>276</v>
      </c>
      <c r="H503" s="60" t="s">
        <v>277</v>
      </c>
      <c r="I503" s="60" t="b">
        <v>0</v>
      </c>
      <c r="J503" s="60">
        <v>1</v>
      </c>
      <c r="K503" s="60">
        <v>10344</v>
      </c>
      <c r="L503" s="61">
        <v>3997785</v>
      </c>
      <c r="M503" s="61">
        <v>1000000041482231</v>
      </c>
      <c r="N503" s="60" t="s">
        <v>671</v>
      </c>
      <c r="O503" s="60"/>
    </row>
    <row r="504" spans="1:15">
      <c r="A504" s="60"/>
      <c r="B504" s="60" t="s">
        <v>669</v>
      </c>
      <c r="C504" s="60" t="s">
        <v>670</v>
      </c>
      <c r="D504" s="60" t="s">
        <v>657</v>
      </c>
      <c r="E504" s="60" t="s">
        <v>275</v>
      </c>
      <c r="F504" s="60" t="s">
        <v>276</v>
      </c>
      <c r="G504" s="60" t="s">
        <v>276</v>
      </c>
      <c r="H504" s="60" t="s">
        <v>277</v>
      </c>
      <c r="I504" s="60" t="b">
        <v>0</v>
      </c>
      <c r="J504" s="60">
        <v>2</v>
      </c>
      <c r="K504" s="60">
        <v>10344</v>
      </c>
      <c r="L504" s="61">
        <v>3997784</v>
      </c>
      <c r="M504" s="61">
        <v>1000000041482231</v>
      </c>
      <c r="N504" s="60" t="s">
        <v>671</v>
      </c>
      <c r="O504" s="60"/>
    </row>
    <row r="505" spans="1:15">
      <c r="A505" s="60"/>
      <c r="B505" s="60" t="s">
        <v>672</v>
      </c>
      <c r="C505" s="60" t="s">
        <v>673</v>
      </c>
      <c r="D505" s="60" t="s">
        <v>657</v>
      </c>
      <c r="E505" s="60" t="s">
        <v>275</v>
      </c>
      <c r="F505" s="60" t="s">
        <v>276</v>
      </c>
      <c r="G505" s="60" t="s">
        <v>276</v>
      </c>
      <c r="H505" s="60" t="s">
        <v>277</v>
      </c>
      <c r="I505" s="60" t="b">
        <v>0</v>
      </c>
      <c r="J505" s="60">
        <v>10</v>
      </c>
      <c r="K505" s="60">
        <v>663.75</v>
      </c>
      <c r="L505" s="61">
        <v>605268935</v>
      </c>
      <c r="M505" s="61">
        <v>1300000053228277</v>
      </c>
      <c r="N505" s="60" t="s">
        <v>674</v>
      </c>
      <c r="O505" s="60"/>
    </row>
    <row r="506" spans="1:15">
      <c r="A506" s="60"/>
      <c r="B506" s="60" t="s">
        <v>672</v>
      </c>
      <c r="C506" s="60" t="s">
        <v>673</v>
      </c>
      <c r="D506" s="60" t="s">
        <v>657</v>
      </c>
      <c r="E506" s="60" t="s">
        <v>275</v>
      </c>
      <c r="F506" s="60" t="s">
        <v>276</v>
      </c>
      <c r="G506" s="60" t="s">
        <v>276</v>
      </c>
      <c r="H506" s="60" t="s">
        <v>277</v>
      </c>
      <c r="I506" s="60" t="b">
        <v>0</v>
      </c>
      <c r="J506" s="60">
        <v>18</v>
      </c>
      <c r="K506" s="60">
        <v>663.75</v>
      </c>
      <c r="L506" s="61">
        <v>605375461</v>
      </c>
      <c r="M506" s="61">
        <v>1300000053228277</v>
      </c>
      <c r="N506" s="60" t="s">
        <v>674</v>
      </c>
      <c r="O506" s="60"/>
    </row>
    <row r="507" spans="1:15">
      <c r="A507" s="60"/>
      <c r="B507" s="60" t="s">
        <v>672</v>
      </c>
      <c r="C507" s="60" t="s">
        <v>673</v>
      </c>
      <c r="D507" s="60" t="s">
        <v>657</v>
      </c>
      <c r="E507" s="60" t="s">
        <v>275</v>
      </c>
      <c r="F507" s="60" t="s">
        <v>276</v>
      </c>
      <c r="G507" s="60" t="s">
        <v>276</v>
      </c>
      <c r="H507" s="60" t="s">
        <v>277</v>
      </c>
      <c r="I507" s="60" t="b">
        <v>0</v>
      </c>
      <c r="J507" s="60">
        <v>6</v>
      </c>
      <c r="K507" s="60">
        <v>663.75</v>
      </c>
      <c r="L507" s="61">
        <v>605375462</v>
      </c>
      <c r="M507" s="61">
        <v>1300000053228277</v>
      </c>
      <c r="N507" s="60" t="s">
        <v>674</v>
      </c>
      <c r="O507" s="60"/>
    </row>
    <row r="508" spans="1:15">
      <c r="A508" s="60"/>
      <c r="B508" s="60" t="s">
        <v>672</v>
      </c>
      <c r="C508" s="60" t="s">
        <v>673</v>
      </c>
      <c r="D508" s="60" t="s">
        <v>657</v>
      </c>
      <c r="E508" s="60" t="s">
        <v>275</v>
      </c>
      <c r="F508" s="60" t="s">
        <v>276</v>
      </c>
      <c r="G508" s="60" t="s">
        <v>276</v>
      </c>
      <c r="H508" s="60" t="s">
        <v>277</v>
      </c>
      <c r="I508" s="60" t="b">
        <v>0</v>
      </c>
      <c r="J508" s="60">
        <v>9</v>
      </c>
      <c r="K508" s="60">
        <v>663.75</v>
      </c>
      <c r="L508" s="61">
        <v>605267641</v>
      </c>
      <c r="M508" s="61">
        <v>1300000053228277</v>
      </c>
      <c r="N508" s="60" t="s">
        <v>674</v>
      </c>
      <c r="O508" s="60"/>
    </row>
    <row r="509" spans="1:15">
      <c r="A509" s="60"/>
      <c r="B509" s="60" t="s">
        <v>675</v>
      </c>
      <c r="C509" s="60" t="s">
        <v>676</v>
      </c>
      <c r="D509" s="60" t="s">
        <v>657</v>
      </c>
      <c r="E509" s="60" t="s">
        <v>275</v>
      </c>
      <c r="F509" s="60" t="s">
        <v>276</v>
      </c>
      <c r="G509" s="60" t="s">
        <v>276</v>
      </c>
      <c r="H509" s="60" t="s">
        <v>277</v>
      </c>
      <c r="I509" s="60" t="b">
        <v>0</v>
      </c>
      <c r="J509" s="60">
        <v>1</v>
      </c>
      <c r="K509" s="60">
        <v>4554.1000999999997</v>
      </c>
      <c r="L509" s="61">
        <v>4007894</v>
      </c>
      <c r="M509" s="61">
        <v>1000000041572631</v>
      </c>
      <c r="N509" s="60" t="s">
        <v>677</v>
      </c>
      <c r="O509" s="60"/>
    </row>
    <row r="510" spans="1:15">
      <c r="A510" s="60"/>
      <c r="B510" s="60" t="s">
        <v>675</v>
      </c>
      <c r="C510" s="60" t="s">
        <v>676</v>
      </c>
      <c r="D510" s="60" t="s">
        <v>657</v>
      </c>
      <c r="E510" s="60" t="s">
        <v>275</v>
      </c>
      <c r="F510" s="60" t="s">
        <v>276</v>
      </c>
      <c r="G510" s="60" t="s">
        <v>276</v>
      </c>
      <c r="H510" s="60" t="s">
        <v>277</v>
      </c>
      <c r="I510" s="60" t="b">
        <v>0</v>
      </c>
      <c r="J510" s="60">
        <v>1</v>
      </c>
      <c r="K510" s="60">
        <v>4554.1000999999997</v>
      </c>
      <c r="L510" s="61">
        <v>4010433</v>
      </c>
      <c r="M510" s="61">
        <v>1000000041572631</v>
      </c>
      <c r="N510" s="60" t="s">
        <v>677</v>
      </c>
      <c r="O510" s="60"/>
    </row>
    <row r="511" spans="1:15">
      <c r="A511" s="60"/>
      <c r="B511" s="60" t="s">
        <v>675</v>
      </c>
      <c r="C511" s="60" t="s">
        <v>676</v>
      </c>
      <c r="D511" s="60" t="s">
        <v>657</v>
      </c>
      <c r="E511" s="60" t="s">
        <v>275</v>
      </c>
      <c r="F511" s="60" t="s">
        <v>276</v>
      </c>
      <c r="G511" s="60" t="s">
        <v>276</v>
      </c>
      <c r="H511" s="60" t="s">
        <v>277</v>
      </c>
      <c r="I511" s="60" t="b">
        <v>0</v>
      </c>
      <c r="J511" s="60">
        <v>4</v>
      </c>
      <c r="K511" s="60">
        <v>4554.1000999999997</v>
      </c>
      <c r="L511" s="61">
        <v>4010405</v>
      </c>
      <c r="M511" s="61">
        <v>1000000041572631</v>
      </c>
      <c r="N511" s="60" t="s">
        <v>677</v>
      </c>
      <c r="O511" s="60"/>
    </row>
    <row r="512" spans="1:15">
      <c r="A512" s="60"/>
      <c r="B512" s="60" t="s">
        <v>595</v>
      </c>
      <c r="C512" s="60" t="s">
        <v>596</v>
      </c>
      <c r="D512" s="60" t="s">
        <v>657</v>
      </c>
      <c r="E512" s="60" t="s">
        <v>275</v>
      </c>
      <c r="F512" s="60" t="s">
        <v>276</v>
      </c>
      <c r="G512" s="60" t="s">
        <v>276</v>
      </c>
      <c r="H512" s="60" t="s">
        <v>277</v>
      </c>
      <c r="I512" s="60" t="b">
        <v>0</v>
      </c>
      <c r="J512" s="60">
        <v>10</v>
      </c>
      <c r="K512" s="60">
        <v>2933.7</v>
      </c>
      <c r="L512" s="61">
        <v>4029420</v>
      </c>
      <c r="M512" s="61">
        <v>1000000041615757</v>
      </c>
      <c r="N512" s="60" t="s">
        <v>678</v>
      </c>
      <c r="O512" s="60"/>
    </row>
    <row r="513" spans="1:15">
      <c r="A513" s="60"/>
      <c r="B513" s="60" t="s">
        <v>679</v>
      </c>
      <c r="C513" s="60" t="s">
        <v>680</v>
      </c>
      <c r="D513" s="60" t="s">
        <v>657</v>
      </c>
      <c r="E513" s="60" t="s">
        <v>275</v>
      </c>
      <c r="F513" s="60" t="s">
        <v>276</v>
      </c>
      <c r="G513" s="60" t="s">
        <v>276</v>
      </c>
      <c r="H513" s="60" t="s">
        <v>277</v>
      </c>
      <c r="I513" s="60" t="b">
        <v>0</v>
      </c>
      <c r="J513" s="60">
        <v>3</v>
      </c>
      <c r="K513" s="60">
        <v>10301</v>
      </c>
      <c r="L513" s="61">
        <v>404552455</v>
      </c>
      <c r="M513" s="61">
        <v>1200000049833318</v>
      </c>
      <c r="N513" s="60" t="s">
        <v>681</v>
      </c>
      <c r="O513" s="60"/>
    </row>
    <row r="514" spans="1:15">
      <c r="A514" s="60"/>
      <c r="B514" s="60" t="s">
        <v>682</v>
      </c>
      <c r="C514" s="60" t="s">
        <v>683</v>
      </c>
      <c r="D514" s="60" t="s">
        <v>657</v>
      </c>
      <c r="E514" s="60" t="s">
        <v>275</v>
      </c>
      <c r="F514" s="60" t="s">
        <v>276</v>
      </c>
      <c r="G514" s="60" t="s">
        <v>276</v>
      </c>
      <c r="H514" s="60" t="s">
        <v>277</v>
      </c>
      <c r="I514" s="60" t="b">
        <v>0</v>
      </c>
      <c r="J514" s="60">
        <v>2</v>
      </c>
      <c r="K514" s="60">
        <v>12833</v>
      </c>
      <c r="L514" s="61">
        <v>4017841</v>
      </c>
      <c r="M514" s="61">
        <v>1000000041692955</v>
      </c>
      <c r="N514" s="60" t="s">
        <v>684</v>
      </c>
      <c r="O514" s="60"/>
    </row>
    <row r="515" spans="1:15">
      <c r="A515" s="60"/>
      <c r="B515" s="60" t="s">
        <v>685</v>
      </c>
      <c r="C515" s="60" t="s">
        <v>686</v>
      </c>
      <c r="D515" s="60" t="s">
        <v>657</v>
      </c>
      <c r="E515" s="60" t="s">
        <v>275</v>
      </c>
      <c r="F515" s="60" t="s">
        <v>276</v>
      </c>
      <c r="G515" s="60" t="s">
        <v>276</v>
      </c>
      <c r="H515" s="60" t="s">
        <v>277</v>
      </c>
      <c r="I515" s="60" t="b">
        <v>0</v>
      </c>
      <c r="J515" s="60">
        <v>3</v>
      </c>
      <c r="K515" s="60">
        <v>8960</v>
      </c>
      <c r="L515" s="61">
        <v>4021119</v>
      </c>
      <c r="M515" s="61">
        <v>1000000041718540</v>
      </c>
      <c r="N515" s="60" t="s">
        <v>687</v>
      </c>
      <c r="O515" s="60"/>
    </row>
    <row r="516" spans="1:15">
      <c r="A516" s="60"/>
      <c r="B516" s="60" t="s">
        <v>682</v>
      </c>
      <c r="C516" s="60" t="s">
        <v>683</v>
      </c>
      <c r="D516" s="60" t="s">
        <v>657</v>
      </c>
      <c r="E516" s="60" t="s">
        <v>275</v>
      </c>
      <c r="F516" s="60" t="s">
        <v>276</v>
      </c>
      <c r="G516" s="60" t="s">
        <v>276</v>
      </c>
      <c r="H516" s="60" t="s">
        <v>277</v>
      </c>
      <c r="I516" s="60" t="b">
        <v>0</v>
      </c>
      <c r="J516" s="60">
        <v>2</v>
      </c>
      <c r="K516" s="60">
        <v>12825</v>
      </c>
      <c r="L516" s="61">
        <v>4050848</v>
      </c>
      <c r="M516" s="61">
        <v>1000000041864076</v>
      </c>
      <c r="N516" s="60" t="s">
        <v>688</v>
      </c>
      <c r="O516" s="60"/>
    </row>
    <row r="517" spans="1:15">
      <c r="A517" s="60"/>
      <c r="B517" s="60" t="s">
        <v>685</v>
      </c>
      <c r="C517" s="60" t="s">
        <v>686</v>
      </c>
      <c r="D517" s="60" t="s">
        <v>657</v>
      </c>
      <c r="E517" s="60" t="s">
        <v>275</v>
      </c>
      <c r="F517" s="60" t="s">
        <v>276</v>
      </c>
      <c r="G517" s="60" t="s">
        <v>276</v>
      </c>
      <c r="H517" s="60" t="s">
        <v>277</v>
      </c>
      <c r="I517" s="60" t="b">
        <v>0</v>
      </c>
      <c r="J517" s="60">
        <v>3</v>
      </c>
      <c r="K517" s="60">
        <v>8956</v>
      </c>
      <c r="L517" s="61">
        <v>4038511</v>
      </c>
      <c r="M517" s="61">
        <v>1000000041888686</v>
      </c>
      <c r="N517" s="60" t="s">
        <v>689</v>
      </c>
      <c r="O517" s="60"/>
    </row>
    <row r="518" spans="1:15">
      <c r="A518" s="60"/>
      <c r="B518" s="60" t="s">
        <v>272</v>
      </c>
      <c r="C518" s="60" t="s">
        <v>273</v>
      </c>
      <c r="D518" s="60" t="s">
        <v>657</v>
      </c>
      <c r="E518" s="60" t="s">
        <v>275</v>
      </c>
      <c r="F518" s="60" t="s">
        <v>276</v>
      </c>
      <c r="G518" s="60" t="s">
        <v>276</v>
      </c>
      <c r="H518" s="60" t="s">
        <v>277</v>
      </c>
      <c r="I518" s="60" t="b">
        <v>0</v>
      </c>
      <c r="J518" s="60">
        <v>3</v>
      </c>
      <c r="K518" s="60">
        <v>9432</v>
      </c>
      <c r="L518" s="61">
        <v>404581280</v>
      </c>
      <c r="M518" s="61">
        <v>1200000050391703</v>
      </c>
      <c r="N518" s="60" t="s">
        <v>690</v>
      </c>
      <c r="O518" s="60"/>
    </row>
    <row r="519" spans="1:15">
      <c r="A519" s="60"/>
      <c r="B519" s="60" t="s">
        <v>691</v>
      </c>
      <c r="C519" s="60" t="s">
        <v>692</v>
      </c>
      <c r="D519" s="60" t="s">
        <v>657</v>
      </c>
      <c r="E519" s="60" t="s">
        <v>275</v>
      </c>
      <c r="F519" s="60" t="s">
        <v>276</v>
      </c>
      <c r="G519" s="60" t="s">
        <v>276</v>
      </c>
      <c r="H519" s="60" t="s">
        <v>277</v>
      </c>
      <c r="I519" s="60" t="b">
        <v>0</v>
      </c>
      <c r="J519" s="60">
        <v>13</v>
      </c>
      <c r="K519" s="60">
        <v>1562.2</v>
      </c>
      <c r="L519" s="61">
        <v>404841096</v>
      </c>
      <c r="M519" s="61">
        <v>1200000050546610</v>
      </c>
      <c r="N519" s="60" t="s">
        <v>693</v>
      </c>
      <c r="O519" s="60"/>
    </row>
    <row r="520" spans="1:15">
      <c r="A520" s="60"/>
      <c r="B520" s="60" t="s">
        <v>691</v>
      </c>
      <c r="C520" s="60" t="s">
        <v>692</v>
      </c>
      <c r="D520" s="60" t="s">
        <v>657</v>
      </c>
      <c r="E520" s="60" t="s">
        <v>275</v>
      </c>
      <c r="F520" s="60" t="s">
        <v>276</v>
      </c>
      <c r="G520" s="60" t="s">
        <v>276</v>
      </c>
      <c r="H520" s="60" t="s">
        <v>277</v>
      </c>
      <c r="I520" s="60" t="b">
        <v>0</v>
      </c>
      <c r="J520" s="60">
        <v>5</v>
      </c>
      <c r="K520" s="60">
        <v>1562.2</v>
      </c>
      <c r="L520" s="61">
        <v>404841462</v>
      </c>
      <c r="M520" s="61">
        <v>1200000050546610</v>
      </c>
      <c r="N520" s="60" t="s">
        <v>693</v>
      </c>
      <c r="O520" s="60"/>
    </row>
    <row r="521" spans="1:15">
      <c r="A521" s="60"/>
      <c r="B521" s="60" t="s">
        <v>126</v>
      </c>
      <c r="C521" s="60" t="s">
        <v>694</v>
      </c>
      <c r="D521" s="60" t="s">
        <v>657</v>
      </c>
      <c r="E521" s="60" t="s">
        <v>275</v>
      </c>
      <c r="F521" s="60" t="s">
        <v>276</v>
      </c>
      <c r="G521" s="60" t="s">
        <v>276</v>
      </c>
      <c r="H521" s="60" t="s">
        <v>277</v>
      </c>
      <c r="I521" s="60" t="b">
        <v>0</v>
      </c>
      <c r="J521" s="60">
        <v>193</v>
      </c>
      <c r="K521" s="60">
        <v>42.36</v>
      </c>
      <c r="L521" s="61">
        <v>205762436</v>
      </c>
      <c r="M521" s="61">
        <v>1100000056101469</v>
      </c>
      <c r="N521" s="60" t="s">
        <v>695</v>
      </c>
      <c r="O521" s="60"/>
    </row>
    <row r="522" spans="1:15">
      <c r="A522" s="60"/>
      <c r="B522" s="60" t="s">
        <v>126</v>
      </c>
      <c r="C522" s="60" t="s">
        <v>694</v>
      </c>
      <c r="D522" s="60" t="s">
        <v>657</v>
      </c>
      <c r="E522" s="60" t="s">
        <v>275</v>
      </c>
      <c r="F522" s="60" t="s">
        <v>276</v>
      </c>
      <c r="G522" s="60" t="s">
        <v>276</v>
      </c>
      <c r="H522" s="60" t="s">
        <v>277</v>
      </c>
      <c r="I522" s="60" t="b">
        <v>0</v>
      </c>
      <c r="J522" s="60">
        <v>492</v>
      </c>
      <c r="K522" s="60">
        <v>42.36</v>
      </c>
      <c r="L522" s="61">
        <v>205763965</v>
      </c>
      <c r="M522" s="61">
        <v>1100000056101469</v>
      </c>
      <c r="N522" s="60" t="s">
        <v>695</v>
      </c>
      <c r="O522" s="60"/>
    </row>
    <row r="523" spans="1:15">
      <c r="A523" s="60"/>
      <c r="B523" s="60" t="s">
        <v>696</v>
      </c>
      <c r="C523" s="60" t="s">
        <v>697</v>
      </c>
      <c r="D523" s="60" t="s">
        <v>657</v>
      </c>
      <c r="E523" s="60" t="s">
        <v>275</v>
      </c>
      <c r="F523" s="60" t="s">
        <v>276</v>
      </c>
      <c r="G523" s="60" t="s">
        <v>276</v>
      </c>
      <c r="H523" s="60" t="s">
        <v>277</v>
      </c>
      <c r="I523" s="60" t="b">
        <v>0</v>
      </c>
      <c r="J523" s="60">
        <v>6</v>
      </c>
      <c r="K523" s="60">
        <v>5189</v>
      </c>
      <c r="L523" s="61">
        <v>404707026</v>
      </c>
      <c r="M523" s="61">
        <v>1200000050865497</v>
      </c>
      <c r="N523" s="60" t="s">
        <v>698</v>
      </c>
      <c r="O523" s="60"/>
    </row>
    <row r="524" spans="1:15">
      <c r="A524" s="60"/>
      <c r="B524" s="60" t="s">
        <v>699</v>
      </c>
      <c r="C524" s="60" t="s">
        <v>700</v>
      </c>
      <c r="D524" s="60" t="s">
        <v>657</v>
      </c>
      <c r="E524" s="60" t="s">
        <v>275</v>
      </c>
      <c r="F524" s="60" t="s">
        <v>276</v>
      </c>
      <c r="G524" s="60" t="s">
        <v>276</v>
      </c>
      <c r="H524" s="60" t="s">
        <v>277</v>
      </c>
      <c r="I524" s="60" t="b">
        <v>0</v>
      </c>
      <c r="J524" s="60">
        <v>43</v>
      </c>
      <c r="K524" s="60">
        <v>679.8</v>
      </c>
      <c r="L524" s="61">
        <v>404634917</v>
      </c>
      <c r="M524" s="61">
        <v>1200000051003460</v>
      </c>
      <c r="N524" s="60" t="s">
        <v>701</v>
      </c>
      <c r="O524" s="60"/>
    </row>
    <row r="525" spans="1:15">
      <c r="A525" s="60"/>
      <c r="B525" s="60" t="s">
        <v>702</v>
      </c>
      <c r="C525" s="60" t="s">
        <v>703</v>
      </c>
      <c r="D525" s="60" t="s">
        <v>657</v>
      </c>
      <c r="E525" s="60" t="s">
        <v>275</v>
      </c>
      <c r="F525" s="60" t="s">
        <v>276</v>
      </c>
      <c r="G525" s="60" t="s">
        <v>276</v>
      </c>
      <c r="H525" s="60" t="s">
        <v>277</v>
      </c>
      <c r="I525" s="60" t="b">
        <v>0</v>
      </c>
      <c r="J525" s="60">
        <v>7</v>
      </c>
      <c r="K525" s="60">
        <v>1910.7</v>
      </c>
      <c r="L525" s="61">
        <v>404643573</v>
      </c>
      <c r="M525" s="61">
        <v>1200000051102640</v>
      </c>
      <c r="N525" s="60" t="s">
        <v>704</v>
      </c>
      <c r="O525" s="60"/>
    </row>
    <row r="526" spans="1:15">
      <c r="A526" s="60"/>
      <c r="B526" s="60" t="s">
        <v>702</v>
      </c>
      <c r="C526" s="60" t="s">
        <v>703</v>
      </c>
      <c r="D526" s="60" t="s">
        <v>657</v>
      </c>
      <c r="E526" s="60" t="s">
        <v>275</v>
      </c>
      <c r="F526" s="60" t="s">
        <v>276</v>
      </c>
      <c r="G526" s="60" t="s">
        <v>276</v>
      </c>
      <c r="H526" s="60" t="s">
        <v>277</v>
      </c>
      <c r="I526" s="60" t="b">
        <v>0</v>
      </c>
      <c r="J526" s="60">
        <v>8</v>
      </c>
      <c r="K526" s="60">
        <v>1910.6</v>
      </c>
      <c r="L526" s="61">
        <v>404643572</v>
      </c>
      <c r="M526" s="61">
        <v>1200000051102640</v>
      </c>
      <c r="N526" s="60" t="s">
        <v>704</v>
      </c>
      <c r="O526" s="60"/>
    </row>
    <row r="527" spans="1:15">
      <c r="A527" s="60"/>
      <c r="B527" s="60" t="s">
        <v>705</v>
      </c>
      <c r="C527" s="60" t="s">
        <v>706</v>
      </c>
      <c r="D527" s="60" t="s">
        <v>657</v>
      </c>
      <c r="E527" s="60" t="s">
        <v>275</v>
      </c>
      <c r="F527" s="60" t="s">
        <v>276</v>
      </c>
      <c r="G527" s="60" t="s">
        <v>276</v>
      </c>
      <c r="H527" s="60" t="s">
        <v>277</v>
      </c>
      <c r="I527" s="60" t="b">
        <v>0</v>
      </c>
      <c r="J527" s="60">
        <v>35</v>
      </c>
      <c r="K527" s="60">
        <v>838.6</v>
      </c>
      <c r="L527" s="61">
        <v>404726581</v>
      </c>
      <c r="M527" s="61">
        <v>1200000051201940</v>
      </c>
      <c r="N527" s="60" t="s">
        <v>707</v>
      </c>
      <c r="O527" s="60"/>
    </row>
    <row r="528" spans="1:15">
      <c r="A528" s="60"/>
      <c r="B528" s="60" t="s">
        <v>708</v>
      </c>
      <c r="C528" s="60" t="s">
        <v>709</v>
      </c>
      <c r="D528" s="60" t="s">
        <v>657</v>
      </c>
      <c r="E528" s="60" t="s">
        <v>275</v>
      </c>
      <c r="F528" s="60" t="s">
        <v>276</v>
      </c>
      <c r="G528" s="60" t="s">
        <v>276</v>
      </c>
      <c r="H528" s="60" t="s">
        <v>277</v>
      </c>
      <c r="I528" s="60" t="b">
        <v>0</v>
      </c>
      <c r="J528" s="60">
        <v>21</v>
      </c>
      <c r="K528" s="60">
        <v>1330.9</v>
      </c>
      <c r="L528" s="61">
        <v>605406236</v>
      </c>
      <c r="M528" s="61">
        <v>1300000054838729</v>
      </c>
      <c r="N528" s="60" t="s">
        <v>710</v>
      </c>
      <c r="O528" s="60"/>
    </row>
    <row r="529" spans="1:15">
      <c r="A529" s="60"/>
      <c r="B529" s="60" t="s">
        <v>711</v>
      </c>
      <c r="C529" s="60" t="s">
        <v>712</v>
      </c>
      <c r="D529" s="60" t="s">
        <v>657</v>
      </c>
      <c r="E529" s="60" t="s">
        <v>275</v>
      </c>
      <c r="F529" s="60" t="s">
        <v>276</v>
      </c>
      <c r="G529" s="60" t="s">
        <v>276</v>
      </c>
      <c r="H529" s="60" t="s">
        <v>277</v>
      </c>
      <c r="I529" s="60" t="b">
        <v>0</v>
      </c>
      <c r="J529" s="60">
        <v>1</v>
      </c>
      <c r="K529" s="60">
        <v>729.65</v>
      </c>
      <c r="L529" s="61">
        <v>605412195</v>
      </c>
      <c r="M529" s="61">
        <v>1300000054905712</v>
      </c>
      <c r="N529" s="60" t="s">
        <v>713</v>
      </c>
      <c r="O529" s="60"/>
    </row>
    <row r="530" spans="1:15">
      <c r="A530" s="60"/>
      <c r="B530" s="60" t="s">
        <v>711</v>
      </c>
      <c r="C530" s="60" t="s">
        <v>712</v>
      </c>
      <c r="D530" s="60" t="s">
        <v>657</v>
      </c>
      <c r="E530" s="60" t="s">
        <v>275</v>
      </c>
      <c r="F530" s="60" t="s">
        <v>276</v>
      </c>
      <c r="G530" s="60" t="s">
        <v>276</v>
      </c>
      <c r="H530" s="60" t="s">
        <v>277</v>
      </c>
      <c r="I530" s="60" t="b">
        <v>0</v>
      </c>
      <c r="J530" s="60">
        <v>1</v>
      </c>
      <c r="K530" s="60">
        <v>729.7</v>
      </c>
      <c r="L530" s="61">
        <v>605447869</v>
      </c>
      <c r="M530" s="61">
        <v>1300000054905712</v>
      </c>
      <c r="N530" s="60" t="s">
        <v>713</v>
      </c>
      <c r="O530" s="60"/>
    </row>
    <row r="531" spans="1:15">
      <c r="A531" s="60"/>
      <c r="B531" s="60" t="s">
        <v>711</v>
      </c>
      <c r="C531" s="60" t="s">
        <v>712</v>
      </c>
      <c r="D531" s="60" t="s">
        <v>657</v>
      </c>
      <c r="E531" s="60" t="s">
        <v>275</v>
      </c>
      <c r="F531" s="60" t="s">
        <v>276</v>
      </c>
      <c r="G531" s="60" t="s">
        <v>276</v>
      </c>
      <c r="H531" s="60" t="s">
        <v>277</v>
      </c>
      <c r="I531" s="60" t="b">
        <v>0</v>
      </c>
      <c r="J531" s="60">
        <v>13</v>
      </c>
      <c r="K531" s="60">
        <v>729.65</v>
      </c>
      <c r="L531" s="61">
        <v>605412196</v>
      </c>
      <c r="M531" s="61">
        <v>1300000054905712</v>
      </c>
      <c r="N531" s="60" t="s">
        <v>713</v>
      </c>
      <c r="O531" s="60"/>
    </row>
    <row r="532" spans="1:15">
      <c r="A532" s="60"/>
      <c r="B532" s="60" t="s">
        <v>711</v>
      </c>
      <c r="C532" s="60" t="s">
        <v>712</v>
      </c>
      <c r="D532" s="60" t="s">
        <v>657</v>
      </c>
      <c r="E532" s="60" t="s">
        <v>275</v>
      </c>
      <c r="F532" s="60" t="s">
        <v>276</v>
      </c>
      <c r="G532" s="60" t="s">
        <v>276</v>
      </c>
      <c r="H532" s="60" t="s">
        <v>277</v>
      </c>
      <c r="I532" s="60" t="b">
        <v>0</v>
      </c>
      <c r="J532" s="60">
        <v>25</v>
      </c>
      <c r="K532" s="60">
        <v>729.7</v>
      </c>
      <c r="L532" s="61">
        <v>605412197</v>
      </c>
      <c r="M532" s="61">
        <v>1300000054905712</v>
      </c>
      <c r="N532" s="60" t="s">
        <v>713</v>
      </c>
      <c r="O532" s="60"/>
    </row>
    <row r="533" spans="1:15">
      <c r="A533" s="60"/>
      <c r="B533" s="60" t="s">
        <v>714</v>
      </c>
      <c r="C533" s="60" t="s">
        <v>715</v>
      </c>
      <c r="D533" s="60" t="s">
        <v>657</v>
      </c>
      <c r="E533" s="60" t="s">
        <v>275</v>
      </c>
      <c r="F533" s="60" t="s">
        <v>276</v>
      </c>
      <c r="G533" s="60" t="s">
        <v>276</v>
      </c>
      <c r="H533" s="60" t="s">
        <v>277</v>
      </c>
      <c r="I533" s="60" t="b">
        <v>0</v>
      </c>
      <c r="J533" s="60">
        <v>8</v>
      </c>
      <c r="K533" s="60">
        <v>3520.1001000000001</v>
      </c>
      <c r="L533" s="61">
        <v>605673718</v>
      </c>
      <c r="M533" s="61">
        <v>1300000054976082</v>
      </c>
      <c r="N533" s="60" t="s">
        <v>716</v>
      </c>
      <c r="O533" s="60"/>
    </row>
    <row r="534" spans="1:15">
      <c r="A534" s="60"/>
      <c r="B534" s="60" t="s">
        <v>553</v>
      </c>
      <c r="C534" s="60" t="s">
        <v>554</v>
      </c>
      <c r="D534" s="60" t="s">
        <v>657</v>
      </c>
      <c r="E534" s="60" t="s">
        <v>275</v>
      </c>
      <c r="F534" s="60" t="s">
        <v>276</v>
      </c>
      <c r="G534" s="60" t="s">
        <v>276</v>
      </c>
      <c r="H534" s="60" t="s">
        <v>277</v>
      </c>
      <c r="I534" s="60" t="b">
        <v>0</v>
      </c>
      <c r="J534" s="60">
        <v>1</v>
      </c>
      <c r="K534" s="60">
        <v>18259</v>
      </c>
      <c r="L534" s="61">
        <v>605565848</v>
      </c>
      <c r="M534" s="61">
        <v>1300000055031483</v>
      </c>
      <c r="N534" s="60" t="s">
        <v>717</v>
      </c>
      <c r="O534" s="60"/>
    </row>
    <row r="535" spans="1:15">
      <c r="A535" s="60"/>
      <c r="B535" s="60" t="s">
        <v>553</v>
      </c>
      <c r="C535" s="60" t="s">
        <v>554</v>
      </c>
      <c r="D535" s="60" t="s">
        <v>657</v>
      </c>
      <c r="E535" s="60" t="s">
        <v>275</v>
      </c>
      <c r="F535" s="60" t="s">
        <v>276</v>
      </c>
      <c r="G535" s="60" t="s">
        <v>276</v>
      </c>
      <c r="H535" s="60" t="s">
        <v>277</v>
      </c>
      <c r="I535" s="60" t="b">
        <v>0</v>
      </c>
      <c r="J535" s="60">
        <v>1</v>
      </c>
      <c r="K535" s="60">
        <v>18259</v>
      </c>
      <c r="L535" s="61">
        <v>605567434</v>
      </c>
      <c r="M535" s="61">
        <v>1300000055031483</v>
      </c>
      <c r="N535" s="60" t="s">
        <v>717</v>
      </c>
      <c r="O535" s="60"/>
    </row>
    <row r="536" spans="1:15">
      <c r="A536" s="60"/>
      <c r="B536" s="60" t="s">
        <v>108</v>
      </c>
      <c r="C536" s="60" t="s">
        <v>293</v>
      </c>
      <c r="D536" s="60" t="s">
        <v>657</v>
      </c>
      <c r="E536" s="60" t="s">
        <v>275</v>
      </c>
      <c r="F536" s="60" t="s">
        <v>276</v>
      </c>
      <c r="G536" s="60" t="s">
        <v>276</v>
      </c>
      <c r="H536" s="60" t="s">
        <v>277</v>
      </c>
      <c r="I536" s="60" t="b">
        <v>0</v>
      </c>
      <c r="J536" s="60">
        <v>20</v>
      </c>
      <c r="K536" s="60">
        <v>549.45000000000005</v>
      </c>
      <c r="L536" s="61">
        <v>404678893</v>
      </c>
      <c r="M536" s="61">
        <v>1200000051548098</v>
      </c>
      <c r="N536" s="60" t="s">
        <v>718</v>
      </c>
      <c r="O536" s="60"/>
    </row>
    <row r="537" spans="1:15">
      <c r="A537" s="60"/>
      <c r="B537" s="60" t="s">
        <v>108</v>
      </c>
      <c r="C537" s="60" t="s">
        <v>293</v>
      </c>
      <c r="D537" s="60" t="s">
        <v>657</v>
      </c>
      <c r="E537" s="60" t="s">
        <v>275</v>
      </c>
      <c r="F537" s="60" t="s">
        <v>276</v>
      </c>
      <c r="G537" s="60" t="s">
        <v>276</v>
      </c>
      <c r="H537" s="60" t="s">
        <v>277</v>
      </c>
      <c r="I537" s="60" t="b">
        <v>0</v>
      </c>
      <c r="J537" s="60">
        <v>34</v>
      </c>
      <c r="K537" s="60">
        <v>549.5</v>
      </c>
      <c r="L537" s="61">
        <v>404678894</v>
      </c>
      <c r="M537" s="61">
        <v>1200000051548098</v>
      </c>
      <c r="N537" s="60" t="s">
        <v>718</v>
      </c>
      <c r="O537" s="60"/>
    </row>
    <row r="538" spans="1:15">
      <c r="A538" s="60"/>
      <c r="B538" s="60" t="s">
        <v>719</v>
      </c>
      <c r="C538" s="60" t="s">
        <v>720</v>
      </c>
      <c r="D538" s="60" t="s">
        <v>657</v>
      </c>
      <c r="E538" s="60" t="s">
        <v>275</v>
      </c>
      <c r="F538" s="60" t="s">
        <v>276</v>
      </c>
      <c r="G538" s="60" t="s">
        <v>276</v>
      </c>
      <c r="H538" s="60" t="s">
        <v>277</v>
      </c>
      <c r="I538" s="60" t="b">
        <v>0</v>
      </c>
      <c r="J538" s="60">
        <v>4</v>
      </c>
      <c r="K538" s="60">
        <v>7050</v>
      </c>
      <c r="L538" s="61">
        <v>404784825</v>
      </c>
      <c r="M538" s="61">
        <v>1200000051664559</v>
      </c>
      <c r="N538" s="60" t="s">
        <v>721</v>
      </c>
      <c r="O538" s="60"/>
    </row>
    <row r="539" spans="1:15">
      <c r="A539" s="60"/>
      <c r="B539" s="60" t="s">
        <v>197</v>
      </c>
      <c r="C539" s="60" t="s">
        <v>722</v>
      </c>
      <c r="D539" s="60" t="s">
        <v>657</v>
      </c>
      <c r="E539" s="60" t="s">
        <v>275</v>
      </c>
      <c r="F539" s="60" t="s">
        <v>276</v>
      </c>
      <c r="G539" s="60" t="s">
        <v>276</v>
      </c>
      <c r="H539" s="60" t="s">
        <v>277</v>
      </c>
      <c r="I539" s="60" t="b">
        <v>0</v>
      </c>
      <c r="J539" s="60">
        <v>11</v>
      </c>
      <c r="K539" s="60">
        <v>2660</v>
      </c>
      <c r="L539" s="61">
        <v>404696234</v>
      </c>
      <c r="M539" s="61">
        <v>1200000051727442</v>
      </c>
      <c r="N539" s="60" t="s">
        <v>723</v>
      </c>
      <c r="O539" s="60"/>
    </row>
    <row r="540" spans="1:15">
      <c r="A540" s="60"/>
      <c r="B540" s="60" t="s">
        <v>724</v>
      </c>
      <c r="C540" s="60" t="s">
        <v>725</v>
      </c>
      <c r="D540" s="60" t="s">
        <v>657</v>
      </c>
      <c r="E540" s="60" t="s">
        <v>275</v>
      </c>
      <c r="F540" s="60" t="s">
        <v>276</v>
      </c>
      <c r="G540" s="60" t="s">
        <v>276</v>
      </c>
      <c r="H540" s="60" t="s">
        <v>277</v>
      </c>
      <c r="I540" s="60" t="b">
        <v>0</v>
      </c>
      <c r="J540" s="60">
        <v>4</v>
      </c>
      <c r="K540" s="60">
        <v>1972.4</v>
      </c>
      <c r="L540" s="61">
        <v>4178070</v>
      </c>
      <c r="M540" s="61">
        <v>1000000043294854</v>
      </c>
      <c r="N540" s="60" t="s">
        <v>726</v>
      </c>
      <c r="O540" s="60"/>
    </row>
    <row r="541" spans="1:15">
      <c r="A541" s="60"/>
      <c r="B541" s="60" t="s">
        <v>724</v>
      </c>
      <c r="C541" s="60" t="s">
        <v>725</v>
      </c>
      <c r="D541" s="60" t="s">
        <v>657</v>
      </c>
      <c r="E541" s="60" t="s">
        <v>275</v>
      </c>
      <c r="F541" s="60" t="s">
        <v>276</v>
      </c>
      <c r="G541" s="60" t="s">
        <v>276</v>
      </c>
      <c r="H541" s="60" t="s">
        <v>277</v>
      </c>
      <c r="I541" s="60" t="b">
        <v>0</v>
      </c>
      <c r="J541" s="60">
        <v>5</v>
      </c>
      <c r="K541" s="60">
        <v>1972.4</v>
      </c>
      <c r="L541" s="61">
        <v>4178071</v>
      </c>
      <c r="M541" s="61">
        <v>1000000043294854</v>
      </c>
      <c r="N541" s="60" t="s">
        <v>726</v>
      </c>
      <c r="O541" s="60"/>
    </row>
    <row r="542" spans="1:15">
      <c r="A542" s="60"/>
      <c r="B542" s="60" t="s">
        <v>724</v>
      </c>
      <c r="C542" s="60" t="s">
        <v>725</v>
      </c>
      <c r="D542" s="60" t="s">
        <v>657</v>
      </c>
      <c r="E542" s="60" t="s">
        <v>275</v>
      </c>
      <c r="F542" s="60" t="s">
        <v>276</v>
      </c>
      <c r="G542" s="60" t="s">
        <v>276</v>
      </c>
      <c r="H542" s="60" t="s">
        <v>277</v>
      </c>
      <c r="I542" s="60" t="b">
        <v>0</v>
      </c>
      <c r="J542" s="60">
        <v>6</v>
      </c>
      <c r="K542" s="60">
        <v>1972.4</v>
      </c>
      <c r="L542" s="61">
        <v>4178072</v>
      </c>
      <c r="M542" s="61">
        <v>1000000043294854</v>
      </c>
      <c r="N542" s="60" t="s">
        <v>726</v>
      </c>
      <c r="O542" s="60"/>
    </row>
    <row r="543" spans="1:15">
      <c r="A543" s="60"/>
      <c r="B543" s="60" t="s">
        <v>125</v>
      </c>
      <c r="C543" s="60" t="s">
        <v>651</v>
      </c>
      <c r="D543" s="60" t="s">
        <v>657</v>
      </c>
      <c r="E543" s="60" t="s">
        <v>275</v>
      </c>
      <c r="F543" s="60" t="s">
        <v>276</v>
      </c>
      <c r="G543" s="60" t="s">
        <v>276</v>
      </c>
      <c r="H543" s="60" t="s">
        <v>277</v>
      </c>
      <c r="I543" s="60" t="b">
        <v>0</v>
      </c>
      <c r="J543" s="60">
        <v>42</v>
      </c>
      <c r="K543" s="60">
        <v>678.75</v>
      </c>
      <c r="L543" s="61">
        <v>605560802</v>
      </c>
      <c r="M543" s="61">
        <v>1300000055439875</v>
      </c>
      <c r="N543" s="60" t="s">
        <v>727</v>
      </c>
      <c r="O543" s="60"/>
    </row>
    <row r="544" spans="1:15">
      <c r="A544" s="60"/>
      <c r="B544" s="60" t="s">
        <v>505</v>
      </c>
      <c r="C544" s="60" t="s">
        <v>506</v>
      </c>
      <c r="D544" s="60" t="s">
        <v>657</v>
      </c>
      <c r="E544" s="60" t="s">
        <v>275</v>
      </c>
      <c r="F544" s="60" t="s">
        <v>276</v>
      </c>
      <c r="G544" s="60" t="s">
        <v>276</v>
      </c>
      <c r="H544" s="60" t="s">
        <v>277</v>
      </c>
      <c r="I544" s="60" t="b">
        <v>0</v>
      </c>
      <c r="J544" s="60">
        <v>11</v>
      </c>
      <c r="K544" s="60">
        <v>1209.4000000000001</v>
      </c>
      <c r="L544" s="61">
        <v>605501073</v>
      </c>
      <c r="M544" s="61">
        <v>1300000055549447</v>
      </c>
      <c r="N544" s="60" t="s">
        <v>728</v>
      </c>
      <c r="O544" s="60"/>
    </row>
    <row r="545" spans="1:15">
      <c r="A545" s="60"/>
      <c r="B545" s="60" t="s">
        <v>505</v>
      </c>
      <c r="C545" s="60" t="s">
        <v>506</v>
      </c>
      <c r="D545" s="60" t="s">
        <v>657</v>
      </c>
      <c r="E545" s="60" t="s">
        <v>275</v>
      </c>
      <c r="F545" s="60" t="s">
        <v>276</v>
      </c>
      <c r="G545" s="60" t="s">
        <v>276</v>
      </c>
      <c r="H545" s="60" t="s">
        <v>277</v>
      </c>
      <c r="I545" s="60" t="b">
        <v>0</v>
      </c>
      <c r="J545" s="60">
        <v>14</v>
      </c>
      <c r="K545" s="60">
        <v>1209.4000000000001</v>
      </c>
      <c r="L545" s="61">
        <v>605500697</v>
      </c>
      <c r="M545" s="61">
        <v>1300000055549447</v>
      </c>
      <c r="N545" s="60" t="s">
        <v>728</v>
      </c>
      <c r="O545" s="60"/>
    </row>
    <row r="546" spans="1:15">
      <c r="A546" s="60"/>
      <c r="B546" s="60" t="s">
        <v>543</v>
      </c>
      <c r="C546" s="60" t="s">
        <v>544</v>
      </c>
      <c r="D546" s="60" t="s">
        <v>657</v>
      </c>
      <c r="E546" s="60" t="s">
        <v>275</v>
      </c>
      <c r="F546" s="60" t="s">
        <v>276</v>
      </c>
      <c r="G546" s="60" t="s">
        <v>276</v>
      </c>
      <c r="H546" s="60" t="s">
        <v>277</v>
      </c>
      <c r="I546" s="60" t="b">
        <v>0</v>
      </c>
      <c r="J546" s="60">
        <v>6</v>
      </c>
      <c r="K546" s="60">
        <v>4708</v>
      </c>
      <c r="L546" s="61">
        <v>205876850</v>
      </c>
      <c r="M546" s="61">
        <v>1100000057427734</v>
      </c>
      <c r="N546" s="60" t="s">
        <v>729</v>
      </c>
      <c r="O546" s="60"/>
    </row>
    <row r="547" spans="1:15">
      <c r="A547" s="60"/>
      <c r="B547" s="60" t="s">
        <v>543</v>
      </c>
      <c r="C547" s="60" t="s">
        <v>544</v>
      </c>
      <c r="D547" s="60" t="s">
        <v>730</v>
      </c>
      <c r="E547" s="60" t="s">
        <v>275</v>
      </c>
      <c r="F547" s="60" t="s">
        <v>276</v>
      </c>
      <c r="G547" s="60" t="s">
        <v>276</v>
      </c>
      <c r="H547" s="60" t="s">
        <v>277</v>
      </c>
      <c r="I547" s="60" t="b">
        <v>0</v>
      </c>
      <c r="J547" s="60">
        <v>14</v>
      </c>
      <c r="K547" s="60">
        <v>5100</v>
      </c>
      <c r="L547" s="61">
        <v>205454282</v>
      </c>
      <c r="M547" s="61">
        <v>1100000050186797</v>
      </c>
      <c r="N547" s="60" t="s">
        <v>731</v>
      </c>
      <c r="O547" s="60"/>
    </row>
    <row r="548" spans="1:15">
      <c r="A548" s="60"/>
      <c r="B548" s="60" t="s">
        <v>505</v>
      </c>
      <c r="C548" s="60" t="s">
        <v>506</v>
      </c>
      <c r="D548" s="60" t="s">
        <v>730</v>
      </c>
      <c r="E548" s="60" t="s">
        <v>332</v>
      </c>
      <c r="F548" s="60" t="s">
        <v>276</v>
      </c>
      <c r="G548" s="60" t="s">
        <v>333</v>
      </c>
      <c r="H548" s="60" t="s">
        <v>277</v>
      </c>
      <c r="I548" s="60" t="b">
        <v>0</v>
      </c>
      <c r="J548" s="60">
        <v>18</v>
      </c>
      <c r="K548" s="60">
        <v>1350.75</v>
      </c>
      <c r="L548" s="61">
        <v>5961700</v>
      </c>
      <c r="M548" s="61">
        <v>1.7805504821586051E+18</v>
      </c>
      <c r="N548" s="60" t="s">
        <v>732</v>
      </c>
      <c r="O548" s="60"/>
    </row>
    <row r="549" spans="1:15">
      <c r="A549" s="60"/>
      <c r="B549" s="60" t="s">
        <v>505</v>
      </c>
      <c r="C549" s="60" t="s">
        <v>506</v>
      </c>
      <c r="D549" s="60" t="s">
        <v>730</v>
      </c>
      <c r="E549" s="60" t="s">
        <v>332</v>
      </c>
      <c r="F549" s="60" t="s">
        <v>276</v>
      </c>
      <c r="G549" s="60" t="s">
        <v>333</v>
      </c>
      <c r="H549" s="60" t="s">
        <v>277</v>
      </c>
      <c r="I549" s="60" t="b">
        <v>0</v>
      </c>
      <c r="J549" s="60">
        <v>3</v>
      </c>
      <c r="K549" s="60">
        <v>1351</v>
      </c>
      <c r="L549" s="61">
        <v>5962300</v>
      </c>
      <c r="M549" s="61">
        <v>1.7805504821586051E+18</v>
      </c>
      <c r="N549" s="60" t="s">
        <v>732</v>
      </c>
      <c r="O549" s="60"/>
    </row>
    <row r="550" spans="1:15">
      <c r="A550" s="60"/>
      <c r="B550" s="60" t="s">
        <v>505</v>
      </c>
      <c r="C550" s="60" t="s">
        <v>506</v>
      </c>
      <c r="D550" s="60" t="s">
        <v>730</v>
      </c>
      <c r="E550" s="60" t="s">
        <v>332</v>
      </c>
      <c r="F550" s="60" t="s">
        <v>276</v>
      </c>
      <c r="G550" s="60" t="s">
        <v>333</v>
      </c>
      <c r="H550" s="60" t="s">
        <v>277</v>
      </c>
      <c r="I550" s="60" t="b">
        <v>0</v>
      </c>
      <c r="J550" s="60">
        <v>40</v>
      </c>
      <c r="K550" s="60">
        <v>1350.85</v>
      </c>
      <c r="L550" s="61">
        <v>5962100</v>
      </c>
      <c r="M550" s="61">
        <v>1.7805504821586051E+18</v>
      </c>
      <c r="N550" s="60" t="s">
        <v>732</v>
      </c>
      <c r="O550" s="60"/>
    </row>
    <row r="551" spans="1:15">
      <c r="A551" s="60"/>
      <c r="B551" s="60" t="s">
        <v>505</v>
      </c>
      <c r="C551" s="60" t="s">
        <v>506</v>
      </c>
      <c r="D551" s="60" t="s">
        <v>730</v>
      </c>
      <c r="E551" s="60" t="s">
        <v>332</v>
      </c>
      <c r="F551" s="60" t="s">
        <v>276</v>
      </c>
      <c r="G551" s="60" t="s">
        <v>333</v>
      </c>
      <c r="H551" s="60" t="s">
        <v>277</v>
      </c>
      <c r="I551" s="60" t="b">
        <v>0</v>
      </c>
      <c r="J551" s="60">
        <v>5</v>
      </c>
      <c r="K551" s="60">
        <v>1350.8</v>
      </c>
      <c r="L551" s="61">
        <v>5961900</v>
      </c>
      <c r="M551" s="61">
        <v>1.7805504821586051E+18</v>
      </c>
      <c r="N551" s="60" t="s">
        <v>732</v>
      </c>
      <c r="O551" s="60"/>
    </row>
    <row r="552" spans="1:15">
      <c r="A552" s="60"/>
      <c r="B552" s="60" t="s">
        <v>505</v>
      </c>
      <c r="C552" s="60" t="s">
        <v>506</v>
      </c>
      <c r="D552" s="60" t="s">
        <v>730</v>
      </c>
      <c r="E552" s="60" t="s">
        <v>332</v>
      </c>
      <c r="F552" s="60" t="s">
        <v>276</v>
      </c>
      <c r="G552" s="60" t="s">
        <v>333</v>
      </c>
      <c r="H552" s="60" t="s">
        <v>277</v>
      </c>
      <c r="I552" s="60" t="b">
        <v>0</v>
      </c>
      <c r="J552" s="60">
        <v>5</v>
      </c>
      <c r="K552" s="60">
        <v>1351.1</v>
      </c>
      <c r="L552" s="61">
        <v>5962500</v>
      </c>
      <c r="M552" s="61">
        <v>1.7805504821586051E+18</v>
      </c>
      <c r="N552" s="60" t="s">
        <v>732</v>
      </c>
      <c r="O552" s="60"/>
    </row>
    <row r="553" spans="1:15">
      <c r="A553" s="60"/>
      <c r="B553" s="60" t="s">
        <v>553</v>
      </c>
      <c r="C553" s="60" t="s">
        <v>554</v>
      </c>
      <c r="D553" s="60" t="s">
        <v>730</v>
      </c>
      <c r="E553" s="60" t="s">
        <v>275</v>
      </c>
      <c r="F553" s="60" t="s">
        <v>276</v>
      </c>
      <c r="G553" s="60" t="s">
        <v>276</v>
      </c>
      <c r="H553" s="60" t="s">
        <v>277</v>
      </c>
      <c r="I553" s="60" t="b">
        <v>0</v>
      </c>
      <c r="J553" s="60">
        <v>2</v>
      </c>
      <c r="K553" s="60">
        <v>18502</v>
      </c>
      <c r="L553" s="61">
        <v>604868027</v>
      </c>
      <c r="M553" s="61">
        <v>1300000047270644</v>
      </c>
      <c r="N553" s="60" t="s">
        <v>733</v>
      </c>
      <c r="O553" s="60"/>
    </row>
    <row r="554" spans="1:15">
      <c r="A554" s="60"/>
      <c r="B554" s="60" t="s">
        <v>153</v>
      </c>
      <c r="C554" s="60" t="s">
        <v>607</v>
      </c>
      <c r="D554" s="60" t="s">
        <v>734</v>
      </c>
      <c r="E554" s="60" t="s">
        <v>275</v>
      </c>
      <c r="F554" s="60" t="s">
        <v>276</v>
      </c>
      <c r="G554" s="60" t="s">
        <v>276</v>
      </c>
      <c r="H554" s="60" t="s">
        <v>326</v>
      </c>
      <c r="I554" s="60" t="b">
        <v>0</v>
      </c>
      <c r="J554" s="60">
        <v>10</v>
      </c>
      <c r="K554" s="60">
        <v>1790.5</v>
      </c>
      <c r="L554" s="61">
        <v>607608623</v>
      </c>
      <c r="M554" s="61">
        <v>1300000080435508</v>
      </c>
      <c r="N554" s="60" t="s">
        <v>735</v>
      </c>
      <c r="O554" s="60"/>
    </row>
    <row r="555" spans="1:15">
      <c r="A555" s="60"/>
      <c r="B555" s="60" t="s">
        <v>153</v>
      </c>
      <c r="C555" s="60" t="s">
        <v>607</v>
      </c>
      <c r="D555" s="60" t="s">
        <v>734</v>
      </c>
      <c r="E555" s="60" t="s">
        <v>275</v>
      </c>
      <c r="F555" s="60" t="s">
        <v>276</v>
      </c>
      <c r="G555" s="60" t="s">
        <v>276</v>
      </c>
      <c r="H555" s="60" t="s">
        <v>326</v>
      </c>
      <c r="I555" s="60" t="b">
        <v>0</v>
      </c>
      <c r="J555" s="60">
        <v>1</v>
      </c>
      <c r="K555" s="60">
        <v>1790.3</v>
      </c>
      <c r="L555" s="61">
        <v>607608625</v>
      </c>
      <c r="M555" s="61">
        <v>1300000080435508</v>
      </c>
      <c r="N555" s="60" t="s">
        <v>735</v>
      </c>
      <c r="O555" s="60"/>
    </row>
    <row r="556" spans="1:15">
      <c r="A556" s="60"/>
      <c r="B556" s="60" t="s">
        <v>153</v>
      </c>
      <c r="C556" s="60" t="s">
        <v>607</v>
      </c>
      <c r="D556" s="60" t="s">
        <v>734</v>
      </c>
      <c r="E556" s="60" t="s">
        <v>275</v>
      </c>
      <c r="F556" s="60" t="s">
        <v>276</v>
      </c>
      <c r="G556" s="60" t="s">
        <v>276</v>
      </c>
      <c r="H556" s="60" t="s">
        <v>326</v>
      </c>
      <c r="I556" s="60" t="b">
        <v>0</v>
      </c>
      <c r="J556" s="60">
        <v>15</v>
      </c>
      <c r="K556" s="60">
        <v>1790.3</v>
      </c>
      <c r="L556" s="61">
        <v>607608624</v>
      </c>
      <c r="M556" s="61">
        <v>1300000080435508</v>
      </c>
      <c r="N556" s="60" t="s">
        <v>735</v>
      </c>
      <c r="O556" s="60"/>
    </row>
    <row r="557" spans="1:15">
      <c r="A557" s="60"/>
      <c r="B557" s="60" t="s">
        <v>145</v>
      </c>
      <c r="C557" s="60" t="s">
        <v>371</v>
      </c>
      <c r="D557" s="60" t="s">
        <v>734</v>
      </c>
      <c r="E557" s="60" t="s">
        <v>275</v>
      </c>
      <c r="F557" s="60" t="s">
        <v>276</v>
      </c>
      <c r="G557" s="60" t="s">
        <v>276</v>
      </c>
      <c r="H557" s="60" t="s">
        <v>326</v>
      </c>
      <c r="I557" s="60" t="b">
        <v>0</v>
      </c>
      <c r="J557" s="60">
        <v>9</v>
      </c>
      <c r="K557" s="60">
        <v>280.75</v>
      </c>
      <c r="L557" s="61">
        <v>207863043</v>
      </c>
      <c r="M557" s="61">
        <v>1100000081623474</v>
      </c>
      <c r="N557" s="60" t="s">
        <v>736</v>
      </c>
      <c r="O557" s="60"/>
    </row>
    <row r="558" spans="1:15">
      <c r="A558" s="60"/>
      <c r="B558" s="60" t="s">
        <v>145</v>
      </c>
      <c r="C558" s="60" t="s">
        <v>371</v>
      </c>
      <c r="D558" s="60" t="s">
        <v>734</v>
      </c>
      <c r="E558" s="60" t="s">
        <v>275</v>
      </c>
      <c r="F558" s="60" t="s">
        <v>276</v>
      </c>
      <c r="G558" s="60" t="s">
        <v>276</v>
      </c>
      <c r="H558" s="60" t="s">
        <v>326</v>
      </c>
      <c r="I558" s="60" t="b">
        <v>0</v>
      </c>
      <c r="J558" s="60">
        <v>1</v>
      </c>
      <c r="K558" s="60">
        <v>280.75</v>
      </c>
      <c r="L558" s="61">
        <v>207863041</v>
      </c>
      <c r="M558" s="61">
        <v>1100000081623474</v>
      </c>
      <c r="N558" s="60" t="s">
        <v>736</v>
      </c>
      <c r="O558" s="60"/>
    </row>
    <row r="559" spans="1:15">
      <c r="A559" s="60"/>
      <c r="B559" s="60" t="s">
        <v>145</v>
      </c>
      <c r="C559" s="60" t="s">
        <v>371</v>
      </c>
      <c r="D559" s="60" t="s">
        <v>734</v>
      </c>
      <c r="E559" s="60" t="s">
        <v>275</v>
      </c>
      <c r="F559" s="60" t="s">
        <v>276</v>
      </c>
      <c r="G559" s="60" t="s">
        <v>276</v>
      </c>
      <c r="H559" s="60" t="s">
        <v>326</v>
      </c>
      <c r="I559" s="60" t="b">
        <v>0</v>
      </c>
      <c r="J559" s="60">
        <v>19</v>
      </c>
      <c r="K559" s="60">
        <v>280.64999999999998</v>
      </c>
      <c r="L559" s="61">
        <v>207863052</v>
      </c>
      <c r="M559" s="61">
        <v>1100000081623474</v>
      </c>
      <c r="N559" s="60" t="s">
        <v>736</v>
      </c>
      <c r="O559" s="60"/>
    </row>
    <row r="560" spans="1:15">
      <c r="A560" s="60"/>
      <c r="B560" s="60" t="s">
        <v>145</v>
      </c>
      <c r="C560" s="60" t="s">
        <v>371</v>
      </c>
      <c r="D560" s="60" t="s">
        <v>734</v>
      </c>
      <c r="E560" s="60" t="s">
        <v>275</v>
      </c>
      <c r="F560" s="60" t="s">
        <v>276</v>
      </c>
      <c r="G560" s="60" t="s">
        <v>276</v>
      </c>
      <c r="H560" s="60" t="s">
        <v>326</v>
      </c>
      <c r="I560" s="60" t="b">
        <v>0</v>
      </c>
      <c r="J560" s="60">
        <v>30</v>
      </c>
      <c r="K560" s="60">
        <v>280.64999999999998</v>
      </c>
      <c r="L560" s="61">
        <v>207863050</v>
      </c>
      <c r="M560" s="61">
        <v>1100000081623474</v>
      </c>
      <c r="N560" s="60" t="s">
        <v>736</v>
      </c>
      <c r="O560" s="60"/>
    </row>
    <row r="561" spans="1:15">
      <c r="A561" s="60"/>
      <c r="B561" s="60" t="s">
        <v>145</v>
      </c>
      <c r="C561" s="60" t="s">
        <v>371</v>
      </c>
      <c r="D561" s="60" t="s">
        <v>734</v>
      </c>
      <c r="E561" s="60" t="s">
        <v>275</v>
      </c>
      <c r="F561" s="60" t="s">
        <v>276</v>
      </c>
      <c r="G561" s="60" t="s">
        <v>276</v>
      </c>
      <c r="H561" s="60" t="s">
        <v>326</v>
      </c>
      <c r="I561" s="60" t="b">
        <v>0</v>
      </c>
      <c r="J561" s="60">
        <v>30</v>
      </c>
      <c r="K561" s="60">
        <v>280.7</v>
      </c>
      <c r="L561" s="61">
        <v>207863046</v>
      </c>
      <c r="M561" s="61">
        <v>1100000081623474</v>
      </c>
      <c r="N561" s="60" t="s">
        <v>736</v>
      </c>
      <c r="O561" s="60"/>
    </row>
    <row r="562" spans="1:15">
      <c r="A562" s="60"/>
      <c r="B562" s="60" t="s">
        <v>145</v>
      </c>
      <c r="C562" s="60" t="s">
        <v>371</v>
      </c>
      <c r="D562" s="60" t="s">
        <v>734</v>
      </c>
      <c r="E562" s="60" t="s">
        <v>275</v>
      </c>
      <c r="F562" s="60" t="s">
        <v>276</v>
      </c>
      <c r="G562" s="60" t="s">
        <v>276</v>
      </c>
      <c r="H562" s="60" t="s">
        <v>326</v>
      </c>
      <c r="I562" s="60" t="b">
        <v>0</v>
      </c>
      <c r="J562" s="60">
        <v>30</v>
      </c>
      <c r="K562" s="60">
        <v>280.75</v>
      </c>
      <c r="L562" s="61">
        <v>207863042</v>
      </c>
      <c r="M562" s="61">
        <v>1100000081623474</v>
      </c>
      <c r="N562" s="60" t="s">
        <v>736</v>
      </c>
      <c r="O562" s="60"/>
    </row>
    <row r="563" spans="1:15">
      <c r="A563" s="60"/>
      <c r="B563" s="60" t="s">
        <v>145</v>
      </c>
      <c r="C563" s="60" t="s">
        <v>371</v>
      </c>
      <c r="D563" s="60" t="s">
        <v>734</v>
      </c>
      <c r="E563" s="60" t="s">
        <v>275</v>
      </c>
      <c r="F563" s="60" t="s">
        <v>276</v>
      </c>
      <c r="G563" s="60" t="s">
        <v>276</v>
      </c>
      <c r="H563" s="60" t="s">
        <v>326</v>
      </c>
      <c r="I563" s="60" t="b">
        <v>0</v>
      </c>
      <c r="J563" s="60">
        <v>32</v>
      </c>
      <c r="K563" s="60">
        <v>280.64999999999998</v>
      </c>
      <c r="L563" s="61">
        <v>207863051</v>
      </c>
      <c r="M563" s="61">
        <v>1100000081623474</v>
      </c>
      <c r="N563" s="60" t="s">
        <v>736</v>
      </c>
      <c r="O563" s="60"/>
    </row>
    <row r="564" spans="1:15">
      <c r="A564" s="60"/>
      <c r="B564" s="60" t="s">
        <v>145</v>
      </c>
      <c r="C564" s="60" t="s">
        <v>371</v>
      </c>
      <c r="D564" s="60" t="s">
        <v>734</v>
      </c>
      <c r="E564" s="60" t="s">
        <v>275</v>
      </c>
      <c r="F564" s="60" t="s">
        <v>276</v>
      </c>
      <c r="G564" s="60" t="s">
        <v>276</v>
      </c>
      <c r="H564" s="60" t="s">
        <v>326</v>
      </c>
      <c r="I564" s="60" t="b">
        <v>0</v>
      </c>
      <c r="J564" s="60">
        <v>88</v>
      </c>
      <c r="K564" s="60">
        <v>280.7</v>
      </c>
      <c r="L564" s="61">
        <v>207863049</v>
      </c>
      <c r="M564" s="61">
        <v>1100000081623474</v>
      </c>
      <c r="N564" s="60" t="s">
        <v>736</v>
      </c>
      <c r="O564" s="60"/>
    </row>
    <row r="565" spans="1:15">
      <c r="A565" s="60"/>
      <c r="B565" s="60" t="s">
        <v>145</v>
      </c>
      <c r="C565" s="60" t="s">
        <v>371</v>
      </c>
      <c r="D565" s="60" t="s">
        <v>734</v>
      </c>
      <c r="E565" s="60" t="s">
        <v>275</v>
      </c>
      <c r="F565" s="60" t="s">
        <v>276</v>
      </c>
      <c r="G565" s="60" t="s">
        <v>276</v>
      </c>
      <c r="H565" s="60" t="s">
        <v>326</v>
      </c>
      <c r="I565" s="60" t="b">
        <v>0</v>
      </c>
      <c r="J565" s="60">
        <v>9</v>
      </c>
      <c r="K565" s="60">
        <v>280.7</v>
      </c>
      <c r="L565" s="61">
        <v>207863047</v>
      </c>
      <c r="M565" s="61">
        <v>1100000081623474</v>
      </c>
      <c r="N565" s="60" t="s">
        <v>736</v>
      </c>
      <c r="O565" s="60"/>
    </row>
    <row r="566" spans="1:15">
      <c r="A566" s="60"/>
      <c r="B566" s="60" t="s">
        <v>145</v>
      </c>
      <c r="C566" s="60" t="s">
        <v>371</v>
      </c>
      <c r="D566" s="60" t="s">
        <v>734</v>
      </c>
      <c r="E566" s="60" t="s">
        <v>275</v>
      </c>
      <c r="F566" s="60" t="s">
        <v>276</v>
      </c>
      <c r="G566" s="60" t="s">
        <v>276</v>
      </c>
      <c r="H566" s="60" t="s">
        <v>326</v>
      </c>
      <c r="I566" s="60" t="b">
        <v>0</v>
      </c>
      <c r="J566" s="60">
        <v>9</v>
      </c>
      <c r="K566" s="60">
        <v>280.7</v>
      </c>
      <c r="L566" s="61">
        <v>207863048</v>
      </c>
      <c r="M566" s="61">
        <v>1100000081623474</v>
      </c>
      <c r="N566" s="60" t="s">
        <v>736</v>
      </c>
      <c r="O566" s="60"/>
    </row>
    <row r="567" spans="1:15">
      <c r="A567" s="60"/>
      <c r="B567" s="60" t="s">
        <v>145</v>
      </c>
      <c r="C567" s="60" t="s">
        <v>371</v>
      </c>
      <c r="D567" s="60" t="s">
        <v>734</v>
      </c>
      <c r="E567" s="60" t="s">
        <v>275</v>
      </c>
      <c r="F567" s="60" t="s">
        <v>276</v>
      </c>
      <c r="G567" s="60" t="s">
        <v>276</v>
      </c>
      <c r="H567" s="60" t="s">
        <v>326</v>
      </c>
      <c r="I567" s="60" t="b">
        <v>0</v>
      </c>
      <c r="J567" s="60">
        <v>10</v>
      </c>
      <c r="K567" s="60">
        <v>280.75</v>
      </c>
      <c r="L567" s="61">
        <v>207863045</v>
      </c>
      <c r="M567" s="61">
        <v>1100000081623474</v>
      </c>
      <c r="N567" s="60" t="s">
        <v>736</v>
      </c>
      <c r="O567" s="60"/>
    </row>
    <row r="568" spans="1:15">
      <c r="A568" s="60"/>
      <c r="B568" s="60" t="s">
        <v>145</v>
      </c>
      <c r="C568" s="60" t="s">
        <v>371</v>
      </c>
      <c r="D568" s="60" t="s">
        <v>734</v>
      </c>
      <c r="E568" s="60" t="s">
        <v>275</v>
      </c>
      <c r="F568" s="60" t="s">
        <v>276</v>
      </c>
      <c r="G568" s="60" t="s">
        <v>276</v>
      </c>
      <c r="H568" s="60" t="s">
        <v>326</v>
      </c>
      <c r="I568" s="60" t="b">
        <v>0</v>
      </c>
      <c r="J568" s="60">
        <v>9</v>
      </c>
      <c r="K568" s="60">
        <v>280.75</v>
      </c>
      <c r="L568" s="61">
        <v>207863044</v>
      </c>
      <c r="M568" s="61">
        <v>1100000081623474</v>
      </c>
      <c r="N568" s="60" t="s">
        <v>736</v>
      </c>
      <c r="O568" s="60"/>
    </row>
    <row r="569" spans="1:15">
      <c r="A569" s="60"/>
      <c r="B569" s="60" t="s">
        <v>178</v>
      </c>
      <c r="C569" s="60" t="s">
        <v>609</v>
      </c>
      <c r="D569" s="60" t="s">
        <v>734</v>
      </c>
      <c r="E569" s="60" t="s">
        <v>332</v>
      </c>
      <c r="F569" s="60" t="s">
        <v>276</v>
      </c>
      <c r="G569" s="60" t="s">
        <v>333</v>
      </c>
      <c r="H569" s="60" t="s">
        <v>277</v>
      </c>
      <c r="I569" s="60" t="b">
        <v>0</v>
      </c>
      <c r="J569" s="60">
        <v>65</v>
      </c>
      <c r="K569" s="60">
        <v>767.25</v>
      </c>
      <c r="L569" s="61">
        <v>8566100</v>
      </c>
      <c r="M569" s="61">
        <v>1.7806507912191519E+18</v>
      </c>
      <c r="N569" s="60" t="s">
        <v>737</v>
      </c>
      <c r="O569" s="60"/>
    </row>
    <row r="570" spans="1:15">
      <c r="A570" s="60"/>
      <c r="B570" s="60" t="s">
        <v>150</v>
      </c>
      <c r="C570" s="60" t="s">
        <v>591</v>
      </c>
      <c r="D570" s="60" t="s">
        <v>734</v>
      </c>
      <c r="E570" s="60" t="s">
        <v>332</v>
      </c>
      <c r="F570" s="60" t="s">
        <v>276</v>
      </c>
      <c r="G570" s="60" t="s">
        <v>333</v>
      </c>
      <c r="H570" s="60" t="s">
        <v>277</v>
      </c>
      <c r="I570" s="60" t="b">
        <v>0</v>
      </c>
      <c r="J570" s="60">
        <v>34</v>
      </c>
      <c r="K570" s="60">
        <v>1449.5</v>
      </c>
      <c r="L570" s="61">
        <v>6439100</v>
      </c>
      <c r="M570" s="61">
        <v>1.7806461075409841E+18</v>
      </c>
      <c r="N570" s="60" t="s">
        <v>738</v>
      </c>
      <c r="O570" s="60"/>
    </row>
    <row r="571" spans="1:15">
      <c r="A571" s="60"/>
      <c r="B571" s="60" t="s">
        <v>182</v>
      </c>
      <c r="C571" s="60" t="s">
        <v>603</v>
      </c>
      <c r="D571" s="60" t="s">
        <v>734</v>
      </c>
      <c r="E571" s="60" t="s">
        <v>275</v>
      </c>
      <c r="F571" s="60" t="s">
        <v>276</v>
      </c>
      <c r="G571" s="60" t="s">
        <v>276</v>
      </c>
      <c r="H571" s="60" t="s">
        <v>277</v>
      </c>
      <c r="I571" s="60" t="b">
        <v>0</v>
      </c>
      <c r="J571" s="60">
        <v>11</v>
      </c>
      <c r="K571" s="60">
        <v>2027.9</v>
      </c>
      <c r="L571" s="61">
        <v>6653160</v>
      </c>
      <c r="M571" s="61">
        <v>1000000077505165</v>
      </c>
      <c r="N571" s="60" t="s">
        <v>739</v>
      </c>
      <c r="O571" s="60"/>
    </row>
    <row r="572" spans="1:15">
      <c r="A572" s="60"/>
      <c r="B572" s="60" t="s">
        <v>182</v>
      </c>
      <c r="C572" s="60" t="s">
        <v>603</v>
      </c>
      <c r="D572" s="60" t="s">
        <v>734</v>
      </c>
      <c r="E572" s="60" t="s">
        <v>275</v>
      </c>
      <c r="F572" s="60" t="s">
        <v>276</v>
      </c>
      <c r="G572" s="60" t="s">
        <v>276</v>
      </c>
      <c r="H572" s="60" t="s">
        <v>277</v>
      </c>
      <c r="I572" s="60" t="b">
        <v>0</v>
      </c>
      <c r="J572" s="60">
        <v>1</v>
      </c>
      <c r="K572" s="60">
        <v>2027.6</v>
      </c>
      <c r="L572" s="61">
        <v>6653157</v>
      </c>
      <c r="M572" s="61">
        <v>1000000077505165</v>
      </c>
      <c r="N572" s="60" t="s">
        <v>739</v>
      </c>
      <c r="O572" s="60"/>
    </row>
    <row r="573" spans="1:15">
      <c r="A573" s="60"/>
      <c r="B573" s="60" t="s">
        <v>182</v>
      </c>
      <c r="C573" s="60" t="s">
        <v>603</v>
      </c>
      <c r="D573" s="60" t="s">
        <v>734</v>
      </c>
      <c r="E573" s="60" t="s">
        <v>275</v>
      </c>
      <c r="F573" s="60" t="s">
        <v>276</v>
      </c>
      <c r="G573" s="60" t="s">
        <v>276</v>
      </c>
      <c r="H573" s="60" t="s">
        <v>277</v>
      </c>
      <c r="I573" s="60" t="b">
        <v>0</v>
      </c>
      <c r="J573" s="60">
        <v>29</v>
      </c>
      <c r="K573" s="60">
        <v>2028</v>
      </c>
      <c r="L573" s="61">
        <v>6653161</v>
      </c>
      <c r="M573" s="61">
        <v>1000000077505165</v>
      </c>
      <c r="N573" s="60" t="s">
        <v>739</v>
      </c>
      <c r="O573" s="60"/>
    </row>
    <row r="574" spans="1:15">
      <c r="A574" s="60"/>
      <c r="B574" s="60" t="s">
        <v>182</v>
      </c>
      <c r="C574" s="60" t="s">
        <v>603</v>
      </c>
      <c r="D574" s="60" t="s">
        <v>734</v>
      </c>
      <c r="E574" s="60" t="s">
        <v>275</v>
      </c>
      <c r="F574" s="60" t="s">
        <v>276</v>
      </c>
      <c r="G574" s="60" t="s">
        <v>276</v>
      </c>
      <c r="H574" s="60" t="s">
        <v>277</v>
      </c>
      <c r="I574" s="60" t="b">
        <v>0</v>
      </c>
      <c r="J574" s="60">
        <v>4</v>
      </c>
      <c r="K574" s="60">
        <v>2027.6</v>
      </c>
      <c r="L574" s="61">
        <v>6653158</v>
      </c>
      <c r="M574" s="61">
        <v>1000000077505165</v>
      </c>
      <c r="N574" s="60" t="s">
        <v>739</v>
      </c>
      <c r="O574" s="60"/>
    </row>
    <row r="575" spans="1:15">
      <c r="A575" s="60"/>
      <c r="B575" s="60" t="s">
        <v>182</v>
      </c>
      <c r="C575" s="60" t="s">
        <v>603</v>
      </c>
      <c r="D575" s="60" t="s">
        <v>734</v>
      </c>
      <c r="E575" s="60" t="s">
        <v>275</v>
      </c>
      <c r="F575" s="60" t="s">
        <v>276</v>
      </c>
      <c r="G575" s="60" t="s">
        <v>276</v>
      </c>
      <c r="H575" s="60" t="s">
        <v>277</v>
      </c>
      <c r="I575" s="60" t="b">
        <v>0</v>
      </c>
      <c r="J575" s="60">
        <v>4</v>
      </c>
      <c r="K575" s="60">
        <v>2027.8</v>
      </c>
      <c r="L575" s="61">
        <v>6653159</v>
      </c>
      <c r="M575" s="61">
        <v>1000000077505165</v>
      </c>
      <c r="N575" s="60" t="s">
        <v>739</v>
      </c>
      <c r="O575" s="60"/>
    </row>
    <row r="576" spans="1:15">
      <c r="A576" s="60"/>
      <c r="B576" s="60" t="s">
        <v>150</v>
      </c>
      <c r="C576" s="60" t="s">
        <v>591</v>
      </c>
      <c r="D576" s="60" t="s">
        <v>734</v>
      </c>
      <c r="E576" s="60" t="s">
        <v>332</v>
      </c>
      <c r="F576" s="60" t="s">
        <v>276</v>
      </c>
      <c r="G576" s="60" t="s">
        <v>333</v>
      </c>
      <c r="H576" s="60" t="s">
        <v>277</v>
      </c>
      <c r="I576" s="60" t="b">
        <v>0</v>
      </c>
      <c r="J576" s="60">
        <v>34</v>
      </c>
      <c r="K576" s="60">
        <v>1446.35</v>
      </c>
      <c r="L576" s="61">
        <v>7090800</v>
      </c>
      <c r="M576" s="61">
        <v>1.7806516353905039E+18</v>
      </c>
      <c r="N576" s="60" t="s">
        <v>740</v>
      </c>
      <c r="O576" s="60"/>
    </row>
    <row r="577" spans="1:15">
      <c r="A577" s="60"/>
      <c r="B577" s="60" t="s">
        <v>741</v>
      </c>
      <c r="C577" s="60" t="s">
        <v>742</v>
      </c>
      <c r="D577" s="60" t="s">
        <v>734</v>
      </c>
      <c r="E577" s="60" t="s">
        <v>275</v>
      </c>
      <c r="F577" s="60" t="s">
        <v>276</v>
      </c>
      <c r="G577" s="60" t="s">
        <v>276</v>
      </c>
      <c r="H577" s="60" t="s">
        <v>277</v>
      </c>
      <c r="I577" s="60" t="b">
        <v>0</v>
      </c>
      <c r="J577" s="60">
        <v>5</v>
      </c>
      <c r="K577" s="60">
        <v>1817.3</v>
      </c>
      <c r="L577" s="61">
        <v>609856815</v>
      </c>
      <c r="M577" s="61">
        <v>1300000099844907</v>
      </c>
      <c r="N577" s="60" t="s">
        <v>743</v>
      </c>
      <c r="O577" s="60"/>
    </row>
    <row r="578" spans="1:15">
      <c r="A578" s="60"/>
      <c r="B578" s="60" t="s">
        <v>741</v>
      </c>
      <c r="C578" s="60" t="s">
        <v>742</v>
      </c>
      <c r="D578" s="60" t="s">
        <v>734</v>
      </c>
      <c r="E578" s="60" t="s">
        <v>275</v>
      </c>
      <c r="F578" s="60" t="s">
        <v>276</v>
      </c>
      <c r="G578" s="60" t="s">
        <v>276</v>
      </c>
      <c r="H578" s="60" t="s">
        <v>277</v>
      </c>
      <c r="I578" s="60" t="b">
        <v>0</v>
      </c>
      <c r="J578" s="60">
        <v>9</v>
      </c>
      <c r="K578" s="60">
        <v>1817.8</v>
      </c>
      <c r="L578" s="61">
        <v>609856816</v>
      </c>
      <c r="M578" s="61">
        <v>1300000099844907</v>
      </c>
      <c r="N578" s="60" t="s">
        <v>743</v>
      </c>
      <c r="O578" s="60"/>
    </row>
    <row r="579" spans="1:15">
      <c r="A579" s="60"/>
      <c r="B579" s="60" t="s">
        <v>217</v>
      </c>
      <c r="C579" s="60" t="s">
        <v>653</v>
      </c>
      <c r="D579" s="60" t="s">
        <v>734</v>
      </c>
      <c r="E579" s="60" t="s">
        <v>275</v>
      </c>
      <c r="F579" s="60" t="s">
        <v>276</v>
      </c>
      <c r="G579" s="60" t="s">
        <v>276</v>
      </c>
      <c r="H579" s="60" t="s">
        <v>277</v>
      </c>
      <c r="I579" s="60" t="b">
        <v>0</v>
      </c>
      <c r="J579" s="60">
        <v>125</v>
      </c>
      <c r="K579" s="60">
        <v>399.6</v>
      </c>
      <c r="L579" s="61">
        <v>210316684</v>
      </c>
      <c r="M579" s="61">
        <v>1100000100822022</v>
      </c>
      <c r="N579" s="60" t="s">
        <v>744</v>
      </c>
      <c r="O579" s="60"/>
    </row>
    <row r="580" spans="1:15">
      <c r="A580" s="60"/>
      <c r="B580" s="60" t="s">
        <v>745</v>
      </c>
      <c r="C580" s="60" t="s">
        <v>746</v>
      </c>
      <c r="D580" s="60" t="s">
        <v>747</v>
      </c>
      <c r="E580" s="60" t="s">
        <v>275</v>
      </c>
      <c r="F580" s="60" t="s">
        <v>276</v>
      </c>
      <c r="G580" s="60" t="s">
        <v>276</v>
      </c>
      <c r="H580" s="60" t="s">
        <v>277</v>
      </c>
      <c r="I580" s="60" t="b">
        <v>0</v>
      </c>
      <c r="J580" s="60">
        <v>2</v>
      </c>
      <c r="K580" s="60">
        <v>17264</v>
      </c>
      <c r="L580" s="61">
        <v>401229493</v>
      </c>
      <c r="M580" s="61">
        <v>1200000012256119</v>
      </c>
      <c r="N580" s="60" t="s">
        <v>748</v>
      </c>
      <c r="O580" s="60"/>
    </row>
    <row r="581" spans="1:15">
      <c r="A581" s="60"/>
      <c r="B581" s="60" t="s">
        <v>724</v>
      </c>
      <c r="C581" s="60" t="s">
        <v>725</v>
      </c>
      <c r="D581" s="60" t="s">
        <v>749</v>
      </c>
      <c r="E581" s="60" t="s">
        <v>275</v>
      </c>
      <c r="F581" s="60" t="s">
        <v>276</v>
      </c>
      <c r="G581" s="60" t="s">
        <v>276</v>
      </c>
      <c r="H581" s="60" t="s">
        <v>277</v>
      </c>
      <c r="I581" s="60" t="b">
        <v>0</v>
      </c>
      <c r="J581" s="60">
        <v>1</v>
      </c>
      <c r="K581" s="60">
        <v>2113.1999999999998</v>
      </c>
      <c r="L581" s="61">
        <v>3047537</v>
      </c>
      <c r="M581" s="61">
        <v>1000000033491161</v>
      </c>
      <c r="N581" s="60" t="s">
        <v>750</v>
      </c>
      <c r="O581" s="60"/>
    </row>
    <row r="582" spans="1:15">
      <c r="A582" s="60"/>
      <c r="B582" s="60" t="s">
        <v>724</v>
      </c>
      <c r="C582" s="60" t="s">
        <v>725</v>
      </c>
      <c r="D582" s="60" t="s">
        <v>749</v>
      </c>
      <c r="E582" s="60" t="s">
        <v>275</v>
      </c>
      <c r="F582" s="60" t="s">
        <v>276</v>
      </c>
      <c r="G582" s="60" t="s">
        <v>276</v>
      </c>
      <c r="H582" s="60" t="s">
        <v>277</v>
      </c>
      <c r="I582" s="60" t="b">
        <v>0</v>
      </c>
      <c r="J582" s="60">
        <v>37</v>
      </c>
      <c r="K582" s="60">
        <v>2113.1999999999998</v>
      </c>
      <c r="L582" s="61">
        <v>3047538</v>
      </c>
      <c r="M582" s="61">
        <v>1000000033491161</v>
      </c>
      <c r="N582" s="60" t="s">
        <v>750</v>
      </c>
      <c r="O582" s="60"/>
    </row>
    <row r="583" spans="1:15">
      <c r="A583" s="60"/>
      <c r="B583" s="60" t="s">
        <v>666</v>
      </c>
      <c r="C583" s="60" t="s">
        <v>667</v>
      </c>
      <c r="D583" s="60" t="s">
        <v>749</v>
      </c>
      <c r="E583" s="60" t="s">
        <v>332</v>
      </c>
      <c r="F583" s="60" t="s">
        <v>276</v>
      </c>
      <c r="G583" s="60" t="s">
        <v>333</v>
      </c>
      <c r="H583" s="60" t="s">
        <v>277</v>
      </c>
      <c r="I583" s="60" t="b">
        <v>0</v>
      </c>
      <c r="J583" s="60">
        <v>133</v>
      </c>
      <c r="K583" s="60">
        <v>526.79999999999995</v>
      </c>
      <c r="L583" s="61">
        <v>7546500</v>
      </c>
      <c r="M583" s="61">
        <v>1.7808940880076721E+18</v>
      </c>
      <c r="N583" s="60" t="s">
        <v>751</v>
      </c>
      <c r="O583" s="60"/>
    </row>
    <row r="584" spans="1:15">
      <c r="A584" s="60"/>
      <c r="B584" s="60" t="s">
        <v>595</v>
      </c>
      <c r="C584" s="60" t="s">
        <v>596</v>
      </c>
      <c r="D584" s="60" t="s">
        <v>749</v>
      </c>
      <c r="E584" s="60" t="s">
        <v>332</v>
      </c>
      <c r="F584" s="60" t="s">
        <v>276</v>
      </c>
      <c r="G584" s="60" t="s">
        <v>333</v>
      </c>
      <c r="H584" s="60" t="s">
        <v>277</v>
      </c>
      <c r="I584" s="60" t="b">
        <v>0</v>
      </c>
      <c r="J584" s="60">
        <v>7</v>
      </c>
      <c r="K584" s="60">
        <v>3401</v>
      </c>
      <c r="L584" s="61">
        <v>6312900</v>
      </c>
      <c r="M584" s="61">
        <v>1.780895884500354E+18</v>
      </c>
      <c r="N584" s="60" t="s">
        <v>752</v>
      </c>
      <c r="O584" s="60"/>
    </row>
    <row r="585" spans="1:15">
      <c r="A585" s="60"/>
      <c r="B585" s="60" t="s">
        <v>675</v>
      </c>
      <c r="C585" s="60" t="s">
        <v>676</v>
      </c>
      <c r="D585" s="60" t="s">
        <v>749</v>
      </c>
      <c r="E585" s="60" t="s">
        <v>275</v>
      </c>
      <c r="F585" s="60" t="s">
        <v>276</v>
      </c>
      <c r="G585" s="60" t="s">
        <v>276</v>
      </c>
      <c r="H585" s="60" t="s">
        <v>277</v>
      </c>
      <c r="I585" s="60" t="b">
        <v>0</v>
      </c>
      <c r="J585" s="60">
        <v>1</v>
      </c>
      <c r="K585" s="60">
        <v>4581.5</v>
      </c>
      <c r="L585" s="61">
        <v>3521926</v>
      </c>
      <c r="M585" s="61">
        <v>1000000039464745</v>
      </c>
      <c r="N585" s="60" t="s">
        <v>753</v>
      </c>
      <c r="O585" s="60"/>
    </row>
    <row r="586" spans="1:15">
      <c r="A586" s="60"/>
      <c r="B586" s="60" t="s">
        <v>675</v>
      </c>
      <c r="C586" s="60" t="s">
        <v>676</v>
      </c>
      <c r="D586" s="60" t="s">
        <v>749</v>
      </c>
      <c r="E586" s="60" t="s">
        <v>275</v>
      </c>
      <c r="F586" s="60" t="s">
        <v>276</v>
      </c>
      <c r="G586" s="60" t="s">
        <v>276</v>
      </c>
      <c r="H586" s="60" t="s">
        <v>277</v>
      </c>
      <c r="I586" s="60" t="b">
        <v>0</v>
      </c>
      <c r="J586" s="60">
        <v>1</v>
      </c>
      <c r="K586" s="60">
        <v>4581.6000999999997</v>
      </c>
      <c r="L586" s="61">
        <v>3521928</v>
      </c>
      <c r="M586" s="61">
        <v>1000000039464745</v>
      </c>
      <c r="N586" s="60" t="s">
        <v>753</v>
      </c>
      <c r="O586" s="60"/>
    </row>
    <row r="587" spans="1:15">
      <c r="A587" s="60"/>
      <c r="B587" s="60" t="s">
        <v>675</v>
      </c>
      <c r="C587" s="60" t="s">
        <v>676</v>
      </c>
      <c r="D587" s="60" t="s">
        <v>749</v>
      </c>
      <c r="E587" s="60" t="s">
        <v>275</v>
      </c>
      <c r="F587" s="60" t="s">
        <v>276</v>
      </c>
      <c r="G587" s="60" t="s">
        <v>276</v>
      </c>
      <c r="H587" s="60" t="s">
        <v>277</v>
      </c>
      <c r="I587" s="60" t="b">
        <v>0</v>
      </c>
      <c r="J587" s="60">
        <v>1</v>
      </c>
      <c r="K587" s="60">
        <v>4581.7997999999998</v>
      </c>
      <c r="L587" s="61">
        <v>3521931</v>
      </c>
      <c r="M587" s="61">
        <v>1000000039464745</v>
      </c>
      <c r="N587" s="60" t="s">
        <v>753</v>
      </c>
      <c r="O587" s="60"/>
    </row>
    <row r="588" spans="1:15">
      <c r="A588" s="60"/>
      <c r="B588" s="60" t="s">
        <v>675</v>
      </c>
      <c r="C588" s="60" t="s">
        <v>676</v>
      </c>
      <c r="D588" s="60" t="s">
        <v>749</v>
      </c>
      <c r="E588" s="60" t="s">
        <v>275</v>
      </c>
      <c r="F588" s="60" t="s">
        <v>276</v>
      </c>
      <c r="G588" s="60" t="s">
        <v>276</v>
      </c>
      <c r="H588" s="60" t="s">
        <v>277</v>
      </c>
      <c r="I588" s="60" t="b">
        <v>0</v>
      </c>
      <c r="J588" s="60">
        <v>1</v>
      </c>
      <c r="K588" s="60">
        <v>4582.1000999999997</v>
      </c>
      <c r="L588" s="61">
        <v>3521932</v>
      </c>
      <c r="M588" s="61">
        <v>1000000039464745</v>
      </c>
      <c r="N588" s="60" t="s">
        <v>753</v>
      </c>
      <c r="O588" s="60"/>
    </row>
    <row r="589" spans="1:15">
      <c r="A589" s="60"/>
      <c r="B589" s="60" t="s">
        <v>675</v>
      </c>
      <c r="C589" s="60" t="s">
        <v>676</v>
      </c>
      <c r="D589" s="60" t="s">
        <v>749</v>
      </c>
      <c r="E589" s="60" t="s">
        <v>275</v>
      </c>
      <c r="F589" s="60" t="s">
        <v>276</v>
      </c>
      <c r="G589" s="60" t="s">
        <v>276</v>
      </c>
      <c r="H589" s="60" t="s">
        <v>277</v>
      </c>
      <c r="I589" s="60" t="b">
        <v>0</v>
      </c>
      <c r="J589" s="60">
        <v>2</v>
      </c>
      <c r="K589" s="60">
        <v>4581.7002000000002</v>
      </c>
      <c r="L589" s="61">
        <v>3521930</v>
      </c>
      <c r="M589" s="61">
        <v>1000000039464745</v>
      </c>
      <c r="N589" s="60" t="s">
        <v>753</v>
      </c>
      <c r="O589" s="60"/>
    </row>
    <row r="590" spans="1:15">
      <c r="A590" s="60"/>
      <c r="B590" s="60" t="s">
        <v>675</v>
      </c>
      <c r="C590" s="60" t="s">
        <v>676</v>
      </c>
      <c r="D590" s="60" t="s">
        <v>749</v>
      </c>
      <c r="E590" s="60" t="s">
        <v>275</v>
      </c>
      <c r="F590" s="60" t="s">
        <v>276</v>
      </c>
      <c r="G590" s="60" t="s">
        <v>276</v>
      </c>
      <c r="H590" s="60" t="s">
        <v>277</v>
      </c>
      <c r="I590" s="60" t="b">
        <v>0</v>
      </c>
      <c r="J590" s="60">
        <v>2</v>
      </c>
      <c r="K590" s="60">
        <v>4582.2997999999998</v>
      </c>
      <c r="L590" s="61">
        <v>3521933</v>
      </c>
      <c r="M590" s="61">
        <v>1000000039464745</v>
      </c>
      <c r="N590" s="60" t="s">
        <v>753</v>
      </c>
      <c r="O590" s="60"/>
    </row>
    <row r="591" spans="1:15">
      <c r="A591" s="60"/>
      <c r="B591" s="60" t="s">
        <v>675</v>
      </c>
      <c r="C591" s="60" t="s">
        <v>676</v>
      </c>
      <c r="D591" s="60" t="s">
        <v>749</v>
      </c>
      <c r="E591" s="60" t="s">
        <v>275</v>
      </c>
      <c r="F591" s="60" t="s">
        <v>276</v>
      </c>
      <c r="G591" s="60" t="s">
        <v>276</v>
      </c>
      <c r="H591" s="60" t="s">
        <v>277</v>
      </c>
      <c r="I591" s="60" t="b">
        <v>0</v>
      </c>
      <c r="J591" s="60">
        <v>3</v>
      </c>
      <c r="K591" s="60">
        <v>4581.5</v>
      </c>
      <c r="L591" s="61">
        <v>3521927</v>
      </c>
      <c r="M591" s="61">
        <v>1000000039464745</v>
      </c>
      <c r="N591" s="60" t="s">
        <v>753</v>
      </c>
      <c r="O591" s="60"/>
    </row>
    <row r="592" spans="1:15">
      <c r="A592" s="60"/>
      <c r="B592" s="60" t="s">
        <v>675</v>
      </c>
      <c r="C592" s="60" t="s">
        <v>676</v>
      </c>
      <c r="D592" s="60" t="s">
        <v>749</v>
      </c>
      <c r="E592" s="60" t="s">
        <v>275</v>
      </c>
      <c r="F592" s="60" t="s">
        <v>276</v>
      </c>
      <c r="G592" s="60" t="s">
        <v>276</v>
      </c>
      <c r="H592" s="60" t="s">
        <v>277</v>
      </c>
      <c r="I592" s="60" t="b">
        <v>0</v>
      </c>
      <c r="J592" s="60">
        <v>5</v>
      </c>
      <c r="K592" s="60">
        <v>4581.6000999999997</v>
      </c>
      <c r="L592" s="61">
        <v>3521929</v>
      </c>
      <c r="M592" s="61">
        <v>1000000039464745</v>
      </c>
      <c r="N592" s="60" t="s">
        <v>753</v>
      </c>
      <c r="O592" s="60"/>
    </row>
    <row r="593" spans="1:15">
      <c r="A593" s="60"/>
      <c r="B593" s="60" t="s">
        <v>669</v>
      </c>
      <c r="C593" s="60" t="s">
        <v>670</v>
      </c>
      <c r="D593" s="60" t="s">
        <v>749</v>
      </c>
      <c r="E593" s="60" t="s">
        <v>275</v>
      </c>
      <c r="F593" s="60" t="s">
        <v>276</v>
      </c>
      <c r="G593" s="60" t="s">
        <v>276</v>
      </c>
      <c r="H593" s="60" t="s">
        <v>277</v>
      </c>
      <c r="I593" s="60" t="b">
        <v>0</v>
      </c>
      <c r="J593" s="60">
        <v>7</v>
      </c>
      <c r="K593" s="60">
        <v>10273</v>
      </c>
      <c r="L593" s="61">
        <v>3529574</v>
      </c>
      <c r="M593" s="61">
        <v>1000000039594788</v>
      </c>
      <c r="N593" s="60" t="s">
        <v>754</v>
      </c>
      <c r="O593" s="60"/>
    </row>
    <row r="594" spans="1:15">
      <c r="A594" s="60"/>
      <c r="B594" s="60" t="s">
        <v>655</v>
      </c>
      <c r="C594" s="60" t="s">
        <v>656</v>
      </c>
      <c r="D594" s="60" t="s">
        <v>749</v>
      </c>
      <c r="E594" s="60" t="s">
        <v>275</v>
      </c>
      <c r="F594" s="60" t="s">
        <v>276</v>
      </c>
      <c r="G594" s="60" t="s">
        <v>276</v>
      </c>
      <c r="H594" s="60" t="s">
        <v>277</v>
      </c>
      <c r="I594" s="60" t="b">
        <v>0</v>
      </c>
      <c r="J594" s="60">
        <v>11</v>
      </c>
      <c r="K594" s="60">
        <v>1096.2</v>
      </c>
      <c r="L594" s="61">
        <v>3537360</v>
      </c>
      <c r="M594" s="61">
        <v>1000000039706993</v>
      </c>
      <c r="N594" s="60" t="s">
        <v>755</v>
      </c>
      <c r="O594" s="60"/>
    </row>
    <row r="595" spans="1:15">
      <c r="A595" s="60"/>
      <c r="B595" s="60" t="s">
        <v>655</v>
      </c>
      <c r="C595" s="60" t="s">
        <v>656</v>
      </c>
      <c r="D595" s="60" t="s">
        <v>749</v>
      </c>
      <c r="E595" s="60" t="s">
        <v>275</v>
      </c>
      <c r="F595" s="60" t="s">
        <v>276</v>
      </c>
      <c r="G595" s="60" t="s">
        <v>276</v>
      </c>
      <c r="H595" s="60" t="s">
        <v>277</v>
      </c>
      <c r="I595" s="60" t="b">
        <v>0</v>
      </c>
      <c r="J595" s="60">
        <v>12</v>
      </c>
      <c r="K595" s="60">
        <v>1096.3</v>
      </c>
      <c r="L595" s="61">
        <v>3537361</v>
      </c>
      <c r="M595" s="61">
        <v>1000000039706993</v>
      </c>
      <c r="N595" s="60" t="s">
        <v>755</v>
      </c>
      <c r="O595" s="60"/>
    </row>
    <row r="596" spans="1:15">
      <c r="A596" s="60"/>
      <c r="B596" s="60" t="s">
        <v>655</v>
      </c>
      <c r="C596" s="60" t="s">
        <v>656</v>
      </c>
      <c r="D596" s="60" t="s">
        <v>749</v>
      </c>
      <c r="E596" s="60" t="s">
        <v>275</v>
      </c>
      <c r="F596" s="60" t="s">
        <v>276</v>
      </c>
      <c r="G596" s="60" t="s">
        <v>276</v>
      </c>
      <c r="H596" s="60" t="s">
        <v>277</v>
      </c>
      <c r="I596" s="60" t="b">
        <v>0</v>
      </c>
      <c r="J596" s="60">
        <v>25</v>
      </c>
      <c r="K596" s="60">
        <v>1096.4000000000001</v>
      </c>
      <c r="L596" s="61">
        <v>3537363</v>
      </c>
      <c r="M596" s="61">
        <v>1000000039706993</v>
      </c>
      <c r="N596" s="60" t="s">
        <v>755</v>
      </c>
      <c r="O596" s="60"/>
    </row>
    <row r="597" spans="1:15">
      <c r="A597" s="60"/>
      <c r="B597" s="60" t="s">
        <v>655</v>
      </c>
      <c r="C597" s="60" t="s">
        <v>656</v>
      </c>
      <c r="D597" s="60" t="s">
        <v>749</v>
      </c>
      <c r="E597" s="60" t="s">
        <v>275</v>
      </c>
      <c r="F597" s="60" t="s">
        <v>276</v>
      </c>
      <c r="G597" s="60" t="s">
        <v>276</v>
      </c>
      <c r="H597" s="60" t="s">
        <v>277</v>
      </c>
      <c r="I597" s="60" t="b">
        <v>0</v>
      </c>
      <c r="J597" s="60">
        <v>4</v>
      </c>
      <c r="K597" s="60">
        <v>1096</v>
      </c>
      <c r="L597" s="61">
        <v>3537358</v>
      </c>
      <c r="M597" s="61">
        <v>1000000039706993</v>
      </c>
      <c r="N597" s="60" t="s">
        <v>755</v>
      </c>
      <c r="O597" s="60"/>
    </row>
    <row r="598" spans="1:15">
      <c r="A598" s="60"/>
      <c r="B598" s="60" t="s">
        <v>655</v>
      </c>
      <c r="C598" s="60" t="s">
        <v>656</v>
      </c>
      <c r="D598" s="60" t="s">
        <v>749</v>
      </c>
      <c r="E598" s="60" t="s">
        <v>275</v>
      </c>
      <c r="F598" s="60" t="s">
        <v>276</v>
      </c>
      <c r="G598" s="60" t="s">
        <v>276</v>
      </c>
      <c r="H598" s="60" t="s">
        <v>277</v>
      </c>
      <c r="I598" s="60" t="b">
        <v>0</v>
      </c>
      <c r="J598" s="60">
        <v>6</v>
      </c>
      <c r="K598" s="60">
        <v>1096.0999999999999</v>
      </c>
      <c r="L598" s="61">
        <v>3537359</v>
      </c>
      <c r="M598" s="61">
        <v>1000000039706993</v>
      </c>
      <c r="N598" s="60" t="s">
        <v>755</v>
      </c>
      <c r="O598" s="60"/>
    </row>
    <row r="599" spans="1:15">
      <c r="A599" s="60"/>
      <c r="B599" s="60" t="s">
        <v>655</v>
      </c>
      <c r="C599" s="60" t="s">
        <v>656</v>
      </c>
      <c r="D599" s="60" t="s">
        <v>749</v>
      </c>
      <c r="E599" s="60" t="s">
        <v>275</v>
      </c>
      <c r="F599" s="60" t="s">
        <v>276</v>
      </c>
      <c r="G599" s="60" t="s">
        <v>276</v>
      </c>
      <c r="H599" s="60" t="s">
        <v>277</v>
      </c>
      <c r="I599" s="60" t="b">
        <v>0</v>
      </c>
      <c r="J599" s="60">
        <v>6</v>
      </c>
      <c r="K599" s="60">
        <v>1096.4000000000001</v>
      </c>
      <c r="L599" s="61">
        <v>3537362</v>
      </c>
      <c r="M599" s="61">
        <v>1000000039706993</v>
      </c>
      <c r="N599" s="60" t="s">
        <v>755</v>
      </c>
      <c r="O599" s="60"/>
    </row>
    <row r="600" spans="1:15">
      <c r="A600" s="60"/>
      <c r="B600" s="60" t="s">
        <v>696</v>
      </c>
      <c r="C600" s="60" t="s">
        <v>697</v>
      </c>
      <c r="D600" s="60" t="s">
        <v>749</v>
      </c>
      <c r="E600" s="60" t="s">
        <v>332</v>
      </c>
      <c r="F600" s="60" t="s">
        <v>276</v>
      </c>
      <c r="G600" s="60" t="s">
        <v>333</v>
      </c>
      <c r="H600" s="60" t="s">
        <v>277</v>
      </c>
      <c r="I600" s="60" t="b">
        <v>0</v>
      </c>
      <c r="J600" s="60">
        <v>13</v>
      </c>
      <c r="K600" s="60">
        <v>5242.5</v>
      </c>
      <c r="L600" s="61">
        <v>5866700</v>
      </c>
      <c r="M600" s="61">
        <v>1.780894926189909E+18</v>
      </c>
      <c r="N600" s="60" t="s">
        <v>756</v>
      </c>
      <c r="O600" s="60"/>
    </row>
    <row r="601" spans="1:15">
      <c r="A601" s="60"/>
      <c r="B601" s="60" t="s">
        <v>699</v>
      </c>
      <c r="C601" s="60" t="s">
        <v>700</v>
      </c>
      <c r="D601" s="60" t="s">
        <v>749</v>
      </c>
      <c r="E601" s="60" t="s">
        <v>275</v>
      </c>
      <c r="F601" s="60" t="s">
        <v>276</v>
      </c>
      <c r="G601" s="60" t="s">
        <v>276</v>
      </c>
      <c r="H601" s="60" t="s">
        <v>277</v>
      </c>
      <c r="I601" s="60" t="b">
        <v>0</v>
      </c>
      <c r="J601" s="60">
        <v>3</v>
      </c>
      <c r="K601" s="60">
        <v>661.35</v>
      </c>
      <c r="L601" s="61">
        <v>404135580</v>
      </c>
      <c r="M601" s="61">
        <v>1200000047071346</v>
      </c>
      <c r="N601" s="60" t="s">
        <v>757</v>
      </c>
      <c r="O601" s="60"/>
    </row>
    <row r="602" spans="1:15">
      <c r="A602" s="60"/>
      <c r="B602" s="60" t="s">
        <v>699</v>
      </c>
      <c r="C602" s="60" t="s">
        <v>700</v>
      </c>
      <c r="D602" s="60" t="s">
        <v>749</v>
      </c>
      <c r="E602" s="60" t="s">
        <v>275</v>
      </c>
      <c r="F602" s="60" t="s">
        <v>276</v>
      </c>
      <c r="G602" s="60" t="s">
        <v>276</v>
      </c>
      <c r="H602" s="60" t="s">
        <v>277</v>
      </c>
      <c r="I602" s="60" t="b">
        <v>0</v>
      </c>
      <c r="J602" s="60">
        <v>11</v>
      </c>
      <c r="K602" s="60">
        <v>661.25</v>
      </c>
      <c r="L602" s="61">
        <v>404135575</v>
      </c>
      <c r="M602" s="61">
        <v>1200000047071346</v>
      </c>
      <c r="N602" s="60" t="s">
        <v>757</v>
      </c>
      <c r="O602" s="60"/>
    </row>
    <row r="603" spans="1:15">
      <c r="A603" s="60"/>
      <c r="B603" s="60" t="s">
        <v>699</v>
      </c>
      <c r="C603" s="60" t="s">
        <v>700</v>
      </c>
      <c r="D603" s="60" t="s">
        <v>749</v>
      </c>
      <c r="E603" s="60" t="s">
        <v>275</v>
      </c>
      <c r="F603" s="60" t="s">
        <v>276</v>
      </c>
      <c r="G603" s="60" t="s">
        <v>276</v>
      </c>
      <c r="H603" s="60" t="s">
        <v>277</v>
      </c>
      <c r="I603" s="60" t="b">
        <v>0</v>
      </c>
      <c r="J603" s="60">
        <v>1</v>
      </c>
      <c r="K603" s="60">
        <v>661.15</v>
      </c>
      <c r="L603" s="61">
        <v>404135572</v>
      </c>
      <c r="M603" s="61">
        <v>1200000047071346</v>
      </c>
      <c r="N603" s="60" t="s">
        <v>757</v>
      </c>
      <c r="O603" s="60"/>
    </row>
    <row r="604" spans="1:15">
      <c r="A604" s="60"/>
      <c r="B604" s="60" t="s">
        <v>699</v>
      </c>
      <c r="C604" s="60" t="s">
        <v>700</v>
      </c>
      <c r="D604" s="60" t="s">
        <v>749</v>
      </c>
      <c r="E604" s="60" t="s">
        <v>275</v>
      </c>
      <c r="F604" s="60" t="s">
        <v>276</v>
      </c>
      <c r="G604" s="60" t="s">
        <v>276</v>
      </c>
      <c r="H604" s="60" t="s">
        <v>277</v>
      </c>
      <c r="I604" s="60" t="b">
        <v>0</v>
      </c>
      <c r="J604" s="60">
        <v>12</v>
      </c>
      <c r="K604" s="60">
        <v>661.3</v>
      </c>
      <c r="L604" s="61">
        <v>404135579</v>
      </c>
      <c r="M604" s="61">
        <v>1200000047071346</v>
      </c>
      <c r="N604" s="60" t="s">
        <v>757</v>
      </c>
      <c r="O604" s="60"/>
    </row>
    <row r="605" spans="1:15">
      <c r="A605" s="60"/>
      <c r="B605" s="60" t="s">
        <v>699</v>
      </c>
      <c r="C605" s="60" t="s">
        <v>700</v>
      </c>
      <c r="D605" s="60" t="s">
        <v>749</v>
      </c>
      <c r="E605" s="60" t="s">
        <v>275</v>
      </c>
      <c r="F605" s="60" t="s">
        <v>276</v>
      </c>
      <c r="G605" s="60" t="s">
        <v>276</v>
      </c>
      <c r="H605" s="60" t="s">
        <v>277</v>
      </c>
      <c r="I605" s="60" t="b">
        <v>0</v>
      </c>
      <c r="J605" s="60">
        <v>17</v>
      </c>
      <c r="K605" s="60">
        <v>661.25</v>
      </c>
      <c r="L605" s="61">
        <v>404135577</v>
      </c>
      <c r="M605" s="61">
        <v>1200000047071346</v>
      </c>
      <c r="N605" s="60" t="s">
        <v>757</v>
      </c>
      <c r="O605" s="60"/>
    </row>
    <row r="606" spans="1:15">
      <c r="A606" s="60"/>
      <c r="B606" s="60" t="s">
        <v>699</v>
      </c>
      <c r="C606" s="60" t="s">
        <v>700</v>
      </c>
      <c r="D606" s="60" t="s">
        <v>749</v>
      </c>
      <c r="E606" s="60" t="s">
        <v>275</v>
      </c>
      <c r="F606" s="60" t="s">
        <v>276</v>
      </c>
      <c r="G606" s="60" t="s">
        <v>276</v>
      </c>
      <c r="H606" s="60" t="s">
        <v>277</v>
      </c>
      <c r="I606" s="60" t="b">
        <v>0</v>
      </c>
      <c r="J606" s="60">
        <v>2</v>
      </c>
      <c r="K606" s="60">
        <v>661.2</v>
      </c>
      <c r="L606" s="61">
        <v>404135574</v>
      </c>
      <c r="M606" s="61">
        <v>1200000047071346</v>
      </c>
      <c r="N606" s="60" t="s">
        <v>757</v>
      </c>
      <c r="O606" s="60"/>
    </row>
    <row r="607" spans="1:15">
      <c r="A607" s="60"/>
      <c r="B607" s="60" t="s">
        <v>699</v>
      </c>
      <c r="C607" s="60" t="s">
        <v>700</v>
      </c>
      <c r="D607" s="60" t="s">
        <v>749</v>
      </c>
      <c r="E607" s="60" t="s">
        <v>275</v>
      </c>
      <c r="F607" s="60" t="s">
        <v>276</v>
      </c>
      <c r="G607" s="60" t="s">
        <v>276</v>
      </c>
      <c r="H607" s="60" t="s">
        <v>277</v>
      </c>
      <c r="I607" s="60" t="b">
        <v>0</v>
      </c>
      <c r="J607" s="60">
        <v>22</v>
      </c>
      <c r="K607" s="60">
        <v>661.15</v>
      </c>
      <c r="L607" s="61">
        <v>404135573</v>
      </c>
      <c r="M607" s="61">
        <v>1200000047071346</v>
      </c>
      <c r="N607" s="60" t="s">
        <v>757</v>
      </c>
      <c r="O607" s="60"/>
    </row>
    <row r="608" spans="1:15">
      <c r="A608" s="60"/>
      <c r="B608" s="60" t="s">
        <v>699</v>
      </c>
      <c r="C608" s="60" t="s">
        <v>700</v>
      </c>
      <c r="D608" s="60" t="s">
        <v>749</v>
      </c>
      <c r="E608" s="60" t="s">
        <v>275</v>
      </c>
      <c r="F608" s="60" t="s">
        <v>276</v>
      </c>
      <c r="G608" s="60" t="s">
        <v>276</v>
      </c>
      <c r="H608" s="60" t="s">
        <v>277</v>
      </c>
      <c r="I608" s="60" t="b">
        <v>0</v>
      </c>
      <c r="J608" s="60">
        <v>22</v>
      </c>
      <c r="K608" s="60">
        <v>661.25</v>
      </c>
      <c r="L608" s="61">
        <v>404135576</v>
      </c>
      <c r="M608" s="61">
        <v>1200000047071346</v>
      </c>
      <c r="N608" s="60" t="s">
        <v>757</v>
      </c>
      <c r="O608" s="60"/>
    </row>
    <row r="609" spans="1:15">
      <c r="A609" s="60"/>
      <c r="B609" s="60" t="s">
        <v>699</v>
      </c>
      <c r="C609" s="60" t="s">
        <v>700</v>
      </c>
      <c r="D609" s="60" t="s">
        <v>749</v>
      </c>
      <c r="E609" s="60" t="s">
        <v>275</v>
      </c>
      <c r="F609" s="60" t="s">
        <v>276</v>
      </c>
      <c r="G609" s="60" t="s">
        <v>276</v>
      </c>
      <c r="H609" s="60" t="s">
        <v>277</v>
      </c>
      <c r="I609" s="60" t="b">
        <v>0</v>
      </c>
      <c r="J609" s="60">
        <v>10</v>
      </c>
      <c r="K609" s="60">
        <v>661.3</v>
      </c>
      <c r="L609" s="61">
        <v>404135578</v>
      </c>
      <c r="M609" s="61">
        <v>1200000047071346</v>
      </c>
      <c r="N609" s="60" t="s">
        <v>757</v>
      </c>
      <c r="O609" s="60"/>
    </row>
    <row r="610" spans="1:15">
      <c r="A610" s="60"/>
      <c r="B610" s="60" t="s">
        <v>699</v>
      </c>
      <c r="C610" s="60" t="s">
        <v>700</v>
      </c>
      <c r="D610" s="60" t="s">
        <v>749</v>
      </c>
      <c r="E610" s="60" t="s">
        <v>275</v>
      </c>
      <c r="F610" s="60" t="s">
        <v>276</v>
      </c>
      <c r="G610" s="60" t="s">
        <v>276</v>
      </c>
      <c r="H610" s="60" t="s">
        <v>277</v>
      </c>
      <c r="I610" s="60" t="b">
        <v>0</v>
      </c>
      <c r="J610" s="60">
        <v>4</v>
      </c>
      <c r="K610" s="60">
        <v>661.15</v>
      </c>
      <c r="L610" s="61">
        <v>404135571</v>
      </c>
      <c r="M610" s="61">
        <v>1200000047071346</v>
      </c>
      <c r="N610" s="60" t="s">
        <v>757</v>
      </c>
      <c r="O610" s="60"/>
    </row>
    <row r="611" spans="1:15">
      <c r="A611" s="60"/>
      <c r="B611" s="60" t="s">
        <v>108</v>
      </c>
      <c r="C611" s="60" t="s">
        <v>293</v>
      </c>
      <c r="D611" s="60" t="s">
        <v>749</v>
      </c>
      <c r="E611" s="60" t="s">
        <v>275</v>
      </c>
      <c r="F611" s="60" t="s">
        <v>276</v>
      </c>
      <c r="G611" s="60" t="s">
        <v>276</v>
      </c>
      <c r="H611" s="60" t="s">
        <v>277</v>
      </c>
      <c r="I611" s="60" t="b">
        <v>0</v>
      </c>
      <c r="J611" s="60">
        <v>8</v>
      </c>
      <c r="K611" s="60">
        <v>535</v>
      </c>
      <c r="L611" s="61">
        <v>404140828</v>
      </c>
      <c r="M611" s="61">
        <v>1200000047147456</v>
      </c>
      <c r="N611" s="60" t="s">
        <v>758</v>
      </c>
      <c r="O611" s="60"/>
    </row>
    <row r="612" spans="1:15">
      <c r="A612" s="60"/>
      <c r="B612" s="60" t="s">
        <v>108</v>
      </c>
      <c r="C612" s="60" t="s">
        <v>293</v>
      </c>
      <c r="D612" s="60" t="s">
        <v>749</v>
      </c>
      <c r="E612" s="60" t="s">
        <v>275</v>
      </c>
      <c r="F612" s="60" t="s">
        <v>276</v>
      </c>
      <c r="G612" s="60" t="s">
        <v>276</v>
      </c>
      <c r="H612" s="60" t="s">
        <v>277</v>
      </c>
      <c r="I612" s="60" t="b">
        <v>0</v>
      </c>
      <c r="J612" s="60">
        <v>8</v>
      </c>
      <c r="K612" s="60">
        <v>535</v>
      </c>
      <c r="L612" s="61">
        <v>404140835</v>
      </c>
      <c r="M612" s="61">
        <v>1200000047147456</v>
      </c>
      <c r="N612" s="60" t="s">
        <v>758</v>
      </c>
      <c r="O612" s="60"/>
    </row>
    <row r="613" spans="1:15">
      <c r="A613" s="60"/>
      <c r="B613" s="60" t="s">
        <v>108</v>
      </c>
      <c r="C613" s="60" t="s">
        <v>293</v>
      </c>
      <c r="D613" s="60" t="s">
        <v>749</v>
      </c>
      <c r="E613" s="60" t="s">
        <v>275</v>
      </c>
      <c r="F613" s="60" t="s">
        <v>276</v>
      </c>
      <c r="G613" s="60" t="s">
        <v>276</v>
      </c>
      <c r="H613" s="60" t="s">
        <v>277</v>
      </c>
      <c r="I613" s="60" t="b">
        <v>0</v>
      </c>
      <c r="J613" s="60">
        <v>8</v>
      </c>
      <c r="K613" s="60">
        <v>535</v>
      </c>
      <c r="L613" s="61">
        <v>404140821</v>
      </c>
      <c r="M613" s="61">
        <v>1200000047147456</v>
      </c>
      <c r="N613" s="60" t="s">
        <v>758</v>
      </c>
      <c r="O613" s="60"/>
    </row>
    <row r="614" spans="1:15">
      <c r="A614" s="60"/>
      <c r="B614" s="60" t="s">
        <v>108</v>
      </c>
      <c r="C614" s="60" t="s">
        <v>293</v>
      </c>
      <c r="D614" s="60" t="s">
        <v>749</v>
      </c>
      <c r="E614" s="60" t="s">
        <v>275</v>
      </c>
      <c r="F614" s="60" t="s">
        <v>276</v>
      </c>
      <c r="G614" s="60" t="s">
        <v>276</v>
      </c>
      <c r="H614" s="60" t="s">
        <v>277</v>
      </c>
      <c r="I614" s="60" t="b">
        <v>0</v>
      </c>
      <c r="J614" s="60">
        <v>8</v>
      </c>
      <c r="K614" s="60">
        <v>535</v>
      </c>
      <c r="L614" s="61">
        <v>404140822</v>
      </c>
      <c r="M614" s="61">
        <v>1200000047147456</v>
      </c>
      <c r="N614" s="60" t="s">
        <v>758</v>
      </c>
      <c r="O614" s="60"/>
    </row>
    <row r="615" spans="1:15">
      <c r="A615" s="60"/>
      <c r="B615" s="60" t="s">
        <v>108</v>
      </c>
      <c r="C615" s="60" t="s">
        <v>293</v>
      </c>
      <c r="D615" s="60" t="s">
        <v>749</v>
      </c>
      <c r="E615" s="60" t="s">
        <v>275</v>
      </c>
      <c r="F615" s="60" t="s">
        <v>276</v>
      </c>
      <c r="G615" s="60" t="s">
        <v>276</v>
      </c>
      <c r="H615" s="60" t="s">
        <v>277</v>
      </c>
      <c r="I615" s="60" t="b">
        <v>0</v>
      </c>
      <c r="J615" s="60">
        <v>8</v>
      </c>
      <c r="K615" s="60">
        <v>535</v>
      </c>
      <c r="L615" s="61">
        <v>404140823</v>
      </c>
      <c r="M615" s="61">
        <v>1200000047147456</v>
      </c>
      <c r="N615" s="60" t="s">
        <v>758</v>
      </c>
      <c r="O615" s="60"/>
    </row>
    <row r="616" spans="1:15">
      <c r="A616" s="60"/>
      <c r="B616" s="60" t="s">
        <v>108</v>
      </c>
      <c r="C616" s="60" t="s">
        <v>293</v>
      </c>
      <c r="D616" s="60" t="s">
        <v>749</v>
      </c>
      <c r="E616" s="60" t="s">
        <v>275</v>
      </c>
      <c r="F616" s="60" t="s">
        <v>276</v>
      </c>
      <c r="G616" s="60" t="s">
        <v>276</v>
      </c>
      <c r="H616" s="60" t="s">
        <v>277</v>
      </c>
      <c r="I616" s="60" t="b">
        <v>0</v>
      </c>
      <c r="J616" s="60">
        <v>8</v>
      </c>
      <c r="K616" s="60">
        <v>535</v>
      </c>
      <c r="L616" s="61">
        <v>404140824</v>
      </c>
      <c r="M616" s="61">
        <v>1200000047147456</v>
      </c>
      <c r="N616" s="60" t="s">
        <v>758</v>
      </c>
      <c r="O616" s="60"/>
    </row>
    <row r="617" spans="1:15">
      <c r="A617" s="60"/>
      <c r="B617" s="60" t="s">
        <v>108</v>
      </c>
      <c r="C617" s="60" t="s">
        <v>293</v>
      </c>
      <c r="D617" s="60" t="s">
        <v>749</v>
      </c>
      <c r="E617" s="60" t="s">
        <v>275</v>
      </c>
      <c r="F617" s="60" t="s">
        <v>276</v>
      </c>
      <c r="G617" s="60" t="s">
        <v>276</v>
      </c>
      <c r="H617" s="60" t="s">
        <v>277</v>
      </c>
      <c r="I617" s="60" t="b">
        <v>0</v>
      </c>
      <c r="J617" s="60">
        <v>8</v>
      </c>
      <c r="K617" s="60">
        <v>535</v>
      </c>
      <c r="L617" s="61">
        <v>404140825</v>
      </c>
      <c r="M617" s="61">
        <v>1200000047147456</v>
      </c>
      <c r="N617" s="60" t="s">
        <v>758</v>
      </c>
      <c r="O617" s="60"/>
    </row>
    <row r="618" spans="1:15">
      <c r="A618" s="60"/>
      <c r="B618" s="60" t="s">
        <v>108</v>
      </c>
      <c r="C618" s="60" t="s">
        <v>293</v>
      </c>
      <c r="D618" s="60" t="s">
        <v>749</v>
      </c>
      <c r="E618" s="60" t="s">
        <v>275</v>
      </c>
      <c r="F618" s="60" t="s">
        <v>276</v>
      </c>
      <c r="G618" s="60" t="s">
        <v>276</v>
      </c>
      <c r="H618" s="60" t="s">
        <v>277</v>
      </c>
      <c r="I618" s="60" t="b">
        <v>0</v>
      </c>
      <c r="J618" s="60">
        <v>8</v>
      </c>
      <c r="K618" s="60">
        <v>535</v>
      </c>
      <c r="L618" s="61">
        <v>404140826</v>
      </c>
      <c r="M618" s="61">
        <v>1200000047147456</v>
      </c>
      <c r="N618" s="60" t="s">
        <v>758</v>
      </c>
      <c r="O618" s="60"/>
    </row>
    <row r="619" spans="1:15">
      <c r="A619" s="60"/>
      <c r="B619" s="60" t="s">
        <v>108</v>
      </c>
      <c r="C619" s="60" t="s">
        <v>293</v>
      </c>
      <c r="D619" s="60" t="s">
        <v>749</v>
      </c>
      <c r="E619" s="60" t="s">
        <v>275</v>
      </c>
      <c r="F619" s="60" t="s">
        <v>276</v>
      </c>
      <c r="G619" s="60" t="s">
        <v>276</v>
      </c>
      <c r="H619" s="60" t="s">
        <v>277</v>
      </c>
      <c r="I619" s="60" t="b">
        <v>0</v>
      </c>
      <c r="J619" s="60">
        <v>8</v>
      </c>
      <c r="K619" s="60">
        <v>535</v>
      </c>
      <c r="L619" s="61">
        <v>404140827</v>
      </c>
      <c r="M619" s="61">
        <v>1200000047147456</v>
      </c>
      <c r="N619" s="60" t="s">
        <v>758</v>
      </c>
      <c r="O619" s="60"/>
    </row>
    <row r="620" spans="1:15">
      <c r="A620" s="60"/>
      <c r="B620" s="60" t="s">
        <v>108</v>
      </c>
      <c r="C620" s="60" t="s">
        <v>293</v>
      </c>
      <c r="D620" s="60" t="s">
        <v>749</v>
      </c>
      <c r="E620" s="60" t="s">
        <v>275</v>
      </c>
      <c r="F620" s="60" t="s">
        <v>276</v>
      </c>
      <c r="G620" s="60" t="s">
        <v>276</v>
      </c>
      <c r="H620" s="60" t="s">
        <v>277</v>
      </c>
      <c r="I620" s="60" t="b">
        <v>0</v>
      </c>
      <c r="J620" s="60">
        <v>2</v>
      </c>
      <c r="K620" s="60">
        <v>535</v>
      </c>
      <c r="L620" s="61">
        <v>404140836</v>
      </c>
      <c r="M620" s="61">
        <v>1200000047147456</v>
      </c>
      <c r="N620" s="60" t="s">
        <v>758</v>
      </c>
      <c r="O620" s="60"/>
    </row>
    <row r="621" spans="1:15">
      <c r="A621" s="60"/>
      <c r="B621" s="60" t="s">
        <v>108</v>
      </c>
      <c r="C621" s="60" t="s">
        <v>293</v>
      </c>
      <c r="D621" s="60" t="s">
        <v>749</v>
      </c>
      <c r="E621" s="60" t="s">
        <v>275</v>
      </c>
      <c r="F621" s="60" t="s">
        <v>276</v>
      </c>
      <c r="G621" s="60" t="s">
        <v>276</v>
      </c>
      <c r="H621" s="60" t="s">
        <v>277</v>
      </c>
      <c r="I621" s="60" t="b">
        <v>0</v>
      </c>
      <c r="J621" s="60">
        <v>8</v>
      </c>
      <c r="K621" s="60">
        <v>535</v>
      </c>
      <c r="L621" s="61">
        <v>404140829</v>
      </c>
      <c r="M621" s="61">
        <v>1200000047147456</v>
      </c>
      <c r="N621" s="60" t="s">
        <v>758</v>
      </c>
      <c r="O621" s="60"/>
    </row>
    <row r="622" spans="1:15">
      <c r="A622" s="60"/>
      <c r="B622" s="60" t="s">
        <v>108</v>
      </c>
      <c r="C622" s="60" t="s">
        <v>293</v>
      </c>
      <c r="D622" s="60" t="s">
        <v>749</v>
      </c>
      <c r="E622" s="60" t="s">
        <v>275</v>
      </c>
      <c r="F622" s="60" t="s">
        <v>276</v>
      </c>
      <c r="G622" s="60" t="s">
        <v>276</v>
      </c>
      <c r="H622" s="60" t="s">
        <v>277</v>
      </c>
      <c r="I622" s="60" t="b">
        <v>0</v>
      </c>
      <c r="J622" s="60">
        <v>8</v>
      </c>
      <c r="K622" s="60">
        <v>535</v>
      </c>
      <c r="L622" s="61">
        <v>404140830</v>
      </c>
      <c r="M622" s="61">
        <v>1200000047147456</v>
      </c>
      <c r="N622" s="60" t="s">
        <v>758</v>
      </c>
      <c r="O622" s="60"/>
    </row>
    <row r="623" spans="1:15">
      <c r="A623" s="60"/>
      <c r="B623" s="60" t="s">
        <v>108</v>
      </c>
      <c r="C623" s="60" t="s">
        <v>293</v>
      </c>
      <c r="D623" s="60" t="s">
        <v>749</v>
      </c>
      <c r="E623" s="60" t="s">
        <v>275</v>
      </c>
      <c r="F623" s="60" t="s">
        <v>276</v>
      </c>
      <c r="G623" s="60" t="s">
        <v>276</v>
      </c>
      <c r="H623" s="60" t="s">
        <v>277</v>
      </c>
      <c r="I623" s="60" t="b">
        <v>0</v>
      </c>
      <c r="J623" s="60">
        <v>8</v>
      </c>
      <c r="K623" s="60">
        <v>535</v>
      </c>
      <c r="L623" s="61">
        <v>404140831</v>
      </c>
      <c r="M623" s="61">
        <v>1200000047147456</v>
      </c>
      <c r="N623" s="60" t="s">
        <v>758</v>
      </c>
      <c r="O623" s="60"/>
    </row>
    <row r="624" spans="1:15">
      <c r="A624" s="60"/>
      <c r="B624" s="60" t="s">
        <v>108</v>
      </c>
      <c r="C624" s="60" t="s">
        <v>293</v>
      </c>
      <c r="D624" s="60" t="s">
        <v>749</v>
      </c>
      <c r="E624" s="60" t="s">
        <v>275</v>
      </c>
      <c r="F624" s="60" t="s">
        <v>276</v>
      </c>
      <c r="G624" s="60" t="s">
        <v>276</v>
      </c>
      <c r="H624" s="60" t="s">
        <v>277</v>
      </c>
      <c r="I624" s="60" t="b">
        <v>0</v>
      </c>
      <c r="J624" s="60">
        <v>8</v>
      </c>
      <c r="K624" s="60">
        <v>535</v>
      </c>
      <c r="L624" s="61">
        <v>404140832</v>
      </c>
      <c r="M624" s="61">
        <v>1200000047147456</v>
      </c>
      <c r="N624" s="60" t="s">
        <v>758</v>
      </c>
      <c r="O624" s="60"/>
    </row>
    <row r="625" spans="1:15">
      <c r="A625" s="60"/>
      <c r="B625" s="60" t="s">
        <v>108</v>
      </c>
      <c r="C625" s="60" t="s">
        <v>293</v>
      </c>
      <c r="D625" s="60" t="s">
        <v>749</v>
      </c>
      <c r="E625" s="60" t="s">
        <v>275</v>
      </c>
      <c r="F625" s="60" t="s">
        <v>276</v>
      </c>
      <c r="G625" s="60" t="s">
        <v>276</v>
      </c>
      <c r="H625" s="60" t="s">
        <v>277</v>
      </c>
      <c r="I625" s="60" t="b">
        <v>0</v>
      </c>
      <c r="J625" s="60">
        <v>8</v>
      </c>
      <c r="K625" s="60">
        <v>535</v>
      </c>
      <c r="L625" s="61">
        <v>404140833</v>
      </c>
      <c r="M625" s="61">
        <v>1200000047147456</v>
      </c>
      <c r="N625" s="60" t="s">
        <v>758</v>
      </c>
      <c r="O625" s="60"/>
    </row>
    <row r="626" spans="1:15">
      <c r="A626" s="60"/>
      <c r="B626" s="60" t="s">
        <v>108</v>
      </c>
      <c r="C626" s="60" t="s">
        <v>293</v>
      </c>
      <c r="D626" s="60" t="s">
        <v>749</v>
      </c>
      <c r="E626" s="60" t="s">
        <v>275</v>
      </c>
      <c r="F626" s="60" t="s">
        <v>276</v>
      </c>
      <c r="G626" s="60" t="s">
        <v>276</v>
      </c>
      <c r="H626" s="60" t="s">
        <v>277</v>
      </c>
      <c r="I626" s="60" t="b">
        <v>0</v>
      </c>
      <c r="J626" s="60">
        <v>8</v>
      </c>
      <c r="K626" s="60">
        <v>535</v>
      </c>
      <c r="L626" s="61">
        <v>404140834</v>
      </c>
      <c r="M626" s="61">
        <v>1200000047147456</v>
      </c>
      <c r="N626" s="60" t="s">
        <v>758</v>
      </c>
      <c r="O626" s="60"/>
    </row>
    <row r="627" spans="1:15">
      <c r="A627" s="60"/>
      <c r="B627" s="60" t="s">
        <v>108</v>
      </c>
      <c r="C627" s="60" t="s">
        <v>293</v>
      </c>
      <c r="D627" s="60" t="s">
        <v>749</v>
      </c>
      <c r="E627" s="60" t="s">
        <v>275</v>
      </c>
      <c r="F627" s="60" t="s">
        <v>276</v>
      </c>
      <c r="G627" s="60" t="s">
        <v>276</v>
      </c>
      <c r="H627" s="60" t="s">
        <v>277</v>
      </c>
      <c r="I627" s="60" t="b">
        <v>0</v>
      </c>
      <c r="J627" s="60">
        <v>8</v>
      </c>
      <c r="K627" s="60">
        <v>535</v>
      </c>
      <c r="L627" s="61">
        <v>404140820</v>
      </c>
      <c r="M627" s="61">
        <v>1200000047147456</v>
      </c>
      <c r="N627" s="60" t="s">
        <v>758</v>
      </c>
      <c r="O627" s="60"/>
    </row>
    <row r="628" spans="1:15">
      <c r="A628" s="60"/>
      <c r="B628" s="60" t="s">
        <v>679</v>
      </c>
      <c r="C628" s="60" t="s">
        <v>680</v>
      </c>
      <c r="D628" s="60" t="s">
        <v>749</v>
      </c>
      <c r="E628" s="60" t="s">
        <v>332</v>
      </c>
      <c r="F628" s="60" t="s">
        <v>276</v>
      </c>
      <c r="G628" s="60" t="s">
        <v>333</v>
      </c>
      <c r="H628" s="60" t="s">
        <v>277</v>
      </c>
      <c r="I628" s="60" t="b">
        <v>0</v>
      </c>
      <c r="J628" s="60">
        <v>1</v>
      </c>
      <c r="K628" s="60">
        <v>9967.3495999999996</v>
      </c>
      <c r="L628" s="61">
        <v>5895400</v>
      </c>
      <c r="M628" s="61">
        <v>1.7808949261899369E+18</v>
      </c>
      <c r="N628" s="60" t="s">
        <v>759</v>
      </c>
      <c r="O628" s="60"/>
    </row>
    <row r="629" spans="1:15">
      <c r="A629" s="60"/>
      <c r="B629" s="60" t="s">
        <v>679</v>
      </c>
      <c r="C629" s="60" t="s">
        <v>680</v>
      </c>
      <c r="D629" s="60" t="s">
        <v>749</v>
      </c>
      <c r="E629" s="60" t="s">
        <v>332</v>
      </c>
      <c r="F629" s="60" t="s">
        <v>276</v>
      </c>
      <c r="G629" s="60" t="s">
        <v>333</v>
      </c>
      <c r="H629" s="60" t="s">
        <v>277</v>
      </c>
      <c r="I629" s="60" t="b">
        <v>0</v>
      </c>
      <c r="J629" s="60">
        <v>1</v>
      </c>
      <c r="K629" s="60">
        <v>9967.5498000000007</v>
      </c>
      <c r="L629" s="61">
        <v>5896100</v>
      </c>
      <c r="M629" s="61">
        <v>1.7808949261899369E+18</v>
      </c>
      <c r="N629" s="60" t="s">
        <v>759</v>
      </c>
      <c r="O629" s="60"/>
    </row>
    <row r="630" spans="1:15">
      <c r="A630" s="60"/>
      <c r="B630" s="60" t="s">
        <v>679</v>
      </c>
      <c r="C630" s="60" t="s">
        <v>680</v>
      </c>
      <c r="D630" s="60" t="s">
        <v>749</v>
      </c>
      <c r="E630" s="60" t="s">
        <v>332</v>
      </c>
      <c r="F630" s="60" t="s">
        <v>276</v>
      </c>
      <c r="G630" s="60" t="s">
        <v>333</v>
      </c>
      <c r="H630" s="60" t="s">
        <v>277</v>
      </c>
      <c r="I630" s="60" t="b">
        <v>0</v>
      </c>
      <c r="J630" s="60">
        <v>1</v>
      </c>
      <c r="K630" s="60">
        <v>9967.5995999999996</v>
      </c>
      <c r="L630" s="61">
        <v>5896300</v>
      </c>
      <c r="M630" s="61">
        <v>1.7808949261899369E+18</v>
      </c>
      <c r="N630" s="60" t="s">
        <v>759</v>
      </c>
      <c r="O630" s="60"/>
    </row>
    <row r="631" spans="1:15">
      <c r="A631" s="60"/>
      <c r="B631" s="60" t="s">
        <v>679</v>
      </c>
      <c r="C631" s="60" t="s">
        <v>680</v>
      </c>
      <c r="D631" s="60" t="s">
        <v>749</v>
      </c>
      <c r="E631" s="60" t="s">
        <v>332</v>
      </c>
      <c r="F631" s="60" t="s">
        <v>276</v>
      </c>
      <c r="G631" s="60" t="s">
        <v>333</v>
      </c>
      <c r="H631" s="60" t="s">
        <v>277</v>
      </c>
      <c r="I631" s="60" t="b">
        <v>0</v>
      </c>
      <c r="J631" s="60">
        <v>2</v>
      </c>
      <c r="K631" s="60">
        <v>9967.4004000000004</v>
      </c>
      <c r="L631" s="61">
        <v>5895700</v>
      </c>
      <c r="M631" s="61">
        <v>1.7808949261899369E+18</v>
      </c>
      <c r="N631" s="60" t="s">
        <v>759</v>
      </c>
      <c r="O631" s="60"/>
    </row>
    <row r="632" spans="1:15">
      <c r="A632" s="60"/>
      <c r="B632" s="60" t="s">
        <v>679</v>
      </c>
      <c r="C632" s="60" t="s">
        <v>680</v>
      </c>
      <c r="D632" s="60" t="s">
        <v>749</v>
      </c>
      <c r="E632" s="60" t="s">
        <v>332</v>
      </c>
      <c r="F632" s="60" t="s">
        <v>276</v>
      </c>
      <c r="G632" s="60" t="s">
        <v>333</v>
      </c>
      <c r="H632" s="60" t="s">
        <v>277</v>
      </c>
      <c r="I632" s="60" t="b">
        <v>0</v>
      </c>
      <c r="J632" s="60">
        <v>2</v>
      </c>
      <c r="K632" s="60">
        <v>9967.5</v>
      </c>
      <c r="L632" s="61">
        <v>5895900</v>
      </c>
      <c r="M632" s="61">
        <v>1.7808949261899369E+18</v>
      </c>
      <c r="N632" s="60" t="s">
        <v>759</v>
      </c>
      <c r="O632" s="60"/>
    </row>
    <row r="633" spans="1:15">
      <c r="A633" s="60"/>
      <c r="B633" s="60" t="s">
        <v>660</v>
      </c>
      <c r="C633" s="60" t="s">
        <v>661</v>
      </c>
      <c r="D633" s="60" t="s">
        <v>749</v>
      </c>
      <c r="E633" s="60" t="s">
        <v>275</v>
      </c>
      <c r="F633" s="60" t="s">
        <v>276</v>
      </c>
      <c r="G633" s="60" t="s">
        <v>276</v>
      </c>
      <c r="H633" s="60" t="s">
        <v>277</v>
      </c>
      <c r="I633" s="60" t="b">
        <v>0</v>
      </c>
      <c r="J633" s="60">
        <v>2</v>
      </c>
      <c r="K633" s="60">
        <v>35305</v>
      </c>
      <c r="L633" s="61">
        <v>404164116</v>
      </c>
      <c r="M633" s="61">
        <v>1200000047471256</v>
      </c>
      <c r="N633" s="60" t="s">
        <v>760</v>
      </c>
      <c r="O633" s="60"/>
    </row>
    <row r="634" spans="1:15">
      <c r="A634" s="60"/>
      <c r="B634" s="60" t="s">
        <v>745</v>
      </c>
      <c r="C634" s="60" t="s">
        <v>746</v>
      </c>
      <c r="D634" s="60" t="s">
        <v>749</v>
      </c>
      <c r="E634" s="60" t="s">
        <v>332</v>
      </c>
      <c r="F634" s="60" t="s">
        <v>276</v>
      </c>
      <c r="G634" s="60" t="s">
        <v>333</v>
      </c>
      <c r="H634" s="60" t="s">
        <v>277</v>
      </c>
      <c r="I634" s="60" t="b">
        <v>0</v>
      </c>
      <c r="J634" s="60">
        <v>4</v>
      </c>
      <c r="K634" s="60">
        <v>16889.849600000001</v>
      </c>
      <c r="L634" s="61">
        <v>7790800</v>
      </c>
      <c r="M634" s="61">
        <v>1.7808947067188531E+18</v>
      </c>
      <c r="N634" s="60" t="s">
        <v>761</v>
      </c>
      <c r="O634" s="60"/>
    </row>
    <row r="635" spans="1:15">
      <c r="A635" s="60"/>
      <c r="B635" s="60" t="s">
        <v>682</v>
      </c>
      <c r="C635" s="60" t="s">
        <v>683</v>
      </c>
      <c r="D635" s="60" t="s">
        <v>749</v>
      </c>
      <c r="E635" s="60" t="s">
        <v>275</v>
      </c>
      <c r="F635" s="60" t="s">
        <v>276</v>
      </c>
      <c r="G635" s="60" t="s">
        <v>276</v>
      </c>
      <c r="H635" s="60" t="s">
        <v>277</v>
      </c>
      <c r="I635" s="60" t="b">
        <v>0</v>
      </c>
      <c r="J635" s="60">
        <v>4</v>
      </c>
      <c r="K635" s="60">
        <v>13553</v>
      </c>
      <c r="L635" s="61">
        <v>6062403</v>
      </c>
      <c r="M635" s="61">
        <v>1000000069869778</v>
      </c>
      <c r="N635" s="60" t="s">
        <v>762</v>
      </c>
      <c r="O635" s="60"/>
    </row>
    <row r="636" spans="1:15">
      <c r="A636" s="60"/>
      <c r="B636" s="60" t="s">
        <v>685</v>
      </c>
      <c r="C636" s="60" t="s">
        <v>686</v>
      </c>
      <c r="D636" s="60" t="s">
        <v>749</v>
      </c>
      <c r="E636" s="60" t="s">
        <v>275</v>
      </c>
      <c r="F636" s="60" t="s">
        <v>276</v>
      </c>
      <c r="G636" s="60" t="s">
        <v>276</v>
      </c>
      <c r="H636" s="60" t="s">
        <v>277</v>
      </c>
      <c r="I636" s="60" t="b">
        <v>0</v>
      </c>
      <c r="J636" s="60">
        <v>1</v>
      </c>
      <c r="K636" s="60">
        <v>9044.5</v>
      </c>
      <c r="L636" s="61">
        <v>6073486</v>
      </c>
      <c r="M636" s="61">
        <v>1000000069988094</v>
      </c>
      <c r="N636" s="60" t="s">
        <v>763</v>
      </c>
      <c r="O636" s="60"/>
    </row>
    <row r="637" spans="1:15">
      <c r="A637" s="60"/>
      <c r="B637" s="60" t="s">
        <v>685</v>
      </c>
      <c r="C637" s="60" t="s">
        <v>686</v>
      </c>
      <c r="D637" s="60" t="s">
        <v>749</v>
      </c>
      <c r="E637" s="60" t="s">
        <v>275</v>
      </c>
      <c r="F637" s="60" t="s">
        <v>276</v>
      </c>
      <c r="G637" s="60" t="s">
        <v>276</v>
      </c>
      <c r="H637" s="60" t="s">
        <v>277</v>
      </c>
      <c r="I637" s="60" t="b">
        <v>0</v>
      </c>
      <c r="J637" s="60">
        <v>4</v>
      </c>
      <c r="K637" s="60">
        <v>9044.5</v>
      </c>
      <c r="L637" s="61">
        <v>6073487</v>
      </c>
      <c r="M637" s="61">
        <v>1000000069988094</v>
      </c>
      <c r="N637" s="60" t="s">
        <v>763</v>
      </c>
      <c r="O637" s="60"/>
    </row>
    <row r="638" spans="1:15">
      <c r="A638" s="60"/>
      <c r="B638" s="60" t="s">
        <v>691</v>
      </c>
      <c r="C638" s="60" t="s">
        <v>692</v>
      </c>
      <c r="D638" s="60" t="s">
        <v>749</v>
      </c>
      <c r="E638" s="60" t="s">
        <v>275</v>
      </c>
      <c r="F638" s="60" t="s">
        <v>276</v>
      </c>
      <c r="G638" s="60" t="s">
        <v>276</v>
      </c>
      <c r="H638" s="60" t="s">
        <v>277</v>
      </c>
      <c r="I638" s="60" t="b">
        <v>0</v>
      </c>
      <c r="J638" s="60">
        <v>3</v>
      </c>
      <c r="K638" s="60">
        <v>1545.7</v>
      </c>
      <c r="L638" s="61">
        <v>407000866</v>
      </c>
      <c r="M638" s="61">
        <v>1200000083566208</v>
      </c>
      <c r="N638" s="60" t="s">
        <v>764</v>
      </c>
      <c r="O638" s="60"/>
    </row>
    <row r="639" spans="1:15">
      <c r="A639" s="60"/>
      <c r="B639" s="60" t="s">
        <v>691</v>
      </c>
      <c r="C639" s="60" t="s">
        <v>692</v>
      </c>
      <c r="D639" s="60" t="s">
        <v>749</v>
      </c>
      <c r="E639" s="60" t="s">
        <v>275</v>
      </c>
      <c r="F639" s="60" t="s">
        <v>276</v>
      </c>
      <c r="G639" s="60" t="s">
        <v>276</v>
      </c>
      <c r="H639" s="60" t="s">
        <v>277</v>
      </c>
      <c r="I639" s="60" t="b">
        <v>0</v>
      </c>
      <c r="J639" s="60">
        <v>1</v>
      </c>
      <c r="K639" s="60">
        <v>1545.7</v>
      </c>
      <c r="L639" s="61">
        <v>407000865</v>
      </c>
      <c r="M639" s="61">
        <v>1200000083566208</v>
      </c>
      <c r="N639" s="60" t="s">
        <v>764</v>
      </c>
      <c r="O639" s="60"/>
    </row>
    <row r="640" spans="1:15">
      <c r="A640" s="60"/>
      <c r="B640" s="60" t="s">
        <v>691</v>
      </c>
      <c r="C640" s="60" t="s">
        <v>692</v>
      </c>
      <c r="D640" s="60" t="s">
        <v>749</v>
      </c>
      <c r="E640" s="60" t="s">
        <v>275</v>
      </c>
      <c r="F640" s="60" t="s">
        <v>276</v>
      </c>
      <c r="G640" s="60" t="s">
        <v>276</v>
      </c>
      <c r="H640" s="60" t="s">
        <v>277</v>
      </c>
      <c r="I640" s="60" t="b">
        <v>0</v>
      </c>
      <c r="J640" s="60">
        <v>1</v>
      </c>
      <c r="K640" s="60">
        <v>1545.7</v>
      </c>
      <c r="L640" s="61">
        <v>407000867</v>
      </c>
      <c r="M640" s="61">
        <v>1200000083566208</v>
      </c>
      <c r="N640" s="60" t="s">
        <v>764</v>
      </c>
      <c r="O640" s="60"/>
    </row>
    <row r="641" spans="1:15">
      <c r="A641" s="60"/>
      <c r="B641" s="60" t="s">
        <v>691</v>
      </c>
      <c r="C641" s="60" t="s">
        <v>692</v>
      </c>
      <c r="D641" s="60" t="s">
        <v>749</v>
      </c>
      <c r="E641" s="60" t="s">
        <v>275</v>
      </c>
      <c r="F641" s="60" t="s">
        <v>276</v>
      </c>
      <c r="G641" s="60" t="s">
        <v>276</v>
      </c>
      <c r="H641" s="60" t="s">
        <v>277</v>
      </c>
      <c r="I641" s="60" t="b">
        <v>0</v>
      </c>
      <c r="J641" s="60">
        <v>1</v>
      </c>
      <c r="K641" s="60">
        <v>1545.7</v>
      </c>
      <c r="L641" s="61">
        <v>407000868</v>
      </c>
      <c r="M641" s="61">
        <v>1200000083566208</v>
      </c>
      <c r="N641" s="60" t="s">
        <v>764</v>
      </c>
      <c r="O641" s="60"/>
    </row>
    <row r="642" spans="1:15">
      <c r="A642" s="60"/>
      <c r="B642" s="60" t="s">
        <v>691</v>
      </c>
      <c r="C642" s="60" t="s">
        <v>692</v>
      </c>
      <c r="D642" s="60" t="s">
        <v>749</v>
      </c>
      <c r="E642" s="60" t="s">
        <v>275</v>
      </c>
      <c r="F642" s="60" t="s">
        <v>276</v>
      </c>
      <c r="G642" s="60" t="s">
        <v>276</v>
      </c>
      <c r="H642" s="60" t="s">
        <v>277</v>
      </c>
      <c r="I642" s="60" t="b">
        <v>0</v>
      </c>
      <c r="J642" s="60">
        <v>1</v>
      </c>
      <c r="K642" s="60">
        <v>1545.9</v>
      </c>
      <c r="L642" s="61">
        <v>407000871</v>
      </c>
      <c r="M642" s="61">
        <v>1200000083566208</v>
      </c>
      <c r="N642" s="60" t="s">
        <v>764</v>
      </c>
      <c r="O642" s="60"/>
    </row>
    <row r="643" spans="1:15">
      <c r="A643" s="60"/>
      <c r="B643" s="60" t="s">
        <v>691</v>
      </c>
      <c r="C643" s="60" t="s">
        <v>692</v>
      </c>
      <c r="D643" s="60" t="s">
        <v>749</v>
      </c>
      <c r="E643" s="60" t="s">
        <v>275</v>
      </c>
      <c r="F643" s="60" t="s">
        <v>276</v>
      </c>
      <c r="G643" s="60" t="s">
        <v>276</v>
      </c>
      <c r="H643" s="60" t="s">
        <v>277</v>
      </c>
      <c r="I643" s="60" t="b">
        <v>0</v>
      </c>
      <c r="J643" s="60">
        <v>2</v>
      </c>
      <c r="K643" s="60">
        <v>1545.7</v>
      </c>
      <c r="L643" s="61">
        <v>407000869</v>
      </c>
      <c r="M643" s="61">
        <v>1200000083566208</v>
      </c>
      <c r="N643" s="60" t="s">
        <v>764</v>
      </c>
      <c r="O643" s="60"/>
    </row>
    <row r="644" spans="1:15">
      <c r="A644" s="60"/>
      <c r="B644" s="60" t="s">
        <v>691</v>
      </c>
      <c r="C644" s="60" t="s">
        <v>692</v>
      </c>
      <c r="D644" s="60" t="s">
        <v>749</v>
      </c>
      <c r="E644" s="60" t="s">
        <v>275</v>
      </c>
      <c r="F644" s="60" t="s">
        <v>276</v>
      </c>
      <c r="G644" s="60" t="s">
        <v>276</v>
      </c>
      <c r="H644" s="60" t="s">
        <v>277</v>
      </c>
      <c r="I644" s="60" t="b">
        <v>0</v>
      </c>
      <c r="J644" s="60">
        <v>3</v>
      </c>
      <c r="K644" s="60">
        <v>1545.7</v>
      </c>
      <c r="L644" s="61">
        <v>407000864</v>
      </c>
      <c r="M644" s="61">
        <v>1200000083566208</v>
      </c>
      <c r="N644" s="60" t="s">
        <v>764</v>
      </c>
      <c r="O644" s="60"/>
    </row>
    <row r="645" spans="1:15">
      <c r="A645" s="60"/>
      <c r="B645" s="60" t="s">
        <v>691</v>
      </c>
      <c r="C645" s="60" t="s">
        <v>692</v>
      </c>
      <c r="D645" s="60" t="s">
        <v>749</v>
      </c>
      <c r="E645" s="60" t="s">
        <v>275</v>
      </c>
      <c r="F645" s="60" t="s">
        <v>276</v>
      </c>
      <c r="G645" s="60" t="s">
        <v>276</v>
      </c>
      <c r="H645" s="60" t="s">
        <v>277</v>
      </c>
      <c r="I645" s="60" t="b">
        <v>0</v>
      </c>
      <c r="J645" s="60">
        <v>1</v>
      </c>
      <c r="K645" s="60">
        <v>1545.5</v>
      </c>
      <c r="L645" s="61">
        <v>407000861</v>
      </c>
      <c r="M645" s="61">
        <v>1200000083566208</v>
      </c>
      <c r="N645" s="60" t="s">
        <v>764</v>
      </c>
      <c r="O645" s="60"/>
    </row>
    <row r="646" spans="1:15">
      <c r="A646" s="60"/>
      <c r="B646" s="60" t="s">
        <v>691</v>
      </c>
      <c r="C646" s="60" t="s">
        <v>692</v>
      </c>
      <c r="D646" s="60" t="s">
        <v>749</v>
      </c>
      <c r="E646" s="60" t="s">
        <v>275</v>
      </c>
      <c r="F646" s="60" t="s">
        <v>276</v>
      </c>
      <c r="G646" s="60" t="s">
        <v>276</v>
      </c>
      <c r="H646" s="60" t="s">
        <v>277</v>
      </c>
      <c r="I646" s="60" t="b">
        <v>0</v>
      </c>
      <c r="J646" s="60">
        <v>4</v>
      </c>
      <c r="K646" s="60">
        <v>1545.8</v>
      </c>
      <c r="L646" s="61">
        <v>407000870</v>
      </c>
      <c r="M646" s="61">
        <v>1200000083566208</v>
      </c>
      <c r="N646" s="60" t="s">
        <v>764</v>
      </c>
      <c r="O646" s="60"/>
    </row>
    <row r="647" spans="1:15">
      <c r="A647" s="60"/>
      <c r="B647" s="60" t="s">
        <v>691</v>
      </c>
      <c r="C647" s="60" t="s">
        <v>692</v>
      </c>
      <c r="D647" s="60" t="s">
        <v>749</v>
      </c>
      <c r="E647" s="60" t="s">
        <v>275</v>
      </c>
      <c r="F647" s="60" t="s">
        <v>276</v>
      </c>
      <c r="G647" s="60" t="s">
        <v>276</v>
      </c>
      <c r="H647" s="60" t="s">
        <v>277</v>
      </c>
      <c r="I647" s="60" t="b">
        <v>0</v>
      </c>
      <c r="J647" s="60">
        <v>6</v>
      </c>
      <c r="K647" s="60">
        <v>1545.5</v>
      </c>
      <c r="L647" s="61">
        <v>407000859</v>
      </c>
      <c r="M647" s="61">
        <v>1200000083566208</v>
      </c>
      <c r="N647" s="60" t="s">
        <v>764</v>
      </c>
      <c r="O647" s="60"/>
    </row>
    <row r="648" spans="1:15">
      <c r="A648" s="60"/>
      <c r="B648" s="60" t="s">
        <v>691</v>
      </c>
      <c r="C648" s="60" t="s">
        <v>692</v>
      </c>
      <c r="D648" s="60" t="s">
        <v>749</v>
      </c>
      <c r="E648" s="60" t="s">
        <v>275</v>
      </c>
      <c r="F648" s="60" t="s">
        <v>276</v>
      </c>
      <c r="G648" s="60" t="s">
        <v>276</v>
      </c>
      <c r="H648" s="60" t="s">
        <v>277</v>
      </c>
      <c r="I648" s="60" t="b">
        <v>0</v>
      </c>
      <c r="J648" s="60">
        <v>6</v>
      </c>
      <c r="K648" s="60">
        <v>1545.5</v>
      </c>
      <c r="L648" s="61">
        <v>407000860</v>
      </c>
      <c r="M648" s="61">
        <v>1200000083566208</v>
      </c>
      <c r="N648" s="60" t="s">
        <v>764</v>
      </c>
      <c r="O648" s="60"/>
    </row>
    <row r="649" spans="1:15">
      <c r="A649" s="60"/>
      <c r="B649" s="60" t="s">
        <v>691</v>
      </c>
      <c r="C649" s="60" t="s">
        <v>692</v>
      </c>
      <c r="D649" s="60" t="s">
        <v>749</v>
      </c>
      <c r="E649" s="60" t="s">
        <v>275</v>
      </c>
      <c r="F649" s="60" t="s">
        <v>276</v>
      </c>
      <c r="G649" s="60" t="s">
        <v>276</v>
      </c>
      <c r="H649" s="60" t="s">
        <v>277</v>
      </c>
      <c r="I649" s="60" t="b">
        <v>0</v>
      </c>
      <c r="J649" s="60">
        <v>8</v>
      </c>
      <c r="K649" s="60">
        <v>1545.5</v>
      </c>
      <c r="L649" s="61">
        <v>407000862</v>
      </c>
      <c r="M649" s="61">
        <v>1200000083566208</v>
      </c>
      <c r="N649" s="60" t="s">
        <v>764</v>
      </c>
      <c r="O649" s="60"/>
    </row>
    <row r="650" spans="1:15">
      <c r="A650" s="60"/>
      <c r="B650" s="60" t="s">
        <v>691</v>
      </c>
      <c r="C650" s="60" t="s">
        <v>692</v>
      </c>
      <c r="D650" s="60" t="s">
        <v>749</v>
      </c>
      <c r="E650" s="60" t="s">
        <v>275</v>
      </c>
      <c r="F650" s="60" t="s">
        <v>276</v>
      </c>
      <c r="G650" s="60" t="s">
        <v>276</v>
      </c>
      <c r="H650" s="60" t="s">
        <v>277</v>
      </c>
      <c r="I650" s="60" t="b">
        <v>0</v>
      </c>
      <c r="J650" s="60">
        <v>9</v>
      </c>
      <c r="K650" s="60">
        <v>1545.6</v>
      </c>
      <c r="L650" s="61">
        <v>407000863</v>
      </c>
      <c r="M650" s="61">
        <v>1200000083566208</v>
      </c>
      <c r="N650" s="60" t="s">
        <v>764</v>
      </c>
      <c r="O650" s="60"/>
    </row>
    <row r="651" spans="1:15">
      <c r="A651" s="60"/>
      <c r="B651" s="60" t="s">
        <v>197</v>
      </c>
      <c r="C651" s="60" t="s">
        <v>722</v>
      </c>
      <c r="D651" s="60" t="s">
        <v>749</v>
      </c>
      <c r="E651" s="60" t="s">
        <v>275</v>
      </c>
      <c r="F651" s="60" t="s">
        <v>276</v>
      </c>
      <c r="G651" s="60" t="s">
        <v>276</v>
      </c>
      <c r="H651" s="60" t="s">
        <v>277</v>
      </c>
      <c r="I651" s="60" t="b">
        <v>0</v>
      </c>
      <c r="J651" s="60">
        <v>27</v>
      </c>
      <c r="K651" s="60">
        <v>2700</v>
      </c>
      <c r="L651" s="61">
        <v>407008756</v>
      </c>
      <c r="M651" s="61">
        <v>1200000083660578</v>
      </c>
      <c r="N651" s="60" t="s">
        <v>765</v>
      </c>
      <c r="O651" s="60"/>
    </row>
    <row r="652" spans="1:15">
      <c r="A652" s="60"/>
      <c r="B652" s="60" t="s">
        <v>702</v>
      </c>
      <c r="C652" s="60" t="s">
        <v>703</v>
      </c>
      <c r="D652" s="60" t="s">
        <v>749</v>
      </c>
      <c r="E652" s="60" t="s">
        <v>332</v>
      </c>
      <c r="F652" s="60" t="s">
        <v>276</v>
      </c>
      <c r="G652" s="60" t="s">
        <v>333</v>
      </c>
      <c r="H652" s="60" t="s">
        <v>277</v>
      </c>
      <c r="I652" s="60" t="b">
        <v>0</v>
      </c>
      <c r="J652" s="60">
        <v>37</v>
      </c>
      <c r="K652" s="60">
        <v>1938.6</v>
      </c>
      <c r="L652" s="61">
        <v>11740800</v>
      </c>
      <c r="M652" s="61">
        <v>1.7809064011177359E+18</v>
      </c>
      <c r="N652" s="60" t="s">
        <v>766</v>
      </c>
      <c r="O652" s="60"/>
    </row>
    <row r="653" spans="1:15">
      <c r="A653" s="60"/>
      <c r="B653" s="60" t="s">
        <v>705</v>
      </c>
      <c r="C653" s="60" t="s">
        <v>706</v>
      </c>
      <c r="D653" s="60" t="s">
        <v>749</v>
      </c>
      <c r="E653" s="60" t="s">
        <v>275</v>
      </c>
      <c r="F653" s="60" t="s">
        <v>276</v>
      </c>
      <c r="G653" s="60" t="s">
        <v>276</v>
      </c>
      <c r="H653" s="60" t="s">
        <v>277</v>
      </c>
      <c r="I653" s="60" t="b">
        <v>0</v>
      </c>
      <c r="J653" s="60">
        <v>1</v>
      </c>
      <c r="K653" s="60">
        <v>849</v>
      </c>
      <c r="L653" s="61">
        <v>407023876</v>
      </c>
      <c r="M653" s="61">
        <v>1200000083864415</v>
      </c>
      <c r="N653" s="60" t="s">
        <v>767</v>
      </c>
      <c r="O653" s="60"/>
    </row>
    <row r="654" spans="1:15">
      <c r="A654" s="60"/>
      <c r="B654" s="60" t="s">
        <v>705</v>
      </c>
      <c r="C654" s="60" t="s">
        <v>706</v>
      </c>
      <c r="D654" s="60" t="s">
        <v>749</v>
      </c>
      <c r="E654" s="60" t="s">
        <v>275</v>
      </c>
      <c r="F654" s="60" t="s">
        <v>276</v>
      </c>
      <c r="G654" s="60" t="s">
        <v>276</v>
      </c>
      <c r="H654" s="60" t="s">
        <v>277</v>
      </c>
      <c r="I654" s="60" t="b">
        <v>0</v>
      </c>
      <c r="J654" s="60">
        <v>1</v>
      </c>
      <c r="K654" s="60">
        <v>849.85</v>
      </c>
      <c r="L654" s="61">
        <v>407023882</v>
      </c>
      <c r="M654" s="61">
        <v>1200000083864415</v>
      </c>
      <c r="N654" s="60" t="s">
        <v>767</v>
      </c>
      <c r="O654" s="60"/>
    </row>
    <row r="655" spans="1:15">
      <c r="A655" s="60"/>
      <c r="B655" s="60" t="s">
        <v>705</v>
      </c>
      <c r="C655" s="60" t="s">
        <v>706</v>
      </c>
      <c r="D655" s="60" t="s">
        <v>749</v>
      </c>
      <c r="E655" s="60" t="s">
        <v>275</v>
      </c>
      <c r="F655" s="60" t="s">
        <v>276</v>
      </c>
      <c r="G655" s="60" t="s">
        <v>276</v>
      </c>
      <c r="H655" s="60" t="s">
        <v>277</v>
      </c>
      <c r="I655" s="60" t="b">
        <v>0</v>
      </c>
      <c r="J655" s="60">
        <v>1</v>
      </c>
      <c r="K655" s="60">
        <v>849.9</v>
      </c>
      <c r="L655" s="61">
        <v>407023884</v>
      </c>
      <c r="M655" s="61">
        <v>1200000083864415</v>
      </c>
      <c r="N655" s="60" t="s">
        <v>767</v>
      </c>
      <c r="O655" s="60"/>
    </row>
    <row r="656" spans="1:15">
      <c r="A656" s="60"/>
      <c r="B656" s="60" t="s">
        <v>705</v>
      </c>
      <c r="C656" s="60" t="s">
        <v>706</v>
      </c>
      <c r="D656" s="60" t="s">
        <v>749</v>
      </c>
      <c r="E656" s="60" t="s">
        <v>275</v>
      </c>
      <c r="F656" s="60" t="s">
        <v>276</v>
      </c>
      <c r="G656" s="60" t="s">
        <v>276</v>
      </c>
      <c r="H656" s="60" t="s">
        <v>277</v>
      </c>
      <c r="I656" s="60" t="b">
        <v>0</v>
      </c>
      <c r="J656" s="60">
        <v>13</v>
      </c>
      <c r="K656" s="60">
        <v>849.95</v>
      </c>
      <c r="L656" s="61">
        <v>407023887</v>
      </c>
      <c r="M656" s="61">
        <v>1200000083864415</v>
      </c>
      <c r="N656" s="60" t="s">
        <v>767</v>
      </c>
      <c r="O656" s="60"/>
    </row>
    <row r="657" spans="1:15">
      <c r="A657" s="60"/>
      <c r="B657" s="60" t="s">
        <v>705</v>
      </c>
      <c r="C657" s="60" t="s">
        <v>706</v>
      </c>
      <c r="D657" s="60" t="s">
        <v>749</v>
      </c>
      <c r="E657" s="60" t="s">
        <v>275</v>
      </c>
      <c r="F657" s="60" t="s">
        <v>276</v>
      </c>
      <c r="G657" s="60" t="s">
        <v>276</v>
      </c>
      <c r="H657" s="60" t="s">
        <v>277</v>
      </c>
      <c r="I657" s="60" t="b">
        <v>0</v>
      </c>
      <c r="J657" s="60">
        <v>2</v>
      </c>
      <c r="K657" s="60">
        <v>849.55</v>
      </c>
      <c r="L657" s="61">
        <v>407023878</v>
      </c>
      <c r="M657" s="61">
        <v>1200000083864415</v>
      </c>
      <c r="N657" s="60" t="s">
        <v>767</v>
      </c>
      <c r="O657" s="60"/>
    </row>
    <row r="658" spans="1:15">
      <c r="A658" s="60"/>
      <c r="B658" s="60" t="s">
        <v>705</v>
      </c>
      <c r="C658" s="60" t="s">
        <v>706</v>
      </c>
      <c r="D658" s="60" t="s">
        <v>749</v>
      </c>
      <c r="E658" s="60" t="s">
        <v>275</v>
      </c>
      <c r="F658" s="60" t="s">
        <v>276</v>
      </c>
      <c r="G658" s="60" t="s">
        <v>276</v>
      </c>
      <c r="H658" s="60" t="s">
        <v>277</v>
      </c>
      <c r="I658" s="60" t="b">
        <v>0</v>
      </c>
      <c r="J658" s="60">
        <v>2</v>
      </c>
      <c r="K658" s="60">
        <v>849.65</v>
      </c>
      <c r="L658" s="61">
        <v>407023879</v>
      </c>
      <c r="M658" s="61">
        <v>1200000083864415</v>
      </c>
      <c r="N658" s="60" t="s">
        <v>767</v>
      </c>
      <c r="O658" s="60"/>
    </row>
    <row r="659" spans="1:15">
      <c r="A659" s="60"/>
      <c r="B659" s="60" t="s">
        <v>705</v>
      </c>
      <c r="C659" s="60" t="s">
        <v>706</v>
      </c>
      <c r="D659" s="60" t="s">
        <v>749</v>
      </c>
      <c r="E659" s="60" t="s">
        <v>275</v>
      </c>
      <c r="F659" s="60" t="s">
        <v>276</v>
      </c>
      <c r="G659" s="60" t="s">
        <v>276</v>
      </c>
      <c r="H659" s="60" t="s">
        <v>277</v>
      </c>
      <c r="I659" s="60" t="b">
        <v>0</v>
      </c>
      <c r="J659" s="60">
        <v>2</v>
      </c>
      <c r="K659" s="60">
        <v>849.85</v>
      </c>
      <c r="L659" s="61">
        <v>407023883</v>
      </c>
      <c r="M659" s="61">
        <v>1200000083864415</v>
      </c>
      <c r="N659" s="60" t="s">
        <v>767</v>
      </c>
      <c r="O659" s="60"/>
    </row>
    <row r="660" spans="1:15">
      <c r="A660" s="60"/>
      <c r="B660" s="60" t="s">
        <v>705</v>
      </c>
      <c r="C660" s="60" t="s">
        <v>706</v>
      </c>
      <c r="D660" s="60" t="s">
        <v>749</v>
      </c>
      <c r="E660" s="60" t="s">
        <v>275</v>
      </c>
      <c r="F660" s="60" t="s">
        <v>276</v>
      </c>
      <c r="G660" s="60" t="s">
        <v>276</v>
      </c>
      <c r="H660" s="60" t="s">
        <v>277</v>
      </c>
      <c r="I660" s="60" t="b">
        <v>0</v>
      </c>
      <c r="J660" s="60">
        <v>2</v>
      </c>
      <c r="K660" s="60">
        <v>849.95</v>
      </c>
      <c r="L660" s="61">
        <v>407023886</v>
      </c>
      <c r="M660" s="61">
        <v>1200000083864415</v>
      </c>
      <c r="N660" s="60" t="s">
        <v>767</v>
      </c>
      <c r="O660" s="60"/>
    </row>
    <row r="661" spans="1:15">
      <c r="A661" s="60"/>
      <c r="B661" s="60" t="s">
        <v>705</v>
      </c>
      <c r="C661" s="60" t="s">
        <v>706</v>
      </c>
      <c r="D661" s="60" t="s">
        <v>749</v>
      </c>
      <c r="E661" s="60" t="s">
        <v>275</v>
      </c>
      <c r="F661" s="60" t="s">
        <v>276</v>
      </c>
      <c r="G661" s="60" t="s">
        <v>276</v>
      </c>
      <c r="H661" s="60" t="s">
        <v>277</v>
      </c>
      <c r="I661" s="60" t="b">
        <v>0</v>
      </c>
      <c r="J661" s="60">
        <v>40</v>
      </c>
      <c r="K661" s="60">
        <v>849.8</v>
      </c>
      <c r="L661" s="61">
        <v>407023881</v>
      </c>
      <c r="M661" s="61">
        <v>1200000083864415</v>
      </c>
      <c r="N661" s="60" t="s">
        <v>767</v>
      </c>
      <c r="O661" s="60"/>
    </row>
    <row r="662" spans="1:15">
      <c r="A662" s="60"/>
      <c r="B662" s="60" t="s">
        <v>705</v>
      </c>
      <c r="C662" s="60" t="s">
        <v>706</v>
      </c>
      <c r="D662" s="60" t="s">
        <v>749</v>
      </c>
      <c r="E662" s="60" t="s">
        <v>275</v>
      </c>
      <c r="F662" s="60" t="s">
        <v>276</v>
      </c>
      <c r="G662" s="60" t="s">
        <v>276</v>
      </c>
      <c r="H662" s="60" t="s">
        <v>277</v>
      </c>
      <c r="I662" s="60" t="b">
        <v>0</v>
      </c>
      <c r="J662" s="60">
        <v>4</v>
      </c>
      <c r="K662" s="60">
        <v>849.9</v>
      </c>
      <c r="L662" s="61">
        <v>407023885</v>
      </c>
      <c r="M662" s="61">
        <v>1200000083864415</v>
      </c>
      <c r="N662" s="60" t="s">
        <v>767</v>
      </c>
      <c r="O662" s="60"/>
    </row>
    <row r="663" spans="1:15">
      <c r="A663" s="60"/>
      <c r="B663" s="60" t="s">
        <v>705</v>
      </c>
      <c r="C663" s="60" t="s">
        <v>706</v>
      </c>
      <c r="D663" s="60" t="s">
        <v>749</v>
      </c>
      <c r="E663" s="60" t="s">
        <v>275</v>
      </c>
      <c r="F663" s="60" t="s">
        <v>276</v>
      </c>
      <c r="G663" s="60" t="s">
        <v>276</v>
      </c>
      <c r="H663" s="60" t="s">
        <v>277</v>
      </c>
      <c r="I663" s="60" t="b">
        <v>0</v>
      </c>
      <c r="J663" s="60">
        <v>7</v>
      </c>
      <c r="K663" s="60">
        <v>849.7</v>
      </c>
      <c r="L663" s="61">
        <v>407023880</v>
      </c>
      <c r="M663" s="61">
        <v>1200000083864415</v>
      </c>
      <c r="N663" s="60" t="s">
        <v>767</v>
      </c>
      <c r="O663" s="60"/>
    </row>
    <row r="664" spans="1:15">
      <c r="A664" s="60"/>
      <c r="B664" s="60" t="s">
        <v>705</v>
      </c>
      <c r="C664" s="60" t="s">
        <v>706</v>
      </c>
      <c r="D664" s="60" t="s">
        <v>749</v>
      </c>
      <c r="E664" s="60" t="s">
        <v>275</v>
      </c>
      <c r="F664" s="60" t="s">
        <v>276</v>
      </c>
      <c r="G664" s="60" t="s">
        <v>276</v>
      </c>
      <c r="H664" s="60" t="s">
        <v>277</v>
      </c>
      <c r="I664" s="60" t="b">
        <v>0</v>
      </c>
      <c r="J664" s="60">
        <v>9</v>
      </c>
      <c r="K664" s="60">
        <v>849.5</v>
      </c>
      <c r="L664" s="61">
        <v>407023877</v>
      </c>
      <c r="M664" s="61">
        <v>1200000083864415</v>
      </c>
      <c r="N664" s="60" t="s">
        <v>767</v>
      </c>
      <c r="O664" s="60"/>
    </row>
    <row r="665" spans="1:15">
      <c r="A665" s="60"/>
      <c r="B665" s="60" t="s">
        <v>708</v>
      </c>
      <c r="C665" s="60" t="s">
        <v>709</v>
      </c>
      <c r="D665" s="60" t="s">
        <v>749</v>
      </c>
      <c r="E665" s="60" t="s">
        <v>275</v>
      </c>
      <c r="F665" s="60" t="s">
        <v>276</v>
      </c>
      <c r="G665" s="60" t="s">
        <v>276</v>
      </c>
      <c r="H665" s="60" t="s">
        <v>277</v>
      </c>
      <c r="I665" s="60" t="b">
        <v>0</v>
      </c>
      <c r="J665" s="60">
        <v>2</v>
      </c>
      <c r="K665" s="60">
        <v>1338.6</v>
      </c>
      <c r="L665" s="61">
        <v>608467858</v>
      </c>
      <c r="M665" s="61">
        <v>1300000084389821</v>
      </c>
      <c r="N665" s="60" t="s">
        <v>768</v>
      </c>
      <c r="O665" s="60"/>
    </row>
    <row r="666" spans="1:15">
      <c r="A666" s="60"/>
      <c r="B666" s="60" t="s">
        <v>708</v>
      </c>
      <c r="C666" s="60" t="s">
        <v>709</v>
      </c>
      <c r="D666" s="60" t="s">
        <v>749</v>
      </c>
      <c r="E666" s="60" t="s">
        <v>275</v>
      </c>
      <c r="F666" s="60" t="s">
        <v>276</v>
      </c>
      <c r="G666" s="60" t="s">
        <v>276</v>
      </c>
      <c r="H666" s="60" t="s">
        <v>277</v>
      </c>
      <c r="I666" s="60" t="b">
        <v>0</v>
      </c>
      <c r="J666" s="60">
        <v>1</v>
      </c>
      <c r="K666" s="60">
        <v>1338.5</v>
      </c>
      <c r="L666" s="61">
        <v>608467857</v>
      </c>
      <c r="M666" s="61">
        <v>1300000084389821</v>
      </c>
      <c r="N666" s="60" t="s">
        <v>768</v>
      </c>
      <c r="O666" s="60"/>
    </row>
    <row r="667" spans="1:15">
      <c r="A667" s="60"/>
      <c r="B667" s="60" t="s">
        <v>708</v>
      </c>
      <c r="C667" s="60" t="s">
        <v>709</v>
      </c>
      <c r="D667" s="60" t="s">
        <v>749</v>
      </c>
      <c r="E667" s="60" t="s">
        <v>275</v>
      </c>
      <c r="F667" s="60" t="s">
        <v>276</v>
      </c>
      <c r="G667" s="60" t="s">
        <v>276</v>
      </c>
      <c r="H667" s="60" t="s">
        <v>277</v>
      </c>
      <c r="I667" s="60" t="b">
        <v>0</v>
      </c>
      <c r="J667" s="60">
        <v>1</v>
      </c>
      <c r="K667" s="60">
        <v>1338.6</v>
      </c>
      <c r="L667" s="61">
        <v>608467859</v>
      </c>
      <c r="M667" s="61">
        <v>1300000084389821</v>
      </c>
      <c r="N667" s="60" t="s">
        <v>768</v>
      </c>
      <c r="O667" s="60"/>
    </row>
    <row r="668" spans="1:15">
      <c r="A668" s="60"/>
      <c r="B668" s="60" t="s">
        <v>708</v>
      </c>
      <c r="C668" s="60" t="s">
        <v>709</v>
      </c>
      <c r="D668" s="60" t="s">
        <v>749</v>
      </c>
      <c r="E668" s="60" t="s">
        <v>275</v>
      </c>
      <c r="F668" s="60" t="s">
        <v>276</v>
      </c>
      <c r="G668" s="60" t="s">
        <v>276</v>
      </c>
      <c r="H668" s="60" t="s">
        <v>277</v>
      </c>
      <c r="I668" s="60" t="b">
        <v>0</v>
      </c>
      <c r="J668" s="60">
        <v>1</v>
      </c>
      <c r="K668" s="60">
        <v>1338.7</v>
      </c>
      <c r="L668" s="61">
        <v>608467861</v>
      </c>
      <c r="M668" s="61">
        <v>1300000084389821</v>
      </c>
      <c r="N668" s="60" t="s">
        <v>768</v>
      </c>
      <c r="O668" s="60"/>
    </row>
    <row r="669" spans="1:15">
      <c r="A669" s="60"/>
      <c r="B669" s="60" t="s">
        <v>708</v>
      </c>
      <c r="C669" s="60" t="s">
        <v>709</v>
      </c>
      <c r="D669" s="60" t="s">
        <v>749</v>
      </c>
      <c r="E669" s="60" t="s">
        <v>275</v>
      </c>
      <c r="F669" s="60" t="s">
        <v>276</v>
      </c>
      <c r="G669" s="60" t="s">
        <v>276</v>
      </c>
      <c r="H669" s="60" t="s">
        <v>277</v>
      </c>
      <c r="I669" s="60" t="b">
        <v>0</v>
      </c>
      <c r="J669" s="60">
        <v>1</v>
      </c>
      <c r="K669" s="60">
        <v>1338.8</v>
      </c>
      <c r="L669" s="61">
        <v>608467862</v>
      </c>
      <c r="M669" s="61">
        <v>1300000084389821</v>
      </c>
      <c r="N669" s="60" t="s">
        <v>768</v>
      </c>
      <c r="O669" s="60"/>
    </row>
    <row r="670" spans="1:15">
      <c r="A670" s="60"/>
      <c r="B670" s="60" t="s">
        <v>708</v>
      </c>
      <c r="C670" s="60" t="s">
        <v>709</v>
      </c>
      <c r="D670" s="60" t="s">
        <v>749</v>
      </c>
      <c r="E670" s="60" t="s">
        <v>275</v>
      </c>
      <c r="F670" s="60" t="s">
        <v>276</v>
      </c>
      <c r="G670" s="60" t="s">
        <v>276</v>
      </c>
      <c r="H670" s="60" t="s">
        <v>277</v>
      </c>
      <c r="I670" s="60" t="b">
        <v>0</v>
      </c>
      <c r="J670" s="60">
        <v>1</v>
      </c>
      <c r="K670" s="60">
        <v>1338.8</v>
      </c>
      <c r="L670" s="61">
        <v>608467863</v>
      </c>
      <c r="M670" s="61">
        <v>1300000084389821</v>
      </c>
      <c r="N670" s="60" t="s">
        <v>768</v>
      </c>
      <c r="O670" s="60"/>
    </row>
    <row r="671" spans="1:15">
      <c r="A671" s="60"/>
      <c r="B671" s="60" t="s">
        <v>708</v>
      </c>
      <c r="C671" s="60" t="s">
        <v>709</v>
      </c>
      <c r="D671" s="60" t="s">
        <v>749</v>
      </c>
      <c r="E671" s="60" t="s">
        <v>275</v>
      </c>
      <c r="F671" s="60" t="s">
        <v>276</v>
      </c>
      <c r="G671" s="60" t="s">
        <v>276</v>
      </c>
      <c r="H671" s="60" t="s">
        <v>277</v>
      </c>
      <c r="I671" s="60" t="b">
        <v>0</v>
      </c>
      <c r="J671" s="60">
        <v>1</v>
      </c>
      <c r="K671" s="60">
        <v>1338.9</v>
      </c>
      <c r="L671" s="61">
        <v>608467866</v>
      </c>
      <c r="M671" s="61">
        <v>1300000084389821</v>
      </c>
      <c r="N671" s="60" t="s">
        <v>768</v>
      </c>
      <c r="O671" s="60"/>
    </row>
    <row r="672" spans="1:15">
      <c r="A672" s="60"/>
      <c r="B672" s="60" t="s">
        <v>708</v>
      </c>
      <c r="C672" s="60" t="s">
        <v>709</v>
      </c>
      <c r="D672" s="60" t="s">
        <v>749</v>
      </c>
      <c r="E672" s="60" t="s">
        <v>275</v>
      </c>
      <c r="F672" s="60" t="s">
        <v>276</v>
      </c>
      <c r="G672" s="60" t="s">
        <v>276</v>
      </c>
      <c r="H672" s="60" t="s">
        <v>277</v>
      </c>
      <c r="I672" s="60" t="b">
        <v>0</v>
      </c>
      <c r="J672" s="60">
        <v>18</v>
      </c>
      <c r="K672" s="60">
        <v>1338.9</v>
      </c>
      <c r="L672" s="61">
        <v>608467868</v>
      </c>
      <c r="M672" s="61">
        <v>1300000084389821</v>
      </c>
      <c r="N672" s="60" t="s">
        <v>768</v>
      </c>
      <c r="O672" s="60"/>
    </row>
    <row r="673" spans="1:15">
      <c r="A673" s="60"/>
      <c r="B673" s="60" t="s">
        <v>708</v>
      </c>
      <c r="C673" s="60" t="s">
        <v>709</v>
      </c>
      <c r="D673" s="60" t="s">
        <v>749</v>
      </c>
      <c r="E673" s="60" t="s">
        <v>275</v>
      </c>
      <c r="F673" s="60" t="s">
        <v>276</v>
      </c>
      <c r="G673" s="60" t="s">
        <v>276</v>
      </c>
      <c r="H673" s="60" t="s">
        <v>277</v>
      </c>
      <c r="I673" s="60" t="b">
        <v>0</v>
      </c>
      <c r="J673" s="60">
        <v>2</v>
      </c>
      <c r="K673" s="60">
        <v>1338.5</v>
      </c>
      <c r="L673" s="61">
        <v>608467856</v>
      </c>
      <c r="M673" s="61">
        <v>1300000084389821</v>
      </c>
      <c r="N673" s="60" t="s">
        <v>768</v>
      </c>
      <c r="O673" s="60"/>
    </row>
    <row r="674" spans="1:15">
      <c r="A674" s="60"/>
      <c r="B674" s="60" t="s">
        <v>708</v>
      </c>
      <c r="C674" s="60" t="s">
        <v>709</v>
      </c>
      <c r="D674" s="60" t="s">
        <v>749</v>
      </c>
      <c r="E674" s="60" t="s">
        <v>275</v>
      </c>
      <c r="F674" s="60" t="s">
        <v>276</v>
      </c>
      <c r="G674" s="60" t="s">
        <v>276</v>
      </c>
      <c r="H674" s="60" t="s">
        <v>277</v>
      </c>
      <c r="I674" s="60" t="b">
        <v>0</v>
      </c>
      <c r="J674" s="60">
        <v>1</v>
      </c>
      <c r="K674" s="60">
        <v>1338.4</v>
      </c>
      <c r="L674" s="61">
        <v>608467854</v>
      </c>
      <c r="M674" s="61">
        <v>1300000084389821</v>
      </c>
      <c r="N674" s="60" t="s">
        <v>768</v>
      </c>
      <c r="O674" s="60"/>
    </row>
    <row r="675" spans="1:15">
      <c r="A675" s="60"/>
      <c r="B675" s="60" t="s">
        <v>708</v>
      </c>
      <c r="C675" s="60" t="s">
        <v>709</v>
      </c>
      <c r="D675" s="60" t="s">
        <v>749</v>
      </c>
      <c r="E675" s="60" t="s">
        <v>275</v>
      </c>
      <c r="F675" s="60" t="s">
        <v>276</v>
      </c>
      <c r="G675" s="60" t="s">
        <v>276</v>
      </c>
      <c r="H675" s="60" t="s">
        <v>277</v>
      </c>
      <c r="I675" s="60" t="b">
        <v>0</v>
      </c>
      <c r="J675" s="60">
        <v>2</v>
      </c>
      <c r="K675" s="60">
        <v>1338.6</v>
      </c>
      <c r="L675" s="61">
        <v>608467860</v>
      </c>
      <c r="M675" s="61">
        <v>1300000084389821</v>
      </c>
      <c r="N675" s="60" t="s">
        <v>768</v>
      </c>
      <c r="O675" s="60"/>
    </row>
    <row r="676" spans="1:15">
      <c r="A676" s="60"/>
      <c r="B676" s="60" t="s">
        <v>708</v>
      </c>
      <c r="C676" s="60" t="s">
        <v>709</v>
      </c>
      <c r="D676" s="60" t="s">
        <v>749</v>
      </c>
      <c r="E676" s="60" t="s">
        <v>275</v>
      </c>
      <c r="F676" s="60" t="s">
        <v>276</v>
      </c>
      <c r="G676" s="60" t="s">
        <v>276</v>
      </c>
      <c r="H676" s="60" t="s">
        <v>277</v>
      </c>
      <c r="I676" s="60" t="b">
        <v>0</v>
      </c>
      <c r="J676" s="60">
        <v>2</v>
      </c>
      <c r="K676" s="60">
        <v>1338.9</v>
      </c>
      <c r="L676" s="61">
        <v>608467867</v>
      </c>
      <c r="M676" s="61">
        <v>1300000084389821</v>
      </c>
      <c r="N676" s="60" t="s">
        <v>768</v>
      </c>
      <c r="O676" s="60"/>
    </row>
    <row r="677" spans="1:15">
      <c r="A677" s="60"/>
      <c r="B677" s="60" t="s">
        <v>708</v>
      </c>
      <c r="C677" s="60" t="s">
        <v>709</v>
      </c>
      <c r="D677" s="60" t="s">
        <v>749</v>
      </c>
      <c r="E677" s="60" t="s">
        <v>275</v>
      </c>
      <c r="F677" s="60" t="s">
        <v>276</v>
      </c>
      <c r="G677" s="60" t="s">
        <v>276</v>
      </c>
      <c r="H677" s="60" t="s">
        <v>277</v>
      </c>
      <c r="I677" s="60" t="b">
        <v>0</v>
      </c>
      <c r="J677" s="60">
        <v>3</v>
      </c>
      <c r="K677" s="60">
        <v>1338.5</v>
      </c>
      <c r="L677" s="61">
        <v>608467855</v>
      </c>
      <c r="M677" s="61">
        <v>1300000084389821</v>
      </c>
      <c r="N677" s="60" t="s">
        <v>768</v>
      </c>
      <c r="O677" s="60"/>
    </row>
    <row r="678" spans="1:15">
      <c r="A678" s="60"/>
      <c r="B678" s="60" t="s">
        <v>708</v>
      </c>
      <c r="C678" s="60" t="s">
        <v>709</v>
      </c>
      <c r="D678" s="60" t="s">
        <v>749</v>
      </c>
      <c r="E678" s="60" t="s">
        <v>275</v>
      </c>
      <c r="F678" s="60" t="s">
        <v>276</v>
      </c>
      <c r="G678" s="60" t="s">
        <v>276</v>
      </c>
      <c r="H678" s="60" t="s">
        <v>277</v>
      </c>
      <c r="I678" s="60" t="b">
        <v>0</v>
      </c>
      <c r="J678" s="60">
        <v>3</v>
      </c>
      <c r="K678" s="60">
        <v>1338.8</v>
      </c>
      <c r="L678" s="61">
        <v>608467865</v>
      </c>
      <c r="M678" s="61">
        <v>1300000084389821</v>
      </c>
      <c r="N678" s="60" t="s">
        <v>768</v>
      </c>
      <c r="O678" s="60"/>
    </row>
    <row r="679" spans="1:15">
      <c r="A679" s="60"/>
      <c r="B679" s="60" t="s">
        <v>708</v>
      </c>
      <c r="C679" s="60" t="s">
        <v>709</v>
      </c>
      <c r="D679" s="60" t="s">
        <v>749</v>
      </c>
      <c r="E679" s="60" t="s">
        <v>275</v>
      </c>
      <c r="F679" s="60" t="s">
        <v>276</v>
      </c>
      <c r="G679" s="60" t="s">
        <v>276</v>
      </c>
      <c r="H679" s="60" t="s">
        <v>277</v>
      </c>
      <c r="I679" s="60" t="b">
        <v>0</v>
      </c>
      <c r="J679" s="60">
        <v>7</v>
      </c>
      <c r="K679" s="60">
        <v>1338.9</v>
      </c>
      <c r="L679" s="61">
        <v>608467869</v>
      </c>
      <c r="M679" s="61">
        <v>1300000084389821</v>
      </c>
      <c r="N679" s="60" t="s">
        <v>768</v>
      </c>
      <c r="O679" s="60"/>
    </row>
    <row r="680" spans="1:15">
      <c r="A680" s="60"/>
      <c r="B680" s="60" t="s">
        <v>708</v>
      </c>
      <c r="C680" s="60" t="s">
        <v>709</v>
      </c>
      <c r="D680" s="60" t="s">
        <v>749</v>
      </c>
      <c r="E680" s="60" t="s">
        <v>275</v>
      </c>
      <c r="F680" s="60" t="s">
        <v>276</v>
      </c>
      <c r="G680" s="60" t="s">
        <v>276</v>
      </c>
      <c r="H680" s="60" t="s">
        <v>277</v>
      </c>
      <c r="I680" s="60" t="b">
        <v>0</v>
      </c>
      <c r="J680" s="60">
        <v>8</v>
      </c>
      <c r="K680" s="60">
        <v>1338.8</v>
      </c>
      <c r="L680" s="61">
        <v>608467864</v>
      </c>
      <c r="M680" s="61">
        <v>1300000084389821</v>
      </c>
      <c r="N680" s="60" t="s">
        <v>768</v>
      </c>
      <c r="O680" s="60"/>
    </row>
    <row r="681" spans="1:15">
      <c r="A681" s="60"/>
      <c r="B681" s="60" t="s">
        <v>711</v>
      </c>
      <c r="C681" s="60" t="s">
        <v>712</v>
      </c>
      <c r="D681" s="60" t="s">
        <v>749</v>
      </c>
      <c r="E681" s="60" t="s">
        <v>275</v>
      </c>
      <c r="F681" s="60" t="s">
        <v>276</v>
      </c>
      <c r="G681" s="60" t="s">
        <v>276</v>
      </c>
      <c r="H681" s="60" t="s">
        <v>277</v>
      </c>
      <c r="I681" s="60" t="b">
        <v>0</v>
      </c>
      <c r="J681" s="60">
        <v>4</v>
      </c>
      <c r="K681" s="60">
        <v>736.2</v>
      </c>
      <c r="L681" s="61">
        <v>608474395</v>
      </c>
      <c r="M681" s="61">
        <v>1300000084471040</v>
      </c>
      <c r="N681" s="60" t="s">
        <v>769</v>
      </c>
      <c r="O681" s="60"/>
    </row>
    <row r="682" spans="1:15">
      <c r="A682" s="60"/>
      <c r="B682" s="60" t="s">
        <v>711</v>
      </c>
      <c r="C682" s="60" t="s">
        <v>712</v>
      </c>
      <c r="D682" s="60" t="s">
        <v>749</v>
      </c>
      <c r="E682" s="60" t="s">
        <v>275</v>
      </c>
      <c r="F682" s="60" t="s">
        <v>276</v>
      </c>
      <c r="G682" s="60" t="s">
        <v>276</v>
      </c>
      <c r="H682" s="60" t="s">
        <v>277</v>
      </c>
      <c r="I682" s="60" t="b">
        <v>0</v>
      </c>
      <c r="J682" s="60">
        <v>12</v>
      </c>
      <c r="K682" s="60">
        <v>736.55</v>
      </c>
      <c r="L682" s="61">
        <v>608474399</v>
      </c>
      <c r="M682" s="61">
        <v>1300000084471040</v>
      </c>
      <c r="N682" s="60" t="s">
        <v>769</v>
      </c>
      <c r="O682" s="60"/>
    </row>
    <row r="683" spans="1:15">
      <c r="A683" s="60"/>
      <c r="B683" s="60" t="s">
        <v>711</v>
      </c>
      <c r="C683" s="60" t="s">
        <v>712</v>
      </c>
      <c r="D683" s="60" t="s">
        <v>749</v>
      </c>
      <c r="E683" s="60" t="s">
        <v>275</v>
      </c>
      <c r="F683" s="60" t="s">
        <v>276</v>
      </c>
      <c r="G683" s="60" t="s">
        <v>276</v>
      </c>
      <c r="H683" s="60" t="s">
        <v>277</v>
      </c>
      <c r="I683" s="60" t="b">
        <v>0</v>
      </c>
      <c r="J683" s="60">
        <v>13</v>
      </c>
      <c r="K683" s="60">
        <v>736.45</v>
      </c>
      <c r="L683" s="61">
        <v>608474398</v>
      </c>
      <c r="M683" s="61">
        <v>1300000084471040</v>
      </c>
      <c r="N683" s="60" t="s">
        <v>769</v>
      </c>
      <c r="O683" s="60"/>
    </row>
    <row r="684" spans="1:15">
      <c r="A684" s="60"/>
      <c r="B684" s="60" t="s">
        <v>711</v>
      </c>
      <c r="C684" s="60" t="s">
        <v>712</v>
      </c>
      <c r="D684" s="60" t="s">
        <v>749</v>
      </c>
      <c r="E684" s="60" t="s">
        <v>275</v>
      </c>
      <c r="F684" s="60" t="s">
        <v>276</v>
      </c>
      <c r="G684" s="60" t="s">
        <v>276</v>
      </c>
      <c r="H684" s="60" t="s">
        <v>277</v>
      </c>
      <c r="I684" s="60" t="b">
        <v>0</v>
      </c>
      <c r="J684" s="60">
        <v>16</v>
      </c>
      <c r="K684" s="60">
        <v>736.1</v>
      </c>
      <c r="L684" s="61">
        <v>608474393</v>
      </c>
      <c r="M684" s="61">
        <v>1300000084471040</v>
      </c>
      <c r="N684" s="60" t="s">
        <v>769</v>
      </c>
      <c r="O684" s="60"/>
    </row>
    <row r="685" spans="1:15">
      <c r="A685" s="60"/>
      <c r="B685" s="60" t="s">
        <v>711</v>
      </c>
      <c r="C685" s="60" t="s">
        <v>712</v>
      </c>
      <c r="D685" s="60" t="s">
        <v>749</v>
      </c>
      <c r="E685" s="60" t="s">
        <v>275</v>
      </c>
      <c r="F685" s="60" t="s">
        <v>276</v>
      </c>
      <c r="G685" s="60" t="s">
        <v>276</v>
      </c>
      <c r="H685" s="60" t="s">
        <v>277</v>
      </c>
      <c r="I685" s="60" t="b">
        <v>0</v>
      </c>
      <c r="J685" s="60">
        <v>41</v>
      </c>
      <c r="K685" s="60">
        <v>736.45</v>
      </c>
      <c r="L685" s="61">
        <v>608474397</v>
      </c>
      <c r="M685" s="61">
        <v>1300000084471040</v>
      </c>
      <c r="N685" s="60" t="s">
        <v>769</v>
      </c>
      <c r="O685" s="60"/>
    </row>
    <row r="686" spans="1:15">
      <c r="A686" s="60"/>
      <c r="B686" s="60" t="s">
        <v>711</v>
      </c>
      <c r="C686" s="60" t="s">
        <v>712</v>
      </c>
      <c r="D686" s="60" t="s">
        <v>749</v>
      </c>
      <c r="E686" s="60" t="s">
        <v>275</v>
      </c>
      <c r="F686" s="60" t="s">
        <v>276</v>
      </c>
      <c r="G686" s="60" t="s">
        <v>276</v>
      </c>
      <c r="H686" s="60" t="s">
        <v>277</v>
      </c>
      <c r="I686" s="60" t="b">
        <v>0</v>
      </c>
      <c r="J686" s="60">
        <v>4</v>
      </c>
      <c r="K686" s="60">
        <v>736.15</v>
      </c>
      <c r="L686" s="61">
        <v>608474394</v>
      </c>
      <c r="M686" s="61">
        <v>1300000084471040</v>
      </c>
      <c r="N686" s="60" t="s">
        <v>769</v>
      </c>
      <c r="O686" s="60"/>
    </row>
    <row r="687" spans="1:15">
      <c r="A687" s="60"/>
      <c r="B687" s="60" t="s">
        <v>711</v>
      </c>
      <c r="C687" s="60" t="s">
        <v>712</v>
      </c>
      <c r="D687" s="60" t="s">
        <v>749</v>
      </c>
      <c r="E687" s="60" t="s">
        <v>275</v>
      </c>
      <c r="F687" s="60" t="s">
        <v>276</v>
      </c>
      <c r="G687" s="60" t="s">
        <v>276</v>
      </c>
      <c r="H687" s="60" t="s">
        <v>277</v>
      </c>
      <c r="I687" s="60" t="b">
        <v>0</v>
      </c>
      <c r="J687" s="60">
        <v>1</v>
      </c>
      <c r="K687" s="60">
        <v>736.4</v>
      </c>
      <c r="L687" s="61">
        <v>608474396</v>
      </c>
      <c r="M687" s="61">
        <v>1300000084471040</v>
      </c>
      <c r="N687" s="60" t="s">
        <v>769</v>
      </c>
      <c r="O687" s="60"/>
    </row>
    <row r="688" spans="1:15">
      <c r="A688" s="60"/>
      <c r="B688" s="60" t="s">
        <v>711</v>
      </c>
      <c r="C688" s="60" t="s">
        <v>712</v>
      </c>
      <c r="D688" s="60" t="s">
        <v>749</v>
      </c>
      <c r="E688" s="60" t="s">
        <v>275</v>
      </c>
      <c r="F688" s="60" t="s">
        <v>276</v>
      </c>
      <c r="G688" s="60" t="s">
        <v>276</v>
      </c>
      <c r="H688" s="60" t="s">
        <v>277</v>
      </c>
      <c r="I688" s="60" t="b">
        <v>0</v>
      </c>
      <c r="J688" s="60">
        <v>6</v>
      </c>
      <c r="K688" s="60">
        <v>736.05</v>
      </c>
      <c r="L688" s="61">
        <v>608474392</v>
      </c>
      <c r="M688" s="61">
        <v>1300000084471040</v>
      </c>
      <c r="N688" s="60" t="s">
        <v>769</v>
      </c>
      <c r="O688" s="60"/>
    </row>
    <row r="689" spans="1:15">
      <c r="A689" s="60"/>
      <c r="B689" s="60" t="s">
        <v>663</v>
      </c>
      <c r="C689" s="60" t="s">
        <v>664</v>
      </c>
      <c r="D689" s="60" t="s">
        <v>749</v>
      </c>
      <c r="E689" s="60" t="s">
        <v>275</v>
      </c>
      <c r="F689" s="60" t="s">
        <v>276</v>
      </c>
      <c r="G689" s="60" t="s">
        <v>276</v>
      </c>
      <c r="H689" s="60" t="s">
        <v>277</v>
      </c>
      <c r="I689" s="60" t="b">
        <v>0</v>
      </c>
      <c r="J689" s="60">
        <v>61</v>
      </c>
      <c r="K689" s="60">
        <v>1203.9000000000001</v>
      </c>
      <c r="L689" s="61">
        <v>608483581</v>
      </c>
      <c r="M689" s="61">
        <v>1300000084568813</v>
      </c>
      <c r="N689" s="60" t="s">
        <v>770</v>
      </c>
      <c r="O689" s="60"/>
    </row>
    <row r="690" spans="1:15">
      <c r="A690" s="60"/>
      <c r="B690" s="60" t="s">
        <v>714</v>
      </c>
      <c r="C690" s="60" t="s">
        <v>715</v>
      </c>
      <c r="D690" s="60" t="s">
        <v>749</v>
      </c>
      <c r="E690" s="60" t="s">
        <v>332</v>
      </c>
      <c r="F690" s="60" t="s">
        <v>276</v>
      </c>
      <c r="G690" s="60" t="s">
        <v>333</v>
      </c>
      <c r="H690" s="60" t="s">
        <v>277</v>
      </c>
      <c r="I690" s="60" t="b">
        <v>0</v>
      </c>
      <c r="J690" s="60">
        <v>1</v>
      </c>
      <c r="K690" s="60">
        <v>3587.7</v>
      </c>
      <c r="L690" s="61">
        <v>15787000</v>
      </c>
      <c r="M690" s="61">
        <v>1.7809068489148329E+18</v>
      </c>
      <c r="N690" s="60" t="s">
        <v>771</v>
      </c>
      <c r="O690" s="60"/>
    </row>
    <row r="691" spans="1:15">
      <c r="A691" s="60"/>
      <c r="B691" s="60" t="s">
        <v>714</v>
      </c>
      <c r="C691" s="60" t="s">
        <v>715</v>
      </c>
      <c r="D691" s="60" t="s">
        <v>749</v>
      </c>
      <c r="E691" s="60" t="s">
        <v>332</v>
      </c>
      <c r="F691" s="60" t="s">
        <v>276</v>
      </c>
      <c r="G691" s="60" t="s">
        <v>333</v>
      </c>
      <c r="H691" s="60" t="s">
        <v>277</v>
      </c>
      <c r="I691" s="60" t="b">
        <v>0</v>
      </c>
      <c r="J691" s="60">
        <v>1</v>
      </c>
      <c r="K691" s="60">
        <v>3588.1001000000001</v>
      </c>
      <c r="L691" s="61">
        <v>15787200</v>
      </c>
      <c r="M691" s="61">
        <v>1.7809068489148329E+18</v>
      </c>
      <c r="N691" s="60" t="s">
        <v>771</v>
      </c>
      <c r="O691" s="60"/>
    </row>
    <row r="692" spans="1:15">
      <c r="A692" s="60"/>
      <c r="B692" s="60" t="s">
        <v>714</v>
      </c>
      <c r="C692" s="60" t="s">
        <v>715</v>
      </c>
      <c r="D692" s="60" t="s">
        <v>749</v>
      </c>
      <c r="E692" s="60" t="s">
        <v>332</v>
      </c>
      <c r="F692" s="60" t="s">
        <v>276</v>
      </c>
      <c r="G692" s="60" t="s">
        <v>333</v>
      </c>
      <c r="H692" s="60" t="s">
        <v>277</v>
      </c>
      <c r="I692" s="60" t="b">
        <v>0</v>
      </c>
      <c r="J692" s="60">
        <v>5</v>
      </c>
      <c r="K692" s="60">
        <v>3587.3</v>
      </c>
      <c r="L692" s="61">
        <v>15786800</v>
      </c>
      <c r="M692" s="61">
        <v>1.7809068489148329E+18</v>
      </c>
      <c r="N692" s="60" t="s">
        <v>771</v>
      </c>
      <c r="O692" s="60"/>
    </row>
    <row r="693" spans="1:15">
      <c r="A693" s="60"/>
      <c r="B693" s="60" t="s">
        <v>714</v>
      </c>
      <c r="C693" s="60" t="s">
        <v>715</v>
      </c>
      <c r="D693" s="60" t="s">
        <v>749</v>
      </c>
      <c r="E693" s="60" t="s">
        <v>332</v>
      </c>
      <c r="F693" s="60" t="s">
        <v>276</v>
      </c>
      <c r="G693" s="60" t="s">
        <v>333</v>
      </c>
      <c r="H693" s="60" t="s">
        <v>277</v>
      </c>
      <c r="I693" s="60" t="b">
        <v>0</v>
      </c>
      <c r="J693" s="60">
        <v>6</v>
      </c>
      <c r="K693" s="60">
        <v>3588.1498999999999</v>
      </c>
      <c r="L693" s="61">
        <v>15787400</v>
      </c>
      <c r="M693" s="61">
        <v>1.7809068489148329E+18</v>
      </c>
      <c r="N693" s="60" t="s">
        <v>771</v>
      </c>
      <c r="O693" s="60"/>
    </row>
    <row r="694" spans="1:15">
      <c r="A694" s="60"/>
      <c r="B694" s="60" t="s">
        <v>714</v>
      </c>
      <c r="C694" s="60" t="s">
        <v>715</v>
      </c>
      <c r="D694" s="60" t="s">
        <v>749</v>
      </c>
      <c r="E694" s="60" t="s">
        <v>332</v>
      </c>
      <c r="F694" s="60" t="s">
        <v>276</v>
      </c>
      <c r="G694" s="60" t="s">
        <v>333</v>
      </c>
      <c r="H694" s="60" t="s">
        <v>277</v>
      </c>
      <c r="I694" s="60" t="b">
        <v>0</v>
      </c>
      <c r="J694" s="60">
        <v>7</v>
      </c>
      <c r="K694" s="60">
        <v>3584.3</v>
      </c>
      <c r="L694" s="61">
        <v>15786600</v>
      </c>
      <c r="M694" s="61">
        <v>1.7809068489148329E+18</v>
      </c>
      <c r="N694" s="60" t="s">
        <v>771</v>
      </c>
      <c r="O694" s="60"/>
    </row>
    <row r="695" spans="1:15">
      <c r="A695" s="60"/>
      <c r="B695" s="60" t="s">
        <v>672</v>
      </c>
      <c r="C695" s="60" t="s">
        <v>673</v>
      </c>
      <c r="D695" s="60" t="s">
        <v>749</v>
      </c>
      <c r="E695" s="60" t="s">
        <v>275</v>
      </c>
      <c r="F695" s="60" t="s">
        <v>276</v>
      </c>
      <c r="G695" s="60" t="s">
        <v>276</v>
      </c>
      <c r="H695" s="60" t="s">
        <v>277</v>
      </c>
      <c r="I695" s="60" t="b">
        <v>0</v>
      </c>
      <c r="J695" s="60">
        <v>1</v>
      </c>
      <c r="K695" s="60">
        <v>666.6</v>
      </c>
      <c r="L695" s="61">
        <v>608502154</v>
      </c>
      <c r="M695" s="61">
        <v>1300000084770689</v>
      </c>
      <c r="N695" s="60" t="s">
        <v>772</v>
      </c>
      <c r="O695" s="60"/>
    </row>
    <row r="696" spans="1:15">
      <c r="A696" s="60"/>
      <c r="B696" s="60" t="s">
        <v>672</v>
      </c>
      <c r="C696" s="60" t="s">
        <v>673</v>
      </c>
      <c r="D696" s="60" t="s">
        <v>749</v>
      </c>
      <c r="E696" s="60" t="s">
        <v>275</v>
      </c>
      <c r="F696" s="60" t="s">
        <v>276</v>
      </c>
      <c r="G696" s="60" t="s">
        <v>276</v>
      </c>
      <c r="H696" s="60" t="s">
        <v>277</v>
      </c>
      <c r="I696" s="60" t="b">
        <v>0</v>
      </c>
      <c r="J696" s="60">
        <v>12</v>
      </c>
      <c r="K696" s="60">
        <v>666.6</v>
      </c>
      <c r="L696" s="61">
        <v>608502150</v>
      </c>
      <c r="M696" s="61">
        <v>1300000084770689</v>
      </c>
      <c r="N696" s="60" t="s">
        <v>772</v>
      </c>
      <c r="O696" s="60"/>
    </row>
    <row r="697" spans="1:15">
      <c r="A697" s="60"/>
      <c r="B697" s="60" t="s">
        <v>672</v>
      </c>
      <c r="C697" s="60" t="s">
        <v>673</v>
      </c>
      <c r="D697" s="60" t="s">
        <v>749</v>
      </c>
      <c r="E697" s="60" t="s">
        <v>275</v>
      </c>
      <c r="F697" s="60" t="s">
        <v>276</v>
      </c>
      <c r="G697" s="60" t="s">
        <v>276</v>
      </c>
      <c r="H697" s="60" t="s">
        <v>277</v>
      </c>
      <c r="I697" s="60" t="b">
        <v>0</v>
      </c>
      <c r="J697" s="60">
        <v>16</v>
      </c>
      <c r="K697" s="60">
        <v>666.55</v>
      </c>
      <c r="L697" s="61">
        <v>608502146</v>
      </c>
      <c r="M697" s="61">
        <v>1300000084770689</v>
      </c>
      <c r="N697" s="60" t="s">
        <v>772</v>
      </c>
      <c r="O697" s="60"/>
    </row>
    <row r="698" spans="1:15">
      <c r="A698" s="60"/>
      <c r="B698" s="60" t="s">
        <v>672</v>
      </c>
      <c r="C698" s="60" t="s">
        <v>673</v>
      </c>
      <c r="D698" s="60" t="s">
        <v>749</v>
      </c>
      <c r="E698" s="60" t="s">
        <v>275</v>
      </c>
      <c r="F698" s="60" t="s">
        <v>276</v>
      </c>
      <c r="G698" s="60" t="s">
        <v>276</v>
      </c>
      <c r="H698" s="60" t="s">
        <v>277</v>
      </c>
      <c r="I698" s="60" t="b">
        <v>0</v>
      </c>
      <c r="J698" s="60">
        <v>17</v>
      </c>
      <c r="K698" s="60">
        <v>666.6</v>
      </c>
      <c r="L698" s="61">
        <v>608502155</v>
      </c>
      <c r="M698" s="61">
        <v>1300000084770689</v>
      </c>
      <c r="N698" s="60" t="s">
        <v>772</v>
      </c>
      <c r="O698" s="60"/>
    </row>
    <row r="699" spans="1:15">
      <c r="A699" s="60"/>
      <c r="B699" s="60" t="s">
        <v>672</v>
      </c>
      <c r="C699" s="60" t="s">
        <v>673</v>
      </c>
      <c r="D699" s="60" t="s">
        <v>749</v>
      </c>
      <c r="E699" s="60" t="s">
        <v>275</v>
      </c>
      <c r="F699" s="60" t="s">
        <v>276</v>
      </c>
      <c r="G699" s="60" t="s">
        <v>276</v>
      </c>
      <c r="H699" s="60" t="s">
        <v>277</v>
      </c>
      <c r="I699" s="60" t="b">
        <v>0</v>
      </c>
      <c r="J699" s="60">
        <v>2</v>
      </c>
      <c r="K699" s="60">
        <v>666.55</v>
      </c>
      <c r="L699" s="61">
        <v>608502145</v>
      </c>
      <c r="M699" s="61">
        <v>1300000084770689</v>
      </c>
      <c r="N699" s="60" t="s">
        <v>772</v>
      </c>
      <c r="O699" s="60"/>
    </row>
    <row r="700" spans="1:15">
      <c r="A700" s="60"/>
      <c r="B700" s="60" t="s">
        <v>672</v>
      </c>
      <c r="C700" s="60" t="s">
        <v>673</v>
      </c>
      <c r="D700" s="60" t="s">
        <v>749</v>
      </c>
      <c r="E700" s="60" t="s">
        <v>275</v>
      </c>
      <c r="F700" s="60" t="s">
        <v>276</v>
      </c>
      <c r="G700" s="60" t="s">
        <v>276</v>
      </c>
      <c r="H700" s="60" t="s">
        <v>277</v>
      </c>
      <c r="I700" s="60" t="b">
        <v>0</v>
      </c>
      <c r="J700" s="60">
        <v>2</v>
      </c>
      <c r="K700" s="60">
        <v>666.6</v>
      </c>
      <c r="L700" s="61">
        <v>608502149</v>
      </c>
      <c r="M700" s="61">
        <v>1300000084770689</v>
      </c>
      <c r="N700" s="60" t="s">
        <v>772</v>
      </c>
      <c r="O700" s="60"/>
    </row>
    <row r="701" spans="1:15">
      <c r="A701" s="60"/>
      <c r="B701" s="60" t="s">
        <v>672</v>
      </c>
      <c r="C701" s="60" t="s">
        <v>673</v>
      </c>
      <c r="D701" s="60" t="s">
        <v>749</v>
      </c>
      <c r="E701" s="60" t="s">
        <v>275</v>
      </c>
      <c r="F701" s="60" t="s">
        <v>276</v>
      </c>
      <c r="G701" s="60" t="s">
        <v>276</v>
      </c>
      <c r="H701" s="60" t="s">
        <v>277</v>
      </c>
      <c r="I701" s="60" t="b">
        <v>0</v>
      </c>
      <c r="J701" s="60">
        <v>2</v>
      </c>
      <c r="K701" s="60">
        <v>666.6</v>
      </c>
      <c r="L701" s="61">
        <v>608502151</v>
      </c>
      <c r="M701" s="61">
        <v>1300000084770689</v>
      </c>
      <c r="N701" s="60" t="s">
        <v>772</v>
      </c>
      <c r="O701" s="60"/>
    </row>
    <row r="702" spans="1:15">
      <c r="A702" s="60"/>
      <c r="B702" s="60" t="s">
        <v>672</v>
      </c>
      <c r="C702" s="60" t="s">
        <v>673</v>
      </c>
      <c r="D702" s="60" t="s">
        <v>749</v>
      </c>
      <c r="E702" s="60" t="s">
        <v>275</v>
      </c>
      <c r="F702" s="60" t="s">
        <v>276</v>
      </c>
      <c r="G702" s="60" t="s">
        <v>276</v>
      </c>
      <c r="H702" s="60" t="s">
        <v>277</v>
      </c>
      <c r="I702" s="60" t="b">
        <v>0</v>
      </c>
      <c r="J702" s="60">
        <v>2</v>
      </c>
      <c r="K702" s="60">
        <v>666.6</v>
      </c>
      <c r="L702" s="61">
        <v>608502153</v>
      </c>
      <c r="M702" s="61">
        <v>1300000084770689</v>
      </c>
      <c r="N702" s="60" t="s">
        <v>772</v>
      </c>
      <c r="O702" s="60"/>
    </row>
    <row r="703" spans="1:15">
      <c r="A703" s="60"/>
      <c r="B703" s="60" t="s">
        <v>672</v>
      </c>
      <c r="C703" s="60" t="s">
        <v>673</v>
      </c>
      <c r="D703" s="60" t="s">
        <v>749</v>
      </c>
      <c r="E703" s="60" t="s">
        <v>275</v>
      </c>
      <c r="F703" s="60" t="s">
        <v>276</v>
      </c>
      <c r="G703" s="60" t="s">
        <v>276</v>
      </c>
      <c r="H703" s="60" t="s">
        <v>277</v>
      </c>
      <c r="I703" s="60" t="b">
        <v>0</v>
      </c>
      <c r="J703" s="60">
        <v>28</v>
      </c>
      <c r="K703" s="60">
        <v>666.6</v>
      </c>
      <c r="L703" s="61">
        <v>608502152</v>
      </c>
      <c r="M703" s="61">
        <v>1300000084770689</v>
      </c>
      <c r="N703" s="60" t="s">
        <v>772</v>
      </c>
      <c r="O703" s="60"/>
    </row>
    <row r="704" spans="1:15">
      <c r="A704" s="60"/>
      <c r="B704" s="60" t="s">
        <v>672</v>
      </c>
      <c r="C704" s="60" t="s">
        <v>673</v>
      </c>
      <c r="D704" s="60" t="s">
        <v>749</v>
      </c>
      <c r="E704" s="60" t="s">
        <v>275</v>
      </c>
      <c r="F704" s="60" t="s">
        <v>276</v>
      </c>
      <c r="G704" s="60" t="s">
        <v>276</v>
      </c>
      <c r="H704" s="60" t="s">
        <v>277</v>
      </c>
      <c r="I704" s="60" t="b">
        <v>0</v>
      </c>
      <c r="J704" s="60">
        <v>3</v>
      </c>
      <c r="K704" s="60">
        <v>666.5</v>
      </c>
      <c r="L704" s="61">
        <v>608502144</v>
      </c>
      <c r="M704" s="61">
        <v>1300000084770689</v>
      </c>
      <c r="N704" s="60" t="s">
        <v>772</v>
      </c>
      <c r="O704" s="60"/>
    </row>
    <row r="705" spans="1:15">
      <c r="A705" s="60"/>
      <c r="B705" s="60" t="s">
        <v>672</v>
      </c>
      <c r="C705" s="60" t="s">
        <v>673</v>
      </c>
      <c r="D705" s="60" t="s">
        <v>749</v>
      </c>
      <c r="E705" s="60" t="s">
        <v>275</v>
      </c>
      <c r="F705" s="60" t="s">
        <v>276</v>
      </c>
      <c r="G705" s="60" t="s">
        <v>276</v>
      </c>
      <c r="H705" s="60" t="s">
        <v>277</v>
      </c>
      <c r="I705" s="60" t="b">
        <v>0</v>
      </c>
      <c r="J705" s="60">
        <v>4</v>
      </c>
      <c r="K705" s="60">
        <v>666.45</v>
      </c>
      <c r="L705" s="61">
        <v>608502143</v>
      </c>
      <c r="M705" s="61">
        <v>1300000084770689</v>
      </c>
      <c r="N705" s="60" t="s">
        <v>772</v>
      </c>
      <c r="O705" s="60"/>
    </row>
    <row r="706" spans="1:15">
      <c r="A706" s="60"/>
      <c r="B706" s="60" t="s">
        <v>672</v>
      </c>
      <c r="C706" s="60" t="s">
        <v>673</v>
      </c>
      <c r="D706" s="60" t="s">
        <v>749</v>
      </c>
      <c r="E706" s="60" t="s">
        <v>275</v>
      </c>
      <c r="F706" s="60" t="s">
        <v>276</v>
      </c>
      <c r="G706" s="60" t="s">
        <v>276</v>
      </c>
      <c r="H706" s="60" t="s">
        <v>277</v>
      </c>
      <c r="I706" s="60" t="b">
        <v>0</v>
      </c>
      <c r="J706" s="60">
        <v>6</v>
      </c>
      <c r="K706" s="60">
        <v>666.6</v>
      </c>
      <c r="L706" s="61">
        <v>608502147</v>
      </c>
      <c r="M706" s="61">
        <v>1300000084770689</v>
      </c>
      <c r="N706" s="60" t="s">
        <v>772</v>
      </c>
      <c r="O706" s="60"/>
    </row>
    <row r="707" spans="1:15">
      <c r="A707" s="60"/>
      <c r="B707" s="60" t="s">
        <v>672</v>
      </c>
      <c r="C707" s="60" t="s">
        <v>673</v>
      </c>
      <c r="D707" s="60" t="s">
        <v>749</v>
      </c>
      <c r="E707" s="60" t="s">
        <v>275</v>
      </c>
      <c r="F707" s="60" t="s">
        <v>276</v>
      </c>
      <c r="G707" s="60" t="s">
        <v>276</v>
      </c>
      <c r="H707" s="60" t="s">
        <v>277</v>
      </c>
      <c r="I707" s="60" t="b">
        <v>0</v>
      </c>
      <c r="J707" s="60">
        <v>6</v>
      </c>
      <c r="K707" s="60">
        <v>666.6</v>
      </c>
      <c r="L707" s="61">
        <v>608502148</v>
      </c>
      <c r="M707" s="61">
        <v>1300000084770689</v>
      </c>
      <c r="N707" s="60" t="s">
        <v>772</v>
      </c>
      <c r="O707" s="60"/>
    </row>
    <row r="708" spans="1:15">
      <c r="A708" s="60"/>
      <c r="B708" s="60" t="s">
        <v>672</v>
      </c>
      <c r="C708" s="60" t="s">
        <v>673</v>
      </c>
      <c r="D708" s="60" t="s">
        <v>749</v>
      </c>
      <c r="E708" s="60" t="s">
        <v>275</v>
      </c>
      <c r="F708" s="60" t="s">
        <v>276</v>
      </c>
      <c r="G708" s="60" t="s">
        <v>276</v>
      </c>
      <c r="H708" s="60" t="s">
        <v>277</v>
      </c>
      <c r="I708" s="60" t="b">
        <v>0</v>
      </c>
      <c r="J708" s="60">
        <v>7</v>
      </c>
      <c r="K708" s="60">
        <v>666.4</v>
      </c>
      <c r="L708" s="61">
        <v>608502142</v>
      </c>
      <c r="M708" s="61">
        <v>1300000084770689</v>
      </c>
      <c r="N708" s="60" t="s">
        <v>772</v>
      </c>
      <c r="O708" s="60"/>
    </row>
    <row r="709" spans="1:15">
      <c r="A709" s="60"/>
      <c r="B709" s="60" t="s">
        <v>173</v>
      </c>
      <c r="C709" s="60" t="s">
        <v>561</v>
      </c>
      <c r="D709" s="60" t="s">
        <v>749</v>
      </c>
      <c r="E709" s="60" t="s">
        <v>275</v>
      </c>
      <c r="F709" s="60" t="s">
        <v>276</v>
      </c>
      <c r="G709" s="60" t="s">
        <v>276</v>
      </c>
      <c r="H709" s="60" t="s">
        <v>277</v>
      </c>
      <c r="I709" s="60" t="b">
        <v>0</v>
      </c>
      <c r="J709" s="60">
        <v>1</v>
      </c>
      <c r="K709" s="60">
        <v>1470.9</v>
      </c>
      <c r="L709" s="61">
        <v>2865525</v>
      </c>
      <c r="M709" s="61">
        <v>1000000031225905</v>
      </c>
      <c r="N709" s="60" t="s">
        <v>773</v>
      </c>
      <c r="O709" s="60"/>
    </row>
    <row r="710" spans="1:15">
      <c r="A710" s="60"/>
      <c r="B710" s="60" t="s">
        <v>173</v>
      </c>
      <c r="C710" s="60" t="s">
        <v>561</v>
      </c>
      <c r="D710" s="60" t="s">
        <v>749</v>
      </c>
      <c r="E710" s="60" t="s">
        <v>275</v>
      </c>
      <c r="F710" s="60" t="s">
        <v>276</v>
      </c>
      <c r="G710" s="60" t="s">
        <v>276</v>
      </c>
      <c r="H710" s="60" t="s">
        <v>277</v>
      </c>
      <c r="I710" s="60" t="b">
        <v>0</v>
      </c>
      <c r="J710" s="60">
        <v>2</v>
      </c>
      <c r="K710" s="60">
        <v>1470.9</v>
      </c>
      <c r="L710" s="61">
        <v>2865524</v>
      </c>
      <c r="M710" s="61">
        <v>1000000031225905</v>
      </c>
      <c r="N710" s="60" t="s">
        <v>773</v>
      </c>
      <c r="O710" s="60"/>
    </row>
    <row r="711" spans="1:15">
      <c r="A711" s="60"/>
      <c r="B711" s="60" t="s">
        <v>173</v>
      </c>
      <c r="C711" s="60" t="s">
        <v>561</v>
      </c>
      <c r="D711" s="60" t="s">
        <v>749</v>
      </c>
      <c r="E711" s="60" t="s">
        <v>275</v>
      </c>
      <c r="F711" s="60" t="s">
        <v>276</v>
      </c>
      <c r="G711" s="60" t="s">
        <v>276</v>
      </c>
      <c r="H711" s="60" t="s">
        <v>277</v>
      </c>
      <c r="I711" s="60" t="b">
        <v>0</v>
      </c>
      <c r="J711" s="60">
        <v>30</v>
      </c>
      <c r="K711" s="60">
        <v>1471.2</v>
      </c>
      <c r="L711" s="61">
        <v>2865527</v>
      </c>
      <c r="M711" s="61">
        <v>1000000031225905</v>
      </c>
      <c r="N711" s="60" t="s">
        <v>773</v>
      </c>
      <c r="O711" s="60"/>
    </row>
    <row r="712" spans="1:15">
      <c r="A712" s="60"/>
      <c r="B712" s="60" t="s">
        <v>173</v>
      </c>
      <c r="C712" s="60" t="s">
        <v>561</v>
      </c>
      <c r="D712" s="60" t="s">
        <v>749</v>
      </c>
      <c r="E712" s="60" t="s">
        <v>275</v>
      </c>
      <c r="F712" s="60" t="s">
        <v>276</v>
      </c>
      <c r="G712" s="60" t="s">
        <v>276</v>
      </c>
      <c r="H712" s="60" t="s">
        <v>277</v>
      </c>
      <c r="I712" s="60" t="b">
        <v>0</v>
      </c>
      <c r="J712" s="60">
        <v>35</v>
      </c>
      <c r="K712" s="60">
        <v>1471</v>
      </c>
      <c r="L712" s="61">
        <v>2865526</v>
      </c>
      <c r="M712" s="61">
        <v>1000000031225905</v>
      </c>
      <c r="N712" s="60" t="s">
        <v>773</v>
      </c>
      <c r="O712" s="60"/>
    </row>
    <row r="713" spans="1:15">
      <c r="A713" s="60"/>
      <c r="B713" s="60" t="s">
        <v>236</v>
      </c>
      <c r="C713" s="60" t="s">
        <v>622</v>
      </c>
      <c r="D713" s="60" t="s">
        <v>749</v>
      </c>
      <c r="E713" s="60" t="s">
        <v>275</v>
      </c>
      <c r="F713" s="60" t="s">
        <v>276</v>
      </c>
      <c r="G713" s="60" t="s">
        <v>276</v>
      </c>
      <c r="H713" s="60" t="s">
        <v>277</v>
      </c>
      <c r="I713" s="60" t="b">
        <v>0</v>
      </c>
      <c r="J713" s="60">
        <v>17</v>
      </c>
      <c r="K713" s="60">
        <v>433.35</v>
      </c>
      <c r="L713" s="61">
        <v>403337039</v>
      </c>
      <c r="M713" s="61">
        <v>1200000036693737</v>
      </c>
      <c r="N713" s="60" t="s">
        <v>774</v>
      </c>
      <c r="O713" s="60"/>
    </row>
    <row r="714" spans="1:15">
      <c r="A714" s="60"/>
      <c r="B714" s="60" t="s">
        <v>236</v>
      </c>
      <c r="C714" s="60" t="s">
        <v>622</v>
      </c>
      <c r="D714" s="60" t="s">
        <v>749</v>
      </c>
      <c r="E714" s="60" t="s">
        <v>275</v>
      </c>
      <c r="F714" s="60" t="s">
        <v>276</v>
      </c>
      <c r="G714" s="60" t="s">
        <v>276</v>
      </c>
      <c r="H714" s="60" t="s">
        <v>277</v>
      </c>
      <c r="I714" s="60" t="b">
        <v>0</v>
      </c>
      <c r="J714" s="60">
        <v>44</v>
      </c>
      <c r="K714" s="60">
        <v>433.35</v>
      </c>
      <c r="L714" s="61">
        <v>403337037</v>
      </c>
      <c r="M714" s="61">
        <v>1200000036693737</v>
      </c>
      <c r="N714" s="60" t="s">
        <v>774</v>
      </c>
      <c r="O714" s="60"/>
    </row>
    <row r="715" spans="1:15">
      <c r="A715" s="60"/>
      <c r="B715" s="60" t="s">
        <v>236</v>
      </c>
      <c r="C715" s="60" t="s">
        <v>622</v>
      </c>
      <c r="D715" s="60" t="s">
        <v>749</v>
      </c>
      <c r="E715" s="60" t="s">
        <v>275</v>
      </c>
      <c r="F715" s="60" t="s">
        <v>276</v>
      </c>
      <c r="G715" s="60" t="s">
        <v>276</v>
      </c>
      <c r="H715" s="60" t="s">
        <v>277</v>
      </c>
      <c r="I715" s="60" t="b">
        <v>0</v>
      </c>
      <c r="J715" s="60">
        <v>46</v>
      </c>
      <c r="K715" s="60">
        <v>433.35</v>
      </c>
      <c r="L715" s="61">
        <v>403337038</v>
      </c>
      <c r="M715" s="61">
        <v>1200000036693737</v>
      </c>
      <c r="N715" s="60" t="s">
        <v>774</v>
      </c>
      <c r="O715" s="60"/>
    </row>
    <row r="716" spans="1:15">
      <c r="A716" s="60"/>
      <c r="B716" s="60" t="s">
        <v>236</v>
      </c>
      <c r="C716" s="60" t="s">
        <v>622</v>
      </c>
      <c r="D716" s="60" t="s">
        <v>749</v>
      </c>
      <c r="E716" s="60" t="s">
        <v>275</v>
      </c>
      <c r="F716" s="60" t="s">
        <v>276</v>
      </c>
      <c r="G716" s="60" t="s">
        <v>276</v>
      </c>
      <c r="H716" s="60" t="s">
        <v>277</v>
      </c>
      <c r="I716" s="60" t="b">
        <v>0</v>
      </c>
      <c r="J716" s="60">
        <v>9</v>
      </c>
      <c r="K716" s="60">
        <v>433.35</v>
      </c>
      <c r="L716" s="61">
        <v>403337036</v>
      </c>
      <c r="M716" s="61">
        <v>1200000036693737</v>
      </c>
      <c r="N716" s="60" t="s">
        <v>774</v>
      </c>
      <c r="O716" s="60"/>
    </row>
    <row r="717" spans="1:15">
      <c r="A717" s="60"/>
      <c r="B717" s="60" t="s">
        <v>254</v>
      </c>
      <c r="C717" s="60" t="s">
        <v>775</v>
      </c>
      <c r="D717" s="60" t="s">
        <v>749</v>
      </c>
      <c r="E717" s="60" t="s">
        <v>275</v>
      </c>
      <c r="F717" s="60" t="s">
        <v>276</v>
      </c>
      <c r="G717" s="60" t="s">
        <v>276</v>
      </c>
      <c r="H717" s="60" t="s">
        <v>277</v>
      </c>
      <c r="I717" s="60" t="b">
        <v>0</v>
      </c>
      <c r="J717" s="60">
        <v>37</v>
      </c>
      <c r="K717" s="60">
        <v>679.2</v>
      </c>
      <c r="L717" s="61">
        <v>205205804</v>
      </c>
      <c r="M717" s="61">
        <v>1100000053207896</v>
      </c>
      <c r="N717" s="60" t="s">
        <v>776</v>
      </c>
      <c r="O717" s="60"/>
    </row>
    <row r="718" spans="1:15">
      <c r="A718" s="60"/>
      <c r="B718" s="60" t="s">
        <v>254</v>
      </c>
      <c r="C718" s="60" t="s">
        <v>775</v>
      </c>
      <c r="D718" s="60" t="s">
        <v>777</v>
      </c>
      <c r="E718" s="60" t="s">
        <v>275</v>
      </c>
      <c r="F718" s="60" t="s">
        <v>276</v>
      </c>
      <c r="G718" s="60" t="s">
        <v>276</v>
      </c>
      <c r="H718" s="60" t="s">
        <v>277</v>
      </c>
      <c r="I718" s="60" t="b">
        <v>0</v>
      </c>
      <c r="J718" s="60">
        <v>15</v>
      </c>
      <c r="K718" s="60">
        <v>700.5</v>
      </c>
      <c r="L718" s="61">
        <v>204601762</v>
      </c>
      <c r="M718" s="61">
        <v>1100000043323008</v>
      </c>
      <c r="N718" s="60" t="s">
        <v>778</v>
      </c>
      <c r="O718" s="60"/>
    </row>
    <row r="719" spans="1:15">
      <c r="A719" s="60"/>
      <c r="B719" s="60" t="s">
        <v>254</v>
      </c>
      <c r="C719" s="60" t="s">
        <v>775</v>
      </c>
      <c r="D719" s="60" t="s">
        <v>777</v>
      </c>
      <c r="E719" s="60" t="s">
        <v>275</v>
      </c>
      <c r="F719" s="60" t="s">
        <v>276</v>
      </c>
      <c r="G719" s="60" t="s">
        <v>276</v>
      </c>
      <c r="H719" s="60" t="s">
        <v>277</v>
      </c>
      <c r="I719" s="60" t="b">
        <v>0</v>
      </c>
      <c r="J719" s="60">
        <v>42</v>
      </c>
      <c r="K719" s="60">
        <v>700.5</v>
      </c>
      <c r="L719" s="61">
        <v>204601763</v>
      </c>
      <c r="M719" s="61">
        <v>1100000043323008</v>
      </c>
      <c r="N719" s="60" t="s">
        <v>778</v>
      </c>
      <c r="O719" s="60"/>
    </row>
    <row r="720" spans="1:15">
      <c r="A720" s="60"/>
      <c r="B720" s="60" t="s">
        <v>254</v>
      </c>
      <c r="C720" s="60" t="s">
        <v>775</v>
      </c>
      <c r="D720" s="60" t="s">
        <v>777</v>
      </c>
      <c r="E720" s="60" t="s">
        <v>275</v>
      </c>
      <c r="F720" s="60" t="s">
        <v>276</v>
      </c>
      <c r="G720" s="60" t="s">
        <v>276</v>
      </c>
      <c r="H720" s="60" t="s">
        <v>277</v>
      </c>
      <c r="I720" s="60" t="b">
        <v>0</v>
      </c>
      <c r="J720" s="60">
        <v>50</v>
      </c>
      <c r="K720" s="60">
        <v>700.6</v>
      </c>
      <c r="L720" s="61">
        <v>204601764</v>
      </c>
      <c r="M720" s="61">
        <v>1100000043323008</v>
      </c>
      <c r="N720" s="60" t="s">
        <v>778</v>
      </c>
      <c r="O720" s="60"/>
    </row>
    <row r="721" spans="1:15">
      <c r="A721" s="60"/>
      <c r="B721" s="60" t="s">
        <v>105</v>
      </c>
      <c r="C721" s="60" t="s">
        <v>443</v>
      </c>
      <c r="D721" s="60" t="s">
        <v>779</v>
      </c>
      <c r="E721" s="60" t="s">
        <v>332</v>
      </c>
      <c r="F721" s="60" t="s">
        <v>276</v>
      </c>
      <c r="G721" s="60" t="s">
        <v>457</v>
      </c>
      <c r="H721" s="60" t="s">
        <v>277</v>
      </c>
      <c r="I721" s="60" t="b">
        <v>0</v>
      </c>
      <c r="J721" s="60">
        <v>680</v>
      </c>
      <c r="K721" s="60">
        <v>160</v>
      </c>
      <c r="L721" s="61">
        <v>8722600</v>
      </c>
      <c r="M721" s="61">
        <v>1.7812573765310221E+18</v>
      </c>
      <c r="N721" s="60" t="s">
        <v>780</v>
      </c>
      <c r="O721" s="60"/>
    </row>
    <row r="722" spans="1:15">
      <c r="A722" s="60"/>
      <c r="B722" s="60" t="s">
        <v>121</v>
      </c>
      <c r="C722" s="60" t="s">
        <v>619</v>
      </c>
      <c r="D722" s="60" t="s">
        <v>779</v>
      </c>
      <c r="E722" s="60" t="s">
        <v>275</v>
      </c>
      <c r="F722" s="60" t="s">
        <v>276</v>
      </c>
      <c r="G722" s="60" t="s">
        <v>276</v>
      </c>
      <c r="H722" s="60" t="s">
        <v>277</v>
      </c>
      <c r="I722" s="60" t="b">
        <v>0</v>
      </c>
      <c r="J722" s="60">
        <v>22</v>
      </c>
      <c r="K722" s="60">
        <v>705.4</v>
      </c>
      <c r="L722" s="61">
        <v>607827154</v>
      </c>
      <c r="M722" s="61">
        <v>1300000083747709</v>
      </c>
      <c r="N722" s="60" t="s">
        <v>781</v>
      </c>
      <c r="O722" s="60"/>
    </row>
    <row r="723" spans="1:15">
      <c r="A723" s="60"/>
      <c r="B723" s="60" t="s">
        <v>121</v>
      </c>
      <c r="C723" s="60" t="s">
        <v>619</v>
      </c>
      <c r="D723" s="60" t="s">
        <v>779</v>
      </c>
      <c r="E723" s="60" t="s">
        <v>275</v>
      </c>
      <c r="F723" s="60" t="s">
        <v>276</v>
      </c>
      <c r="G723" s="60" t="s">
        <v>276</v>
      </c>
      <c r="H723" s="60" t="s">
        <v>277</v>
      </c>
      <c r="I723" s="60" t="b">
        <v>0</v>
      </c>
      <c r="J723" s="60">
        <v>49</v>
      </c>
      <c r="K723" s="60">
        <v>705.4</v>
      </c>
      <c r="L723" s="61">
        <v>607827153</v>
      </c>
      <c r="M723" s="61">
        <v>1300000083747709</v>
      </c>
      <c r="N723" s="60" t="s">
        <v>781</v>
      </c>
      <c r="O723" s="60"/>
    </row>
    <row r="724" spans="1:15">
      <c r="A724" s="60"/>
      <c r="B724" s="60" t="s">
        <v>182</v>
      </c>
      <c r="C724" s="60" t="s">
        <v>603</v>
      </c>
      <c r="D724" s="60" t="s">
        <v>779</v>
      </c>
      <c r="E724" s="60" t="s">
        <v>275</v>
      </c>
      <c r="F724" s="60" t="s">
        <v>276</v>
      </c>
      <c r="G724" s="60" t="s">
        <v>276</v>
      </c>
      <c r="H724" s="60" t="s">
        <v>277</v>
      </c>
      <c r="I724" s="60" t="b">
        <v>0</v>
      </c>
      <c r="J724" s="60">
        <v>47</v>
      </c>
      <c r="K724" s="60">
        <v>2134</v>
      </c>
      <c r="L724" s="61">
        <v>7892650</v>
      </c>
      <c r="M724" s="61">
        <v>1000000083805469</v>
      </c>
      <c r="N724" s="60" t="s">
        <v>782</v>
      </c>
      <c r="O724" s="60"/>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61"/>
  <sheetViews>
    <sheetView workbookViewId="0">
      <pane ySplit="1" topLeftCell="A2" activePane="bottomLeft" state="frozen"/>
      <selection pane="bottomLeft" activeCell="A2" sqref="A2"/>
    </sheetView>
  </sheetViews>
  <sheetFormatPr defaultRowHeight="15"/>
  <cols>
    <col min="1" max="3" width="12" customWidth="1"/>
    <col min="4" max="4" width="16" customWidth="1"/>
    <col min="5" max="5" width="15" customWidth="1"/>
    <col min="6" max="7" width="16" customWidth="1"/>
  </cols>
  <sheetData>
    <row r="1" spans="1:7">
      <c r="A1" s="72" t="s">
        <v>261</v>
      </c>
      <c r="B1" s="72" t="s">
        <v>77</v>
      </c>
      <c r="C1" s="72" t="s">
        <v>265</v>
      </c>
      <c r="D1" s="72" t="s">
        <v>783</v>
      </c>
      <c r="E1" s="72" t="s">
        <v>784</v>
      </c>
      <c r="F1" s="72" t="s">
        <v>785</v>
      </c>
      <c r="G1" s="72" t="s">
        <v>786</v>
      </c>
    </row>
    <row r="2" spans="1:7">
      <c r="A2" s="60" t="s">
        <v>274</v>
      </c>
      <c r="B2" s="60" t="s">
        <v>287</v>
      </c>
      <c r="C2" s="60" t="s">
        <v>277</v>
      </c>
      <c r="D2" s="60">
        <v>25</v>
      </c>
      <c r="E2" s="62">
        <v>3662.7</v>
      </c>
      <c r="F2" s="62">
        <v>91567.5</v>
      </c>
      <c r="G2" s="60" t="s">
        <v>46</v>
      </c>
    </row>
    <row r="3" spans="1:7">
      <c r="A3" s="60" t="s">
        <v>274</v>
      </c>
      <c r="B3" s="60" t="s">
        <v>272</v>
      </c>
      <c r="C3" s="60" t="s">
        <v>277</v>
      </c>
      <c r="D3" s="60">
        <v>13</v>
      </c>
      <c r="E3" s="62">
        <v>7343</v>
      </c>
      <c r="F3" s="62">
        <v>95459</v>
      </c>
      <c r="G3" s="60" t="s">
        <v>46</v>
      </c>
    </row>
    <row r="4" spans="1:7">
      <c r="A4" s="60" t="s">
        <v>274</v>
      </c>
      <c r="B4" s="60" t="s">
        <v>108</v>
      </c>
      <c r="C4" s="60" t="s">
        <v>277</v>
      </c>
      <c r="D4" s="60">
        <v>168</v>
      </c>
      <c r="E4" s="62">
        <v>543</v>
      </c>
      <c r="F4" s="62">
        <v>91224</v>
      </c>
      <c r="G4" s="60" t="s">
        <v>46</v>
      </c>
    </row>
    <row r="5" spans="1:7">
      <c r="A5" s="60" t="s">
        <v>274</v>
      </c>
      <c r="B5" s="60" t="s">
        <v>284</v>
      </c>
      <c r="C5" s="60" t="s">
        <v>277</v>
      </c>
      <c r="D5" s="60">
        <v>20</v>
      </c>
      <c r="E5" s="62">
        <v>4509</v>
      </c>
      <c r="F5" s="62">
        <v>90180</v>
      </c>
      <c r="G5" s="60" t="s">
        <v>46</v>
      </c>
    </row>
    <row r="6" spans="1:7">
      <c r="A6" s="60" t="s">
        <v>274</v>
      </c>
      <c r="B6" s="60" t="s">
        <v>127</v>
      </c>
      <c r="C6" s="60" t="s">
        <v>277</v>
      </c>
      <c r="D6" s="60">
        <v>116</v>
      </c>
      <c r="E6" s="62">
        <v>844.15</v>
      </c>
      <c r="F6" s="62">
        <v>97921.4</v>
      </c>
      <c r="G6" s="60" t="s">
        <v>46</v>
      </c>
    </row>
    <row r="7" spans="1:7">
      <c r="A7" s="60" t="s">
        <v>274</v>
      </c>
      <c r="B7" s="60" t="s">
        <v>290</v>
      </c>
      <c r="C7" s="60" t="s">
        <v>277</v>
      </c>
      <c r="D7" s="60">
        <v>19</v>
      </c>
      <c r="E7" s="62">
        <v>4724.03</v>
      </c>
      <c r="F7" s="62">
        <v>89756.6</v>
      </c>
      <c r="G7" s="60" t="s">
        <v>46</v>
      </c>
    </row>
    <row r="8" spans="1:7">
      <c r="A8" s="60" t="s">
        <v>274</v>
      </c>
      <c r="B8" s="60" t="s">
        <v>279</v>
      </c>
      <c r="C8" s="60" t="s">
        <v>277</v>
      </c>
      <c r="D8" s="60">
        <v>64</v>
      </c>
      <c r="E8" s="62">
        <v>1548.9</v>
      </c>
      <c r="F8" s="62">
        <v>99129.600000000006</v>
      </c>
      <c r="G8" s="60" t="s">
        <v>46</v>
      </c>
    </row>
    <row r="9" spans="1:7">
      <c r="A9" s="60" t="s">
        <v>297</v>
      </c>
      <c r="B9" s="60" t="s">
        <v>302</v>
      </c>
      <c r="C9" s="60" t="s">
        <v>277</v>
      </c>
      <c r="D9" s="60">
        <v>37</v>
      </c>
      <c r="E9" s="62">
        <v>1289.2</v>
      </c>
      <c r="F9" s="62">
        <v>47700.4</v>
      </c>
      <c r="G9" s="60" t="s">
        <v>34</v>
      </c>
    </row>
    <row r="10" spans="1:7">
      <c r="A10" s="60" t="s">
        <v>297</v>
      </c>
      <c r="B10" s="60" t="s">
        <v>299</v>
      </c>
      <c r="C10" s="60" t="s">
        <v>277</v>
      </c>
      <c r="D10" s="60">
        <v>48</v>
      </c>
      <c r="E10" s="62">
        <v>517.1</v>
      </c>
      <c r="F10" s="62">
        <v>24820.799999999999</v>
      </c>
      <c r="G10" s="60" t="s">
        <v>34</v>
      </c>
    </row>
    <row r="11" spans="1:7">
      <c r="A11" s="60" t="s">
        <v>297</v>
      </c>
      <c r="B11" s="60" t="s">
        <v>305</v>
      </c>
      <c r="C11" s="60" t="s">
        <v>277</v>
      </c>
      <c r="D11" s="60">
        <v>60</v>
      </c>
      <c r="E11" s="62">
        <v>1562.4</v>
      </c>
      <c r="F11" s="62">
        <v>93744</v>
      </c>
      <c r="G11" s="60" t="s">
        <v>46</v>
      </c>
    </row>
    <row r="12" spans="1:7">
      <c r="A12" s="60" t="s">
        <v>297</v>
      </c>
      <c r="B12" s="60" t="s">
        <v>295</v>
      </c>
      <c r="C12" s="60" t="s">
        <v>277</v>
      </c>
      <c r="D12" s="60">
        <v>140</v>
      </c>
      <c r="E12" s="62">
        <v>175.36</v>
      </c>
      <c r="F12" s="62">
        <v>24550.400000000001</v>
      </c>
      <c r="G12" s="60" t="s">
        <v>34</v>
      </c>
    </row>
    <row r="13" spans="1:7">
      <c r="A13" s="60" t="s">
        <v>309</v>
      </c>
      <c r="B13" s="60" t="s">
        <v>169</v>
      </c>
      <c r="C13" s="60" t="s">
        <v>277</v>
      </c>
      <c r="D13" s="60">
        <v>33</v>
      </c>
      <c r="E13" s="62">
        <v>785.35</v>
      </c>
      <c r="F13" s="62">
        <v>25916.55</v>
      </c>
      <c r="G13" s="60" t="s">
        <v>34</v>
      </c>
    </row>
    <row r="14" spans="1:7">
      <c r="A14" s="60" t="s">
        <v>313</v>
      </c>
      <c r="B14" s="60" t="s">
        <v>311</v>
      </c>
      <c r="C14" s="60" t="s">
        <v>277</v>
      </c>
      <c r="D14" s="60">
        <v>35</v>
      </c>
      <c r="E14" s="62">
        <v>716.85</v>
      </c>
      <c r="F14" s="62">
        <v>25089.75</v>
      </c>
      <c r="G14" s="60" t="s">
        <v>34</v>
      </c>
    </row>
    <row r="15" spans="1:7">
      <c r="A15" s="60" t="s">
        <v>317</v>
      </c>
      <c r="B15" s="60" t="s">
        <v>295</v>
      </c>
      <c r="C15" s="60" t="s">
        <v>277</v>
      </c>
      <c r="D15" s="60">
        <v>131</v>
      </c>
      <c r="E15" s="62">
        <v>188.99</v>
      </c>
      <c r="F15" s="62">
        <v>24757.54</v>
      </c>
      <c r="G15" s="60" t="s">
        <v>40</v>
      </c>
    </row>
    <row r="16" spans="1:7">
      <c r="A16" s="60" t="s">
        <v>317</v>
      </c>
      <c r="B16" s="60" t="s">
        <v>299</v>
      </c>
      <c r="C16" s="60" t="s">
        <v>277</v>
      </c>
      <c r="D16" s="60">
        <v>87</v>
      </c>
      <c r="E16" s="62">
        <v>577.82000000000005</v>
      </c>
      <c r="F16" s="62">
        <v>50270.25</v>
      </c>
      <c r="G16" s="60" t="s">
        <v>40</v>
      </c>
    </row>
    <row r="17" spans="1:7">
      <c r="A17" s="60" t="s">
        <v>317</v>
      </c>
      <c r="B17" s="60" t="s">
        <v>315</v>
      </c>
      <c r="C17" s="60" t="s">
        <v>277</v>
      </c>
      <c r="D17" s="60">
        <v>220</v>
      </c>
      <c r="E17" s="62">
        <v>119.3</v>
      </c>
      <c r="F17" s="62">
        <v>26246</v>
      </c>
      <c r="G17" s="60" t="s">
        <v>34</v>
      </c>
    </row>
    <row r="18" spans="1:7">
      <c r="A18" s="60" t="s">
        <v>323</v>
      </c>
      <c r="B18" s="60" t="s">
        <v>321</v>
      </c>
      <c r="C18" s="60" t="s">
        <v>277</v>
      </c>
      <c r="D18" s="60">
        <v>57</v>
      </c>
      <c r="E18" s="62">
        <v>880</v>
      </c>
      <c r="F18" s="62">
        <v>50160</v>
      </c>
      <c r="G18" s="60" t="s">
        <v>34</v>
      </c>
    </row>
    <row r="19" spans="1:7">
      <c r="A19" s="60" t="s">
        <v>325</v>
      </c>
      <c r="B19" s="60" t="s">
        <v>287</v>
      </c>
      <c r="C19" s="60" t="s">
        <v>326</v>
      </c>
      <c r="D19" s="60">
        <v>25</v>
      </c>
      <c r="E19" s="62">
        <v>3390.5</v>
      </c>
      <c r="F19" s="62">
        <v>84762.5</v>
      </c>
      <c r="G19" s="60" t="s">
        <v>787</v>
      </c>
    </row>
    <row r="20" spans="1:7">
      <c r="A20" s="60" t="s">
        <v>325</v>
      </c>
      <c r="B20" s="60" t="s">
        <v>284</v>
      </c>
      <c r="C20" s="60" t="s">
        <v>326</v>
      </c>
      <c r="D20" s="60">
        <v>20</v>
      </c>
      <c r="E20" s="62">
        <v>4180.1499999999996</v>
      </c>
      <c r="F20" s="62">
        <v>83602.899999999994</v>
      </c>
      <c r="G20" s="60" t="s">
        <v>787</v>
      </c>
    </row>
    <row r="21" spans="1:7">
      <c r="A21" s="60" t="s">
        <v>325</v>
      </c>
      <c r="B21" s="60" t="s">
        <v>305</v>
      </c>
      <c r="C21" s="60" t="s">
        <v>326</v>
      </c>
      <c r="D21" s="60">
        <v>60</v>
      </c>
      <c r="E21" s="62">
        <v>1477.02</v>
      </c>
      <c r="F21" s="62">
        <v>88621.5</v>
      </c>
      <c r="G21" s="60" t="s">
        <v>787</v>
      </c>
    </row>
    <row r="22" spans="1:7">
      <c r="A22" s="60" t="s">
        <v>330</v>
      </c>
      <c r="B22" s="60" t="s">
        <v>295</v>
      </c>
      <c r="C22" s="60" t="s">
        <v>277</v>
      </c>
      <c r="D22" s="60">
        <v>250</v>
      </c>
      <c r="E22" s="62">
        <v>207</v>
      </c>
      <c r="F22" s="62">
        <v>51750</v>
      </c>
      <c r="G22" s="60" t="s">
        <v>46</v>
      </c>
    </row>
    <row r="23" spans="1:7">
      <c r="A23" s="60" t="s">
        <v>330</v>
      </c>
      <c r="B23" s="60" t="s">
        <v>315</v>
      </c>
      <c r="C23" s="60" t="s">
        <v>277</v>
      </c>
      <c r="D23" s="60">
        <v>734</v>
      </c>
      <c r="E23" s="62">
        <v>126.7</v>
      </c>
      <c r="F23" s="62">
        <v>92995.86</v>
      </c>
      <c r="G23" s="60" t="s">
        <v>46</v>
      </c>
    </row>
    <row r="24" spans="1:7">
      <c r="A24" s="60" t="s">
        <v>330</v>
      </c>
      <c r="B24" s="60" t="s">
        <v>335</v>
      </c>
      <c r="C24" s="60" t="s">
        <v>277</v>
      </c>
      <c r="D24" s="60">
        <v>188</v>
      </c>
      <c r="E24" s="62">
        <v>531.34</v>
      </c>
      <c r="F24" s="62">
        <v>99892.65</v>
      </c>
      <c r="G24" s="60" t="s">
        <v>46</v>
      </c>
    </row>
    <row r="25" spans="1:7">
      <c r="A25" s="60" t="s">
        <v>330</v>
      </c>
      <c r="B25" s="60" t="s">
        <v>187</v>
      </c>
      <c r="C25" s="60" t="s">
        <v>277</v>
      </c>
      <c r="D25" s="60">
        <v>129</v>
      </c>
      <c r="E25" s="62">
        <v>775.7</v>
      </c>
      <c r="F25" s="62">
        <v>100065.3</v>
      </c>
      <c r="G25" s="60" t="s">
        <v>46</v>
      </c>
    </row>
    <row r="26" spans="1:7">
      <c r="A26" s="60" t="s">
        <v>330</v>
      </c>
      <c r="B26" s="60" t="s">
        <v>299</v>
      </c>
      <c r="C26" s="60" t="s">
        <v>277</v>
      </c>
      <c r="D26" s="60">
        <v>163</v>
      </c>
      <c r="E26" s="62">
        <v>612.20000000000005</v>
      </c>
      <c r="F26" s="62">
        <v>99788.6</v>
      </c>
      <c r="G26" s="60" t="s">
        <v>46</v>
      </c>
    </row>
    <row r="27" spans="1:7">
      <c r="A27" s="60" t="s">
        <v>330</v>
      </c>
      <c r="B27" s="60" t="s">
        <v>338</v>
      </c>
      <c r="C27" s="60" t="s">
        <v>277</v>
      </c>
      <c r="D27" s="60">
        <v>104</v>
      </c>
      <c r="E27" s="62">
        <v>210.49</v>
      </c>
      <c r="F27" s="62">
        <v>21890.69</v>
      </c>
      <c r="G27" s="60" t="s">
        <v>34</v>
      </c>
    </row>
    <row r="28" spans="1:7">
      <c r="A28" s="60" t="s">
        <v>344</v>
      </c>
      <c r="B28" s="60" t="s">
        <v>321</v>
      </c>
      <c r="C28" s="60" t="s">
        <v>326</v>
      </c>
      <c r="D28" s="60">
        <v>57</v>
      </c>
      <c r="E28" s="62">
        <v>786.85</v>
      </c>
      <c r="F28" s="62">
        <v>44850.6</v>
      </c>
      <c r="G28" s="60" t="s">
        <v>787</v>
      </c>
    </row>
    <row r="29" spans="1:7">
      <c r="A29" s="60" t="s">
        <v>346</v>
      </c>
      <c r="B29" s="60" t="s">
        <v>272</v>
      </c>
      <c r="C29" s="60" t="s">
        <v>277</v>
      </c>
      <c r="D29" s="60">
        <v>13</v>
      </c>
      <c r="E29" s="62">
        <v>7609</v>
      </c>
      <c r="F29" s="62">
        <v>98917</v>
      </c>
      <c r="G29" s="60" t="s">
        <v>48</v>
      </c>
    </row>
    <row r="30" spans="1:7">
      <c r="A30" s="60" t="s">
        <v>348</v>
      </c>
      <c r="B30" s="60" t="s">
        <v>295</v>
      </c>
      <c r="C30" s="60" t="s">
        <v>277</v>
      </c>
      <c r="D30" s="60">
        <v>150</v>
      </c>
      <c r="E30" s="62">
        <v>190.91</v>
      </c>
      <c r="F30" s="62">
        <v>28635.84</v>
      </c>
      <c r="G30" s="60" t="s">
        <v>48</v>
      </c>
    </row>
    <row r="31" spans="1:7">
      <c r="A31" s="60" t="s">
        <v>348</v>
      </c>
      <c r="B31" s="60" t="s">
        <v>315</v>
      </c>
      <c r="C31" s="60" t="s">
        <v>277</v>
      </c>
      <c r="D31" s="60">
        <v>784</v>
      </c>
      <c r="E31" s="62">
        <v>127.5</v>
      </c>
      <c r="F31" s="62">
        <v>99956.44</v>
      </c>
      <c r="G31" s="60" t="s">
        <v>50</v>
      </c>
    </row>
    <row r="32" spans="1:7">
      <c r="A32" s="60" t="s">
        <v>353</v>
      </c>
      <c r="B32" s="60" t="s">
        <v>351</v>
      </c>
      <c r="C32" s="60" t="s">
        <v>277</v>
      </c>
      <c r="D32" s="60">
        <v>94</v>
      </c>
      <c r="E32" s="62">
        <v>1064.5999999999999</v>
      </c>
      <c r="F32" s="62">
        <v>100072.4</v>
      </c>
      <c r="G32" s="60" t="s">
        <v>46</v>
      </c>
    </row>
    <row r="33" spans="1:7">
      <c r="A33" s="60" t="s">
        <v>353</v>
      </c>
      <c r="B33" s="60" t="s">
        <v>127</v>
      </c>
      <c r="C33" s="60" t="s">
        <v>277</v>
      </c>
      <c r="D33" s="60">
        <v>110</v>
      </c>
      <c r="E33" s="62">
        <v>914.55</v>
      </c>
      <c r="F33" s="62">
        <v>100600.5</v>
      </c>
      <c r="G33" s="60" t="s">
        <v>48</v>
      </c>
    </row>
    <row r="34" spans="1:7">
      <c r="A34" s="60" t="s">
        <v>356</v>
      </c>
      <c r="B34" s="60" t="s">
        <v>169</v>
      </c>
      <c r="C34" s="60" t="s">
        <v>326</v>
      </c>
      <c r="D34" s="60">
        <v>33</v>
      </c>
      <c r="E34" s="62">
        <v>757.6</v>
      </c>
      <c r="F34" s="62">
        <v>25000.799999999999</v>
      </c>
      <c r="G34" s="60" t="s">
        <v>787</v>
      </c>
    </row>
    <row r="35" spans="1:7">
      <c r="A35" s="60" t="s">
        <v>356</v>
      </c>
      <c r="B35" s="60" t="s">
        <v>311</v>
      </c>
      <c r="C35" s="60" t="s">
        <v>326</v>
      </c>
      <c r="D35" s="60">
        <v>35</v>
      </c>
      <c r="E35" s="62">
        <v>647.19000000000005</v>
      </c>
      <c r="F35" s="62">
        <v>22651.75</v>
      </c>
      <c r="G35" s="60" t="s">
        <v>787</v>
      </c>
    </row>
    <row r="36" spans="1:7">
      <c r="A36" s="60" t="s">
        <v>359</v>
      </c>
      <c r="B36" s="60" t="s">
        <v>295</v>
      </c>
      <c r="C36" s="60" t="s">
        <v>326</v>
      </c>
      <c r="D36" s="60">
        <v>671</v>
      </c>
      <c r="E36" s="62">
        <v>179.34</v>
      </c>
      <c r="F36" s="62">
        <v>120337.14</v>
      </c>
      <c r="G36" s="60" t="s">
        <v>787</v>
      </c>
    </row>
    <row r="37" spans="1:7">
      <c r="A37" s="60" t="s">
        <v>363</v>
      </c>
      <c r="B37" s="60" t="s">
        <v>361</v>
      </c>
      <c r="C37" s="60" t="s">
        <v>277</v>
      </c>
      <c r="D37" s="60">
        <v>75</v>
      </c>
      <c r="E37" s="62">
        <v>339.2</v>
      </c>
      <c r="F37" s="62">
        <v>25440</v>
      </c>
      <c r="G37" s="60" t="s">
        <v>34</v>
      </c>
    </row>
    <row r="38" spans="1:7">
      <c r="A38" s="60" t="s">
        <v>363</v>
      </c>
      <c r="B38" s="60" t="s">
        <v>315</v>
      </c>
      <c r="C38" s="60" t="s">
        <v>326</v>
      </c>
      <c r="D38" s="60">
        <v>1754</v>
      </c>
      <c r="E38" s="62">
        <v>126.6</v>
      </c>
      <c r="F38" s="62">
        <v>222056.4</v>
      </c>
      <c r="G38" s="60" t="s">
        <v>787</v>
      </c>
    </row>
    <row r="39" spans="1:7">
      <c r="A39" s="60" t="s">
        <v>366</v>
      </c>
      <c r="B39" s="60" t="s">
        <v>299</v>
      </c>
      <c r="C39" s="60" t="s">
        <v>326</v>
      </c>
      <c r="D39" s="60">
        <v>298</v>
      </c>
      <c r="E39" s="62">
        <v>589.95000000000005</v>
      </c>
      <c r="F39" s="62">
        <v>175804.15</v>
      </c>
      <c r="G39" s="60" t="s">
        <v>787</v>
      </c>
    </row>
    <row r="40" spans="1:7">
      <c r="A40" s="60" t="s">
        <v>368</v>
      </c>
      <c r="B40" s="60" t="s">
        <v>187</v>
      </c>
      <c r="C40" s="60" t="s">
        <v>277</v>
      </c>
      <c r="D40" s="60">
        <v>119</v>
      </c>
      <c r="E40" s="62">
        <v>841.1</v>
      </c>
      <c r="F40" s="62">
        <v>100090.9</v>
      </c>
      <c r="G40" s="60" t="s">
        <v>48</v>
      </c>
    </row>
    <row r="41" spans="1:7">
      <c r="A41" s="60" t="s">
        <v>368</v>
      </c>
      <c r="B41" s="60" t="s">
        <v>335</v>
      </c>
      <c r="C41" s="60" t="s">
        <v>326</v>
      </c>
      <c r="D41" s="60">
        <v>188</v>
      </c>
      <c r="E41" s="62">
        <v>482.02</v>
      </c>
      <c r="F41" s="62">
        <v>90619.1</v>
      </c>
      <c r="G41" s="60" t="s">
        <v>787</v>
      </c>
    </row>
    <row r="42" spans="1:7">
      <c r="A42" s="60" t="s">
        <v>368</v>
      </c>
      <c r="B42" s="60" t="s">
        <v>145</v>
      </c>
      <c r="C42" s="60" t="s">
        <v>277</v>
      </c>
      <c r="D42" s="60">
        <v>100</v>
      </c>
      <c r="E42" s="62">
        <v>269.68</v>
      </c>
      <c r="F42" s="62">
        <v>26968.49</v>
      </c>
      <c r="G42" s="60" t="s">
        <v>34</v>
      </c>
    </row>
    <row r="43" spans="1:7">
      <c r="A43" s="60" t="s">
        <v>373</v>
      </c>
      <c r="B43" s="60" t="s">
        <v>145</v>
      </c>
      <c r="C43" s="60" t="s">
        <v>277</v>
      </c>
      <c r="D43" s="60">
        <v>176</v>
      </c>
      <c r="E43" s="62">
        <v>283.89</v>
      </c>
      <c r="F43" s="62">
        <v>49964.04</v>
      </c>
      <c r="G43" s="60" t="s">
        <v>40</v>
      </c>
    </row>
    <row r="44" spans="1:7">
      <c r="A44" s="60" t="s">
        <v>377</v>
      </c>
      <c r="B44" s="60" t="s">
        <v>379</v>
      </c>
      <c r="C44" s="60" t="s">
        <v>277</v>
      </c>
      <c r="D44" s="60">
        <v>42</v>
      </c>
      <c r="E44" s="62">
        <v>955.88</v>
      </c>
      <c r="F44" s="62">
        <v>40147.050000000003</v>
      </c>
      <c r="G44" s="60" t="s">
        <v>34</v>
      </c>
    </row>
    <row r="45" spans="1:7">
      <c r="A45" s="60" t="s">
        <v>377</v>
      </c>
      <c r="B45" s="60" t="s">
        <v>388</v>
      </c>
      <c r="C45" s="60" t="s">
        <v>277</v>
      </c>
      <c r="D45" s="60">
        <v>9</v>
      </c>
      <c r="E45" s="62">
        <v>950.5</v>
      </c>
      <c r="F45" s="62">
        <v>8554.5</v>
      </c>
      <c r="G45" s="60" t="s">
        <v>34</v>
      </c>
    </row>
    <row r="46" spans="1:7">
      <c r="A46" s="60" t="s">
        <v>377</v>
      </c>
      <c r="B46" s="60" t="s">
        <v>382</v>
      </c>
      <c r="C46" s="60" t="s">
        <v>277</v>
      </c>
      <c r="D46" s="60">
        <v>82</v>
      </c>
      <c r="E46" s="62">
        <v>367.7</v>
      </c>
      <c r="F46" s="62">
        <v>30151.4</v>
      </c>
      <c r="G46" s="60" t="s">
        <v>34</v>
      </c>
    </row>
    <row r="47" spans="1:7">
      <c r="A47" s="60" t="s">
        <v>377</v>
      </c>
      <c r="B47" s="60" t="s">
        <v>375</v>
      </c>
      <c r="C47" s="60" t="s">
        <v>277</v>
      </c>
      <c r="D47" s="60">
        <v>205</v>
      </c>
      <c r="E47" s="62">
        <v>483.35</v>
      </c>
      <c r="F47" s="62">
        <v>99086.75</v>
      </c>
      <c r="G47" s="60" t="s">
        <v>46</v>
      </c>
    </row>
    <row r="48" spans="1:7">
      <c r="A48" s="60" t="s">
        <v>377</v>
      </c>
      <c r="B48" s="60" t="s">
        <v>394</v>
      </c>
      <c r="C48" s="60" t="s">
        <v>277</v>
      </c>
      <c r="D48" s="60">
        <v>210</v>
      </c>
      <c r="E48" s="62">
        <v>238.41</v>
      </c>
      <c r="F48" s="62">
        <v>50066.1</v>
      </c>
      <c r="G48" s="60" t="s">
        <v>34</v>
      </c>
    </row>
    <row r="49" spans="1:7">
      <c r="A49" s="60" t="s">
        <v>377</v>
      </c>
      <c r="B49" s="60" t="s">
        <v>385</v>
      </c>
      <c r="C49" s="60" t="s">
        <v>277</v>
      </c>
      <c r="D49" s="60">
        <v>120</v>
      </c>
      <c r="E49" s="62">
        <v>167.82</v>
      </c>
      <c r="F49" s="62">
        <v>20138.400000000001</v>
      </c>
      <c r="G49" s="60" t="s">
        <v>34</v>
      </c>
    </row>
    <row r="50" spans="1:7">
      <c r="A50" s="60" t="s">
        <v>377</v>
      </c>
      <c r="B50" s="60" t="s">
        <v>391</v>
      </c>
      <c r="C50" s="60" t="s">
        <v>277</v>
      </c>
      <c r="D50" s="60">
        <v>260</v>
      </c>
      <c r="E50" s="62">
        <v>292.10000000000002</v>
      </c>
      <c r="F50" s="62">
        <v>75946</v>
      </c>
      <c r="G50" s="60" t="s">
        <v>46</v>
      </c>
    </row>
    <row r="51" spans="1:7">
      <c r="A51" s="60" t="s">
        <v>397</v>
      </c>
      <c r="B51" s="60" t="s">
        <v>361</v>
      </c>
      <c r="C51" s="60" t="s">
        <v>326</v>
      </c>
      <c r="D51" s="60">
        <v>75</v>
      </c>
      <c r="E51" s="62">
        <v>304.75</v>
      </c>
      <c r="F51" s="62">
        <v>22856.25</v>
      </c>
      <c r="G51" s="60" t="s">
        <v>787</v>
      </c>
    </row>
    <row r="52" spans="1:7">
      <c r="A52" s="60" t="s">
        <v>399</v>
      </c>
      <c r="B52" s="60" t="s">
        <v>290</v>
      </c>
      <c r="C52" s="60" t="s">
        <v>326</v>
      </c>
      <c r="D52" s="60">
        <v>19</v>
      </c>
      <c r="E52" s="62">
        <v>4056.8</v>
      </c>
      <c r="F52" s="62">
        <v>77079.199999999997</v>
      </c>
      <c r="G52" s="60" t="s">
        <v>787</v>
      </c>
    </row>
    <row r="53" spans="1:7">
      <c r="A53" s="60" t="s">
        <v>399</v>
      </c>
      <c r="B53" s="60" t="s">
        <v>108</v>
      </c>
      <c r="C53" s="60" t="s">
        <v>326</v>
      </c>
      <c r="D53" s="60">
        <v>168</v>
      </c>
      <c r="E53" s="62">
        <v>482.75</v>
      </c>
      <c r="F53" s="62">
        <v>81102.5</v>
      </c>
      <c r="G53" s="60" t="s">
        <v>787</v>
      </c>
    </row>
    <row r="54" spans="1:7">
      <c r="A54" s="60" t="s">
        <v>402</v>
      </c>
      <c r="B54" s="60" t="s">
        <v>272</v>
      </c>
      <c r="C54" s="60" t="s">
        <v>277</v>
      </c>
      <c r="D54" s="60">
        <v>12</v>
      </c>
      <c r="E54" s="62">
        <v>7775.42</v>
      </c>
      <c r="F54" s="62">
        <v>93305</v>
      </c>
      <c r="G54" s="60" t="s">
        <v>50</v>
      </c>
    </row>
    <row r="55" spans="1:7">
      <c r="A55" s="60" t="s">
        <v>404</v>
      </c>
      <c r="B55" s="60" t="s">
        <v>338</v>
      </c>
      <c r="C55" s="60" t="s">
        <v>277</v>
      </c>
      <c r="D55" s="60">
        <v>100</v>
      </c>
      <c r="E55" s="62">
        <v>268.67</v>
      </c>
      <c r="F55" s="62">
        <v>26867</v>
      </c>
      <c r="G55" s="60" t="s">
        <v>40</v>
      </c>
    </row>
    <row r="56" spans="1:7">
      <c r="A56" s="60" t="s">
        <v>407</v>
      </c>
      <c r="B56" s="60" t="s">
        <v>406</v>
      </c>
      <c r="C56" s="60" t="s">
        <v>277</v>
      </c>
      <c r="D56" s="60">
        <v>36</v>
      </c>
      <c r="E56" s="62">
        <v>1393.8</v>
      </c>
      <c r="F56" s="62">
        <v>50176.800000000003</v>
      </c>
      <c r="G56" s="60" t="s">
        <v>34</v>
      </c>
    </row>
    <row r="57" spans="1:7">
      <c r="A57" s="60" t="s">
        <v>407</v>
      </c>
      <c r="B57" s="60" t="s">
        <v>409</v>
      </c>
      <c r="C57" s="60" t="s">
        <v>277</v>
      </c>
      <c r="D57" s="60">
        <v>11</v>
      </c>
      <c r="E57" s="62">
        <v>4513.75</v>
      </c>
      <c r="F57" s="62">
        <v>49651.199999999997</v>
      </c>
      <c r="G57" s="60" t="s">
        <v>34</v>
      </c>
    </row>
    <row r="58" spans="1:7">
      <c r="A58" s="60" t="s">
        <v>412</v>
      </c>
      <c r="B58" s="60" t="s">
        <v>394</v>
      </c>
      <c r="C58" s="60" t="s">
        <v>277</v>
      </c>
      <c r="D58" s="60">
        <v>204</v>
      </c>
      <c r="E58" s="62">
        <v>246.27</v>
      </c>
      <c r="F58" s="62">
        <v>50240.04</v>
      </c>
      <c r="G58" s="60" t="s">
        <v>46</v>
      </c>
    </row>
    <row r="59" spans="1:7">
      <c r="A59" s="60" t="s">
        <v>412</v>
      </c>
      <c r="B59" s="60" t="s">
        <v>409</v>
      </c>
      <c r="C59" s="60" t="s">
        <v>277</v>
      </c>
      <c r="D59" s="60">
        <v>11</v>
      </c>
      <c r="E59" s="62">
        <v>4712.03</v>
      </c>
      <c r="F59" s="62">
        <v>51832.3</v>
      </c>
      <c r="G59" s="60" t="s">
        <v>46</v>
      </c>
    </row>
    <row r="60" spans="1:7">
      <c r="A60" s="60" t="s">
        <v>415</v>
      </c>
      <c r="B60" s="60" t="s">
        <v>394</v>
      </c>
      <c r="C60" s="60" t="s">
        <v>277</v>
      </c>
      <c r="D60" s="60">
        <v>388</v>
      </c>
      <c r="E60" s="62">
        <v>257.7</v>
      </c>
      <c r="F60" s="62">
        <v>99987.74</v>
      </c>
      <c r="G60" s="60" t="s">
        <v>48</v>
      </c>
    </row>
    <row r="61" spans="1:7">
      <c r="A61" s="60" t="s">
        <v>415</v>
      </c>
      <c r="B61" s="60" t="s">
        <v>417</v>
      </c>
      <c r="C61" s="60" t="s">
        <v>277</v>
      </c>
      <c r="D61" s="60">
        <v>920</v>
      </c>
      <c r="E61" s="62">
        <v>108.48</v>
      </c>
      <c r="F61" s="62">
        <v>99801.600000000006</v>
      </c>
      <c r="G61" s="60" t="s">
        <v>46</v>
      </c>
    </row>
    <row r="62" spans="1:7">
      <c r="A62" s="60" t="s">
        <v>422</v>
      </c>
      <c r="B62" s="60" t="s">
        <v>332</v>
      </c>
      <c r="C62" s="60" t="s">
        <v>277</v>
      </c>
      <c r="D62" s="60">
        <v>18</v>
      </c>
      <c r="E62" s="62">
        <v>2801.6</v>
      </c>
      <c r="F62" s="62">
        <v>50428.800000000003</v>
      </c>
      <c r="G62" s="60" t="s">
        <v>34</v>
      </c>
    </row>
    <row r="63" spans="1:7">
      <c r="A63" s="60" t="s">
        <v>422</v>
      </c>
      <c r="B63" s="60" t="s">
        <v>420</v>
      </c>
      <c r="C63" s="60" t="s">
        <v>277</v>
      </c>
      <c r="D63" s="60">
        <v>117</v>
      </c>
      <c r="E63" s="62">
        <v>426.6</v>
      </c>
      <c r="F63" s="62">
        <v>49912.2</v>
      </c>
      <c r="G63" s="60" t="s">
        <v>34</v>
      </c>
    </row>
    <row r="64" spans="1:7">
      <c r="A64" s="60" t="s">
        <v>428</v>
      </c>
      <c r="B64" s="60" t="s">
        <v>420</v>
      </c>
      <c r="C64" s="60" t="s">
        <v>277</v>
      </c>
      <c r="D64" s="60">
        <v>111</v>
      </c>
      <c r="E64" s="62">
        <v>450.45</v>
      </c>
      <c r="F64" s="62">
        <v>49999.95</v>
      </c>
      <c r="G64" s="60" t="s">
        <v>46</v>
      </c>
    </row>
    <row r="65" spans="1:7">
      <c r="A65" s="60" t="s">
        <v>428</v>
      </c>
      <c r="B65" s="60" t="s">
        <v>426</v>
      </c>
      <c r="C65" s="60" t="s">
        <v>277</v>
      </c>
      <c r="D65" s="60">
        <v>103</v>
      </c>
      <c r="E65" s="62">
        <v>485.05</v>
      </c>
      <c r="F65" s="62">
        <v>49960.15</v>
      </c>
      <c r="G65" s="60" t="s">
        <v>34</v>
      </c>
    </row>
    <row r="66" spans="1:7">
      <c r="A66" s="60" t="s">
        <v>433</v>
      </c>
      <c r="B66" s="60" t="s">
        <v>431</v>
      </c>
      <c r="C66" s="60" t="s">
        <v>277</v>
      </c>
      <c r="D66" s="60">
        <v>19</v>
      </c>
      <c r="E66" s="62">
        <v>1314.6</v>
      </c>
      <c r="F66" s="62">
        <v>24977.4</v>
      </c>
      <c r="G66" s="60" t="s">
        <v>34</v>
      </c>
    </row>
    <row r="67" spans="1:7">
      <c r="A67" s="60" t="s">
        <v>435</v>
      </c>
      <c r="B67" s="60" t="s">
        <v>338</v>
      </c>
      <c r="C67" s="60" t="s">
        <v>326</v>
      </c>
      <c r="D67" s="60">
        <v>220</v>
      </c>
      <c r="E67" s="62">
        <v>245.9</v>
      </c>
      <c r="F67" s="62">
        <v>54098</v>
      </c>
      <c r="G67" s="60" t="s">
        <v>787</v>
      </c>
    </row>
    <row r="68" spans="1:7">
      <c r="A68" s="60" t="s">
        <v>437</v>
      </c>
      <c r="B68" s="60" t="s">
        <v>162</v>
      </c>
      <c r="C68" s="60" t="s">
        <v>277</v>
      </c>
      <c r="D68" s="60">
        <v>300</v>
      </c>
      <c r="E68" s="62">
        <v>84.49</v>
      </c>
      <c r="F68" s="62">
        <v>25347</v>
      </c>
      <c r="G68" s="60" t="s">
        <v>34</v>
      </c>
    </row>
    <row r="69" spans="1:7">
      <c r="A69" s="60" t="s">
        <v>437</v>
      </c>
      <c r="B69" s="60" t="s">
        <v>187</v>
      </c>
      <c r="C69" s="60" t="s">
        <v>277</v>
      </c>
      <c r="D69" s="60">
        <v>108</v>
      </c>
      <c r="E69" s="62">
        <v>926.51</v>
      </c>
      <c r="F69" s="62">
        <v>100063.1</v>
      </c>
      <c r="G69" s="60" t="s">
        <v>50</v>
      </c>
    </row>
    <row r="70" spans="1:7">
      <c r="A70" s="60" t="s">
        <v>437</v>
      </c>
      <c r="B70" s="60" t="s">
        <v>117</v>
      </c>
      <c r="C70" s="60" t="s">
        <v>277</v>
      </c>
      <c r="D70" s="60">
        <v>182</v>
      </c>
      <c r="E70" s="62">
        <v>137.25</v>
      </c>
      <c r="F70" s="62">
        <v>24979.5</v>
      </c>
      <c r="G70" s="60" t="s">
        <v>34</v>
      </c>
    </row>
    <row r="71" spans="1:7">
      <c r="A71" s="60" t="s">
        <v>444</v>
      </c>
      <c r="B71" s="60" t="s">
        <v>118</v>
      </c>
      <c r="C71" s="60" t="s">
        <v>277</v>
      </c>
      <c r="D71" s="60">
        <v>4</v>
      </c>
      <c r="E71" s="62">
        <v>2936.3</v>
      </c>
      <c r="F71" s="62">
        <v>11745.2</v>
      </c>
      <c r="G71" s="60" t="s">
        <v>34</v>
      </c>
    </row>
    <row r="72" spans="1:7">
      <c r="A72" s="60" t="s">
        <v>444</v>
      </c>
      <c r="B72" s="60" t="s">
        <v>299</v>
      </c>
      <c r="C72" s="60" t="s">
        <v>277</v>
      </c>
      <c r="D72" s="60">
        <v>41</v>
      </c>
      <c r="E72" s="62">
        <v>612</v>
      </c>
      <c r="F72" s="62">
        <v>25092</v>
      </c>
      <c r="G72" s="60" t="s">
        <v>34</v>
      </c>
    </row>
    <row r="73" spans="1:7">
      <c r="A73" s="60" t="s">
        <v>444</v>
      </c>
      <c r="B73" s="60" t="s">
        <v>105</v>
      </c>
      <c r="C73" s="60" t="s">
        <v>326</v>
      </c>
      <c r="D73" s="60">
        <v>665</v>
      </c>
      <c r="E73" s="62">
        <v>72.98</v>
      </c>
      <c r="F73" s="62">
        <v>48531.7</v>
      </c>
      <c r="G73" s="60" t="s">
        <v>787</v>
      </c>
    </row>
    <row r="74" spans="1:7">
      <c r="A74" s="60" t="s">
        <v>444</v>
      </c>
      <c r="B74" s="60" t="s">
        <v>105</v>
      </c>
      <c r="C74" s="60" t="s">
        <v>277</v>
      </c>
      <c r="D74" s="60">
        <v>665</v>
      </c>
      <c r="E74" s="62">
        <v>75.5</v>
      </c>
      <c r="F74" s="62">
        <v>50207.5</v>
      </c>
      <c r="G74" s="60" t="s">
        <v>34</v>
      </c>
    </row>
    <row r="75" spans="1:7">
      <c r="A75" s="60" t="s">
        <v>444</v>
      </c>
      <c r="B75" s="60" t="s">
        <v>315</v>
      </c>
      <c r="C75" s="60" t="s">
        <v>277</v>
      </c>
      <c r="D75" s="60">
        <v>324</v>
      </c>
      <c r="E75" s="62">
        <v>154.59</v>
      </c>
      <c r="F75" s="62">
        <v>50087.6</v>
      </c>
      <c r="G75" s="60" t="s">
        <v>34</v>
      </c>
    </row>
    <row r="76" spans="1:7">
      <c r="A76" s="60" t="s">
        <v>444</v>
      </c>
      <c r="B76" s="60" t="s">
        <v>379</v>
      </c>
      <c r="C76" s="60" t="s">
        <v>326</v>
      </c>
      <c r="D76" s="60">
        <v>52</v>
      </c>
      <c r="E76" s="62">
        <v>814.95</v>
      </c>
      <c r="F76" s="62">
        <v>42377.3</v>
      </c>
      <c r="G76" s="60" t="s">
        <v>787</v>
      </c>
    </row>
    <row r="77" spans="1:7">
      <c r="A77" s="60" t="s">
        <v>452</v>
      </c>
      <c r="B77" s="60" t="s">
        <v>105</v>
      </c>
      <c r="C77" s="60" t="s">
        <v>277</v>
      </c>
      <c r="D77" s="60">
        <v>500</v>
      </c>
      <c r="E77" s="62">
        <v>84.92</v>
      </c>
      <c r="F77" s="62">
        <v>42460</v>
      </c>
      <c r="G77" s="60" t="s">
        <v>34</v>
      </c>
    </row>
    <row r="78" spans="1:7">
      <c r="A78" s="60" t="s">
        <v>454</v>
      </c>
      <c r="B78" s="60" t="s">
        <v>468</v>
      </c>
      <c r="C78" s="60" t="s">
        <v>277</v>
      </c>
      <c r="D78" s="60">
        <v>20</v>
      </c>
      <c r="E78" s="62">
        <v>66.849999999999994</v>
      </c>
      <c r="F78" s="62">
        <v>1337</v>
      </c>
      <c r="G78" s="60" t="s">
        <v>34</v>
      </c>
    </row>
    <row r="79" spans="1:7">
      <c r="A79" s="60" t="s">
        <v>454</v>
      </c>
      <c r="B79" s="60" t="s">
        <v>459</v>
      </c>
      <c r="C79" s="60" t="s">
        <v>277</v>
      </c>
      <c r="D79" s="60">
        <v>600</v>
      </c>
      <c r="E79" s="62">
        <v>44.47</v>
      </c>
      <c r="F79" s="62">
        <v>26682</v>
      </c>
      <c r="G79" s="60" t="s">
        <v>34</v>
      </c>
    </row>
    <row r="80" spans="1:7">
      <c r="A80" s="60" t="s">
        <v>454</v>
      </c>
      <c r="B80" s="60" t="s">
        <v>409</v>
      </c>
      <c r="C80" s="60" t="s">
        <v>326</v>
      </c>
      <c r="D80" s="60">
        <v>22</v>
      </c>
      <c r="E80" s="62">
        <v>4030.42</v>
      </c>
      <c r="F80" s="62">
        <v>88669.2</v>
      </c>
      <c r="G80" s="60" t="s">
        <v>787</v>
      </c>
    </row>
    <row r="81" spans="1:7">
      <c r="A81" s="60" t="s">
        <v>454</v>
      </c>
      <c r="B81" s="60" t="s">
        <v>117</v>
      </c>
      <c r="C81" s="60" t="s">
        <v>277</v>
      </c>
      <c r="D81" s="60">
        <v>180</v>
      </c>
      <c r="E81" s="62">
        <v>140.28</v>
      </c>
      <c r="F81" s="62">
        <v>25249.79</v>
      </c>
      <c r="G81" s="60" t="s">
        <v>40</v>
      </c>
    </row>
    <row r="82" spans="1:7">
      <c r="A82" s="60" t="s">
        <v>454</v>
      </c>
      <c r="B82" s="60" t="s">
        <v>394</v>
      </c>
      <c r="C82" s="60" t="s">
        <v>277</v>
      </c>
      <c r="D82" s="60">
        <v>370</v>
      </c>
      <c r="E82" s="62">
        <v>270.25</v>
      </c>
      <c r="F82" s="62">
        <v>99991.4</v>
      </c>
      <c r="G82" s="60" t="s">
        <v>50</v>
      </c>
    </row>
    <row r="83" spans="1:7">
      <c r="A83" s="60" t="s">
        <v>454</v>
      </c>
      <c r="B83" s="60" t="s">
        <v>462</v>
      </c>
      <c r="C83" s="60" t="s">
        <v>277</v>
      </c>
      <c r="D83" s="60">
        <v>10</v>
      </c>
      <c r="E83" s="62">
        <v>131.88999999999999</v>
      </c>
      <c r="F83" s="62">
        <v>1318.9</v>
      </c>
      <c r="G83" s="60" t="s">
        <v>34</v>
      </c>
    </row>
    <row r="84" spans="1:7">
      <c r="A84" s="60" t="s">
        <v>454</v>
      </c>
      <c r="B84" s="60" t="s">
        <v>465</v>
      </c>
      <c r="C84" s="60" t="s">
        <v>277</v>
      </c>
      <c r="D84" s="60">
        <v>160</v>
      </c>
      <c r="E84" s="62">
        <v>157.27000000000001</v>
      </c>
      <c r="F84" s="62">
        <v>25162.48</v>
      </c>
      <c r="G84" s="60" t="s">
        <v>34</v>
      </c>
    </row>
    <row r="85" spans="1:7">
      <c r="A85" s="60" t="s">
        <v>454</v>
      </c>
      <c r="B85" s="60" t="s">
        <v>105</v>
      </c>
      <c r="C85" s="60" t="s">
        <v>277</v>
      </c>
      <c r="D85" s="60">
        <v>525</v>
      </c>
      <c r="E85" s="62">
        <v>96.34</v>
      </c>
      <c r="F85" s="62">
        <v>50578.5</v>
      </c>
      <c r="G85" s="60" t="s">
        <v>46</v>
      </c>
    </row>
    <row r="86" spans="1:7">
      <c r="A86" s="60" t="s">
        <v>454</v>
      </c>
      <c r="B86" s="60" t="s">
        <v>388</v>
      </c>
      <c r="C86" s="60" t="s">
        <v>277</v>
      </c>
      <c r="D86" s="60">
        <v>24</v>
      </c>
      <c r="E86" s="62">
        <v>1043.0999999999999</v>
      </c>
      <c r="F86" s="62">
        <v>25034.400000000001</v>
      </c>
      <c r="G86" s="60" t="s">
        <v>40</v>
      </c>
    </row>
    <row r="87" spans="1:7">
      <c r="A87" s="60" t="s">
        <v>474</v>
      </c>
      <c r="B87" s="60" t="s">
        <v>468</v>
      </c>
      <c r="C87" s="60" t="s">
        <v>277</v>
      </c>
      <c r="D87" s="60">
        <v>360</v>
      </c>
      <c r="E87" s="62">
        <v>66.84</v>
      </c>
      <c r="F87" s="62">
        <v>24062.69</v>
      </c>
      <c r="G87" s="60" t="s">
        <v>40</v>
      </c>
    </row>
    <row r="88" spans="1:7">
      <c r="A88" s="60" t="s">
        <v>474</v>
      </c>
      <c r="B88" s="60" t="s">
        <v>431</v>
      </c>
      <c r="C88" s="60" t="s">
        <v>326</v>
      </c>
      <c r="D88" s="60">
        <v>19</v>
      </c>
      <c r="E88" s="62">
        <v>1130.3</v>
      </c>
      <c r="F88" s="62">
        <v>21475.7</v>
      </c>
      <c r="G88" s="60" t="s">
        <v>787</v>
      </c>
    </row>
    <row r="89" spans="1:7">
      <c r="A89" s="60" t="s">
        <v>474</v>
      </c>
      <c r="B89" s="60" t="s">
        <v>462</v>
      </c>
      <c r="C89" s="60" t="s">
        <v>277</v>
      </c>
      <c r="D89" s="60">
        <v>190</v>
      </c>
      <c r="E89" s="62">
        <v>127.48</v>
      </c>
      <c r="F89" s="62">
        <v>24221.200000000001</v>
      </c>
      <c r="G89" s="60" t="s">
        <v>40</v>
      </c>
    </row>
    <row r="90" spans="1:7">
      <c r="A90" s="60" t="s">
        <v>478</v>
      </c>
      <c r="B90" s="60" t="s">
        <v>420</v>
      </c>
      <c r="C90" s="60" t="s">
        <v>326</v>
      </c>
      <c r="D90" s="60">
        <v>228</v>
      </c>
      <c r="E90" s="62">
        <v>395.42</v>
      </c>
      <c r="F90" s="62">
        <v>90155.4</v>
      </c>
      <c r="G90" s="60" t="s">
        <v>787</v>
      </c>
    </row>
    <row r="91" spans="1:7">
      <c r="A91" s="60" t="s">
        <v>478</v>
      </c>
      <c r="B91" s="60" t="s">
        <v>417</v>
      </c>
      <c r="C91" s="60" t="s">
        <v>326</v>
      </c>
      <c r="D91" s="60">
        <v>920</v>
      </c>
      <c r="E91" s="62">
        <v>89.75</v>
      </c>
      <c r="F91" s="62">
        <v>82570</v>
      </c>
      <c r="G91" s="60" t="s">
        <v>787</v>
      </c>
    </row>
    <row r="92" spans="1:7">
      <c r="A92" s="60" t="s">
        <v>481</v>
      </c>
      <c r="B92" s="60" t="s">
        <v>484</v>
      </c>
      <c r="C92" s="60" t="s">
        <v>277</v>
      </c>
      <c r="D92" s="60">
        <v>168</v>
      </c>
      <c r="E92" s="62">
        <v>449.35</v>
      </c>
      <c r="F92" s="62">
        <v>75490.05</v>
      </c>
      <c r="G92" s="60" t="s">
        <v>46</v>
      </c>
    </row>
    <row r="93" spans="1:7">
      <c r="A93" s="60" t="s">
        <v>481</v>
      </c>
      <c r="B93" s="60" t="s">
        <v>459</v>
      </c>
      <c r="C93" s="60" t="s">
        <v>326</v>
      </c>
      <c r="D93" s="60">
        <v>600</v>
      </c>
      <c r="E93" s="62">
        <v>37.549999999999997</v>
      </c>
      <c r="F93" s="62">
        <v>22532.01</v>
      </c>
      <c r="G93" s="60" t="s">
        <v>787</v>
      </c>
    </row>
    <row r="94" spans="1:7">
      <c r="A94" s="60" t="s">
        <v>481</v>
      </c>
      <c r="B94" s="60" t="s">
        <v>119</v>
      </c>
      <c r="C94" s="60" t="s">
        <v>277</v>
      </c>
      <c r="D94" s="60">
        <v>10</v>
      </c>
      <c r="E94" s="62">
        <v>1282.3599999999999</v>
      </c>
      <c r="F94" s="62">
        <v>12823.6</v>
      </c>
      <c r="G94" s="60" t="s">
        <v>34</v>
      </c>
    </row>
    <row r="95" spans="1:7">
      <c r="A95" s="60" t="s">
        <v>481</v>
      </c>
      <c r="B95" s="60" t="s">
        <v>388</v>
      </c>
      <c r="C95" s="60" t="s">
        <v>277</v>
      </c>
      <c r="D95" s="60">
        <v>93</v>
      </c>
      <c r="E95" s="62">
        <v>1078</v>
      </c>
      <c r="F95" s="62">
        <v>100254</v>
      </c>
      <c r="G95" s="60" t="s">
        <v>46</v>
      </c>
    </row>
    <row r="96" spans="1:7">
      <c r="A96" s="60" t="s">
        <v>481</v>
      </c>
      <c r="B96" s="60" t="s">
        <v>187</v>
      </c>
      <c r="C96" s="60" t="s">
        <v>326</v>
      </c>
      <c r="D96" s="60">
        <v>103</v>
      </c>
      <c r="E96" s="62">
        <v>968.1</v>
      </c>
      <c r="F96" s="62">
        <v>99714.35</v>
      </c>
      <c r="G96" s="60" t="s">
        <v>787</v>
      </c>
    </row>
    <row r="97" spans="1:7">
      <c r="A97" s="60" t="s">
        <v>491</v>
      </c>
      <c r="B97" s="60" t="s">
        <v>351</v>
      </c>
      <c r="C97" s="60" t="s">
        <v>326</v>
      </c>
      <c r="D97" s="60">
        <v>94</v>
      </c>
      <c r="E97" s="62">
        <v>898.15</v>
      </c>
      <c r="F97" s="62">
        <v>84426.1</v>
      </c>
      <c r="G97" s="60" t="s">
        <v>787</v>
      </c>
    </row>
    <row r="98" spans="1:7">
      <c r="A98" s="60" t="s">
        <v>491</v>
      </c>
      <c r="B98" s="60" t="s">
        <v>315</v>
      </c>
      <c r="C98" s="60" t="s">
        <v>326</v>
      </c>
      <c r="D98" s="60">
        <v>324</v>
      </c>
      <c r="E98" s="62">
        <v>140.33000000000001</v>
      </c>
      <c r="F98" s="62">
        <v>45468</v>
      </c>
      <c r="G98" s="60" t="s">
        <v>787</v>
      </c>
    </row>
    <row r="99" spans="1:7">
      <c r="A99" s="60" t="s">
        <v>491</v>
      </c>
      <c r="B99" s="60" t="s">
        <v>462</v>
      </c>
      <c r="C99" s="60" t="s">
        <v>326</v>
      </c>
      <c r="D99" s="60">
        <v>200</v>
      </c>
      <c r="E99" s="62">
        <v>119.56</v>
      </c>
      <c r="F99" s="62">
        <v>23912</v>
      </c>
      <c r="G99" s="60" t="s">
        <v>787</v>
      </c>
    </row>
    <row r="100" spans="1:7">
      <c r="A100" s="60" t="s">
        <v>491</v>
      </c>
      <c r="B100" s="60" t="s">
        <v>279</v>
      </c>
      <c r="C100" s="60" t="s">
        <v>326</v>
      </c>
      <c r="D100" s="60">
        <v>64</v>
      </c>
      <c r="E100" s="62">
        <v>1299.4000000000001</v>
      </c>
      <c r="F100" s="62">
        <v>83161.600000000006</v>
      </c>
      <c r="G100" s="60" t="s">
        <v>787</v>
      </c>
    </row>
    <row r="101" spans="1:7">
      <c r="A101" s="60" t="s">
        <v>491</v>
      </c>
      <c r="B101" s="60" t="s">
        <v>406</v>
      </c>
      <c r="C101" s="60" t="s">
        <v>326</v>
      </c>
      <c r="D101" s="60">
        <v>36</v>
      </c>
      <c r="E101" s="62">
        <v>1416.6</v>
      </c>
      <c r="F101" s="62">
        <v>50997.599999999999</v>
      </c>
      <c r="G101" s="60" t="s">
        <v>787</v>
      </c>
    </row>
    <row r="102" spans="1:7">
      <c r="A102" s="60" t="s">
        <v>491</v>
      </c>
      <c r="B102" s="60" t="s">
        <v>391</v>
      </c>
      <c r="C102" s="60" t="s">
        <v>326</v>
      </c>
      <c r="D102" s="60">
        <v>260</v>
      </c>
      <c r="E102" s="62">
        <v>271.56</v>
      </c>
      <c r="F102" s="62">
        <v>70604.55</v>
      </c>
      <c r="G102" s="60" t="s">
        <v>787</v>
      </c>
    </row>
    <row r="103" spans="1:7">
      <c r="A103" s="60" t="s">
        <v>499</v>
      </c>
      <c r="B103" s="60" t="s">
        <v>465</v>
      </c>
      <c r="C103" s="60" t="s">
        <v>277</v>
      </c>
      <c r="D103" s="60">
        <v>305</v>
      </c>
      <c r="E103" s="62">
        <v>163.99</v>
      </c>
      <c r="F103" s="62">
        <v>50016.95</v>
      </c>
      <c r="G103" s="60" t="s">
        <v>40</v>
      </c>
    </row>
    <row r="104" spans="1:7">
      <c r="A104" s="60" t="s">
        <v>503</v>
      </c>
      <c r="B104" s="60" t="s">
        <v>501</v>
      </c>
      <c r="C104" s="60" t="s">
        <v>277</v>
      </c>
      <c r="D104" s="60">
        <v>45</v>
      </c>
      <c r="E104" s="62">
        <v>2237.6</v>
      </c>
      <c r="F104" s="62">
        <v>100692</v>
      </c>
      <c r="G104" s="60" t="s">
        <v>46</v>
      </c>
    </row>
    <row r="105" spans="1:7">
      <c r="A105" s="60" t="s">
        <v>507</v>
      </c>
      <c r="B105" s="60" t="s">
        <v>505</v>
      </c>
      <c r="C105" s="60" t="s">
        <v>277</v>
      </c>
      <c r="D105" s="60">
        <v>10</v>
      </c>
      <c r="E105" s="62">
        <v>853.85</v>
      </c>
      <c r="F105" s="62">
        <v>8538.5</v>
      </c>
      <c r="G105" s="60" t="s">
        <v>34</v>
      </c>
    </row>
    <row r="106" spans="1:7">
      <c r="A106" s="60" t="s">
        <v>507</v>
      </c>
      <c r="B106" s="60" t="s">
        <v>119</v>
      </c>
      <c r="C106" s="60" t="s">
        <v>277</v>
      </c>
      <c r="D106" s="60">
        <v>10</v>
      </c>
      <c r="E106" s="62">
        <v>1368</v>
      </c>
      <c r="F106" s="62">
        <v>13680</v>
      </c>
      <c r="G106" s="60" t="s">
        <v>40</v>
      </c>
    </row>
    <row r="107" spans="1:7">
      <c r="A107" s="60" t="s">
        <v>507</v>
      </c>
      <c r="B107" s="60" t="s">
        <v>510</v>
      </c>
      <c r="C107" s="60" t="s">
        <v>277</v>
      </c>
      <c r="D107" s="60">
        <v>10</v>
      </c>
      <c r="E107" s="62">
        <v>483.55</v>
      </c>
      <c r="F107" s="62">
        <v>4835.5</v>
      </c>
      <c r="G107" s="60" t="s">
        <v>34</v>
      </c>
    </row>
    <row r="108" spans="1:7">
      <c r="A108" s="60" t="s">
        <v>507</v>
      </c>
      <c r="B108" s="60" t="s">
        <v>169</v>
      </c>
      <c r="C108" s="60" t="s">
        <v>277</v>
      </c>
      <c r="D108" s="60">
        <v>10</v>
      </c>
      <c r="E108" s="62">
        <v>684</v>
      </c>
      <c r="F108" s="62">
        <v>6840</v>
      </c>
      <c r="G108" s="60" t="s">
        <v>34</v>
      </c>
    </row>
    <row r="109" spans="1:7">
      <c r="A109" s="60" t="s">
        <v>514</v>
      </c>
      <c r="B109" s="60" t="s">
        <v>119</v>
      </c>
      <c r="C109" s="60" t="s">
        <v>277</v>
      </c>
      <c r="D109" s="60">
        <v>14</v>
      </c>
      <c r="E109" s="62">
        <v>1380.66</v>
      </c>
      <c r="F109" s="62">
        <v>19329.3</v>
      </c>
      <c r="G109" s="60" t="s">
        <v>170</v>
      </c>
    </row>
    <row r="110" spans="1:7">
      <c r="A110" s="60" t="s">
        <v>516</v>
      </c>
      <c r="B110" s="60" t="s">
        <v>426</v>
      </c>
      <c r="C110" s="60" t="s">
        <v>277</v>
      </c>
      <c r="D110" s="60">
        <v>93</v>
      </c>
      <c r="E110" s="62">
        <v>538.91999999999996</v>
      </c>
      <c r="F110" s="62">
        <v>50119.35</v>
      </c>
      <c r="G110" s="60" t="s">
        <v>46</v>
      </c>
    </row>
    <row r="111" spans="1:7">
      <c r="A111" s="60" t="s">
        <v>516</v>
      </c>
      <c r="B111" s="60" t="s">
        <v>520</v>
      </c>
      <c r="C111" s="60" t="s">
        <v>277</v>
      </c>
      <c r="D111" s="60">
        <v>80</v>
      </c>
      <c r="E111" s="62">
        <v>314.7</v>
      </c>
      <c r="F111" s="62">
        <v>25175.98</v>
      </c>
      <c r="G111" s="60" t="s">
        <v>34</v>
      </c>
    </row>
    <row r="112" spans="1:7">
      <c r="A112" s="60" t="s">
        <v>516</v>
      </c>
      <c r="B112" s="60" t="s">
        <v>388</v>
      </c>
      <c r="C112" s="60" t="s">
        <v>277</v>
      </c>
      <c r="D112" s="60">
        <v>82</v>
      </c>
      <c r="E112" s="62">
        <v>1213.74</v>
      </c>
      <c r="F112" s="62">
        <v>99527</v>
      </c>
      <c r="G112" s="60" t="s">
        <v>50</v>
      </c>
    </row>
    <row r="113" spans="1:7">
      <c r="A113" s="60" t="s">
        <v>516</v>
      </c>
      <c r="B113" s="60" t="s">
        <v>169</v>
      </c>
      <c r="C113" s="60" t="s">
        <v>277</v>
      </c>
      <c r="D113" s="60">
        <v>27</v>
      </c>
      <c r="E113" s="62">
        <v>714.9</v>
      </c>
      <c r="F113" s="62">
        <v>19302.3</v>
      </c>
      <c r="G113" s="60" t="s">
        <v>40</v>
      </c>
    </row>
    <row r="114" spans="1:7">
      <c r="A114" s="60" t="s">
        <v>523</v>
      </c>
      <c r="B114" s="60" t="s">
        <v>468</v>
      </c>
      <c r="C114" s="60" t="s">
        <v>277</v>
      </c>
      <c r="D114" s="60">
        <v>340</v>
      </c>
      <c r="E114" s="62">
        <v>75</v>
      </c>
      <c r="F114" s="62">
        <v>25500</v>
      </c>
      <c r="G114" s="60" t="s">
        <v>170</v>
      </c>
    </row>
    <row r="115" spans="1:7">
      <c r="A115" s="60" t="s">
        <v>523</v>
      </c>
      <c r="B115" s="60" t="s">
        <v>510</v>
      </c>
      <c r="C115" s="60" t="s">
        <v>326</v>
      </c>
      <c r="D115" s="60">
        <v>10</v>
      </c>
      <c r="E115" s="62">
        <v>419.3</v>
      </c>
      <c r="F115" s="62">
        <v>4193</v>
      </c>
      <c r="G115" s="60" t="s">
        <v>787</v>
      </c>
    </row>
    <row r="116" spans="1:7">
      <c r="A116" s="60" t="s">
        <v>523</v>
      </c>
      <c r="B116" s="60" t="s">
        <v>505</v>
      </c>
      <c r="C116" s="60" t="s">
        <v>277</v>
      </c>
      <c r="D116" s="60">
        <v>45</v>
      </c>
      <c r="E116" s="62">
        <v>908</v>
      </c>
      <c r="F116" s="62">
        <v>40860</v>
      </c>
      <c r="G116" s="60" t="s">
        <v>40</v>
      </c>
    </row>
    <row r="117" spans="1:7">
      <c r="A117" s="60" t="s">
        <v>523</v>
      </c>
      <c r="B117" s="60" t="s">
        <v>385</v>
      </c>
      <c r="C117" s="60" t="s">
        <v>277</v>
      </c>
      <c r="D117" s="60">
        <v>266</v>
      </c>
      <c r="E117" s="62">
        <v>188.15</v>
      </c>
      <c r="F117" s="62">
        <v>50047.9</v>
      </c>
      <c r="G117" s="60" t="s">
        <v>40</v>
      </c>
    </row>
    <row r="118" spans="1:7">
      <c r="A118" s="60" t="s">
        <v>528</v>
      </c>
      <c r="B118" s="60" t="s">
        <v>426</v>
      </c>
      <c r="C118" s="60" t="s">
        <v>326</v>
      </c>
      <c r="D118" s="60">
        <v>196</v>
      </c>
      <c r="E118" s="62">
        <v>420.4</v>
      </c>
      <c r="F118" s="62">
        <v>82398.399999999994</v>
      </c>
      <c r="G118" s="60" t="s">
        <v>787</v>
      </c>
    </row>
    <row r="119" spans="1:7">
      <c r="A119" s="60" t="s">
        <v>530</v>
      </c>
      <c r="B119" s="60" t="s">
        <v>532</v>
      </c>
      <c r="C119" s="60" t="s">
        <v>277</v>
      </c>
      <c r="D119" s="60">
        <v>121</v>
      </c>
      <c r="E119" s="62">
        <v>206.6</v>
      </c>
      <c r="F119" s="62">
        <v>24998.6</v>
      </c>
      <c r="G119" s="60" t="s">
        <v>34</v>
      </c>
    </row>
    <row r="120" spans="1:7">
      <c r="A120" s="60" t="s">
        <v>530</v>
      </c>
      <c r="B120" s="60" t="s">
        <v>484</v>
      </c>
      <c r="C120" s="60" t="s">
        <v>277</v>
      </c>
      <c r="D120" s="60">
        <v>54</v>
      </c>
      <c r="E120" s="62">
        <v>468.3</v>
      </c>
      <c r="F120" s="62">
        <v>25288.2</v>
      </c>
      <c r="G120" s="60" t="s">
        <v>46</v>
      </c>
    </row>
    <row r="121" spans="1:7">
      <c r="A121" s="60" t="s">
        <v>535</v>
      </c>
      <c r="B121" s="60" t="s">
        <v>537</v>
      </c>
      <c r="C121" s="60" t="s">
        <v>277</v>
      </c>
      <c r="D121" s="60">
        <v>92</v>
      </c>
      <c r="E121" s="62">
        <v>272.58999999999997</v>
      </c>
      <c r="F121" s="62">
        <v>25078.28</v>
      </c>
      <c r="G121" s="60" t="s">
        <v>34</v>
      </c>
    </row>
    <row r="122" spans="1:7">
      <c r="A122" s="60" t="s">
        <v>535</v>
      </c>
      <c r="B122" s="60" t="s">
        <v>505</v>
      </c>
      <c r="C122" s="60" t="s">
        <v>277</v>
      </c>
      <c r="D122" s="60">
        <v>118</v>
      </c>
      <c r="E122" s="62">
        <v>846.96</v>
      </c>
      <c r="F122" s="62">
        <v>99941</v>
      </c>
      <c r="G122" s="60" t="s">
        <v>46</v>
      </c>
    </row>
    <row r="123" spans="1:7">
      <c r="A123" s="60" t="s">
        <v>535</v>
      </c>
      <c r="B123" s="60" t="s">
        <v>272</v>
      </c>
      <c r="C123" s="60" t="s">
        <v>277</v>
      </c>
      <c r="D123" s="60">
        <v>12</v>
      </c>
      <c r="E123" s="62">
        <v>8230.5</v>
      </c>
      <c r="F123" s="62">
        <v>98766</v>
      </c>
      <c r="G123" s="60" t="s">
        <v>52</v>
      </c>
    </row>
    <row r="124" spans="1:7">
      <c r="A124" s="60" t="s">
        <v>535</v>
      </c>
      <c r="B124" s="60" t="s">
        <v>123</v>
      </c>
      <c r="C124" s="60" t="s">
        <v>277</v>
      </c>
      <c r="D124" s="60">
        <v>49</v>
      </c>
      <c r="E124" s="62">
        <v>1033.1600000000001</v>
      </c>
      <c r="F124" s="62">
        <v>50624.6</v>
      </c>
      <c r="G124" s="60" t="s">
        <v>34</v>
      </c>
    </row>
    <row r="125" spans="1:7">
      <c r="A125" s="60" t="s">
        <v>535</v>
      </c>
      <c r="B125" s="60" t="s">
        <v>543</v>
      </c>
      <c r="C125" s="60" t="s">
        <v>277</v>
      </c>
      <c r="D125" s="60">
        <v>13</v>
      </c>
      <c r="E125" s="62">
        <v>3775.7</v>
      </c>
      <c r="F125" s="62">
        <v>49084.1</v>
      </c>
      <c r="G125" s="60" t="s">
        <v>34</v>
      </c>
    </row>
    <row r="126" spans="1:7">
      <c r="A126" s="60" t="s">
        <v>546</v>
      </c>
      <c r="B126" s="60" t="s">
        <v>465</v>
      </c>
      <c r="C126" s="60" t="s">
        <v>326</v>
      </c>
      <c r="D126" s="60">
        <v>465</v>
      </c>
      <c r="E126" s="62">
        <v>152.81</v>
      </c>
      <c r="F126" s="62">
        <v>71056.850000000006</v>
      </c>
      <c r="G126" s="60" t="s">
        <v>787</v>
      </c>
    </row>
    <row r="127" spans="1:7">
      <c r="A127" s="60" t="s">
        <v>548</v>
      </c>
      <c r="B127" s="60" t="s">
        <v>553</v>
      </c>
      <c r="C127" s="60" t="s">
        <v>277</v>
      </c>
      <c r="D127" s="60">
        <v>2</v>
      </c>
      <c r="E127" s="62">
        <v>13021</v>
      </c>
      <c r="F127" s="62">
        <v>26042</v>
      </c>
      <c r="G127" s="60" t="s">
        <v>34</v>
      </c>
    </row>
    <row r="128" spans="1:7">
      <c r="A128" s="60" t="s">
        <v>548</v>
      </c>
      <c r="B128" s="60" t="s">
        <v>119</v>
      </c>
      <c r="C128" s="60" t="s">
        <v>277</v>
      </c>
      <c r="D128" s="60">
        <v>8</v>
      </c>
      <c r="E128" s="62">
        <v>1378.7</v>
      </c>
      <c r="F128" s="62">
        <v>11029.6</v>
      </c>
      <c r="G128" s="60" t="s">
        <v>43</v>
      </c>
    </row>
    <row r="129" spans="1:7">
      <c r="A129" s="60" t="s">
        <v>548</v>
      </c>
      <c r="B129" s="60" t="s">
        <v>543</v>
      </c>
      <c r="C129" s="60" t="s">
        <v>277</v>
      </c>
      <c r="D129" s="60">
        <v>14</v>
      </c>
      <c r="E129" s="62">
        <v>3676.8</v>
      </c>
      <c r="F129" s="62">
        <v>51475.199999999997</v>
      </c>
      <c r="G129" s="60" t="s">
        <v>46</v>
      </c>
    </row>
    <row r="130" spans="1:7">
      <c r="A130" s="60" t="s">
        <v>548</v>
      </c>
      <c r="B130" s="60" t="s">
        <v>501</v>
      </c>
      <c r="C130" s="60" t="s">
        <v>277</v>
      </c>
      <c r="D130" s="60">
        <v>51</v>
      </c>
      <c r="E130" s="62">
        <v>1980.1</v>
      </c>
      <c r="F130" s="62">
        <v>100985.1</v>
      </c>
      <c r="G130" s="60" t="s">
        <v>48</v>
      </c>
    </row>
    <row r="131" spans="1:7">
      <c r="A131" s="60" t="s">
        <v>548</v>
      </c>
      <c r="B131" s="60" t="s">
        <v>127</v>
      </c>
      <c r="C131" s="60" t="s">
        <v>326</v>
      </c>
      <c r="D131" s="60">
        <v>226</v>
      </c>
      <c r="E131" s="62">
        <v>661.78</v>
      </c>
      <c r="F131" s="62">
        <v>149562.45000000001</v>
      </c>
      <c r="G131" s="60" t="s">
        <v>787</v>
      </c>
    </row>
    <row r="132" spans="1:7">
      <c r="A132" s="60" t="s">
        <v>548</v>
      </c>
      <c r="B132" s="60" t="s">
        <v>505</v>
      </c>
      <c r="C132" s="60" t="s">
        <v>277</v>
      </c>
      <c r="D132" s="60">
        <v>58</v>
      </c>
      <c r="E132" s="62">
        <v>862.95</v>
      </c>
      <c r="F132" s="62">
        <v>50051.1</v>
      </c>
      <c r="G132" s="60" t="s">
        <v>48</v>
      </c>
    </row>
    <row r="133" spans="1:7">
      <c r="A133" s="60" t="s">
        <v>559</v>
      </c>
      <c r="B133" s="60" t="s">
        <v>557</v>
      </c>
      <c r="C133" s="60" t="s">
        <v>277</v>
      </c>
      <c r="D133" s="60">
        <v>19</v>
      </c>
      <c r="E133" s="62">
        <v>2683</v>
      </c>
      <c r="F133" s="62">
        <v>50977</v>
      </c>
      <c r="G133" s="60" t="s">
        <v>34</v>
      </c>
    </row>
    <row r="134" spans="1:7">
      <c r="A134" s="60" t="s">
        <v>559</v>
      </c>
      <c r="B134" s="60" t="s">
        <v>173</v>
      </c>
      <c r="C134" s="60" t="s">
        <v>277</v>
      </c>
      <c r="D134" s="60">
        <v>44</v>
      </c>
      <c r="E134" s="62">
        <v>1141.55</v>
      </c>
      <c r="F134" s="62">
        <v>50228.2</v>
      </c>
      <c r="G134" s="60" t="s">
        <v>34</v>
      </c>
    </row>
    <row r="135" spans="1:7">
      <c r="A135" s="60" t="s">
        <v>563</v>
      </c>
      <c r="B135" s="60" t="s">
        <v>532</v>
      </c>
      <c r="C135" s="60" t="s">
        <v>326</v>
      </c>
      <c r="D135" s="60">
        <v>121</v>
      </c>
      <c r="E135" s="62">
        <v>159.46</v>
      </c>
      <c r="F135" s="62">
        <v>19294.599999999999</v>
      </c>
      <c r="G135" s="60" t="s">
        <v>787</v>
      </c>
    </row>
    <row r="136" spans="1:7">
      <c r="A136" s="60" t="s">
        <v>563</v>
      </c>
      <c r="B136" s="60" t="s">
        <v>180</v>
      </c>
      <c r="C136" s="60" t="s">
        <v>277</v>
      </c>
      <c r="D136" s="60">
        <v>171</v>
      </c>
      <c r="E136" s="62">
        <v>293.85000000000002</v>
      </c>
      <c r="F136" s="62">
        <v>50248.35</v>
      </c>
      <c r="G136" s="60" t="s">
        <v>34</v>
      </c>
    </row>
    <row r="137" spans="1:7">
      <c r="A137" s="60" t="s">
        <v>563</v>
      </c>
      <c r="B137" s="60" t="s">
        <v>155</v>
      </c>
      <c r="C137" s="60" t="s">
        <v>277</v>
      </c>
      <c r="D137" s="60">
        <v>54</v>
      </c>
      <c r="E137" s="62">
        <v>1375</v>
      </c>
      <c r="F137" s="62">
        <v>74250</v>
      </c>
      <c r="G137" s="60" t="s">
        <v>34</v>
      </c>
    </row>
    <row r="138" spans="1:7">
      <c r="A138" s="60" t="s">
        <v>563</v>
      </c>
      <c r="B138" s="60" t="s">
        <v>382</v>
      </c>
      <c r="C138" s="60" t="s">
        <v>326</v>
      </c>
      <c r="D138" s="60">
        <v>82</v>
      </c>
      <c r="E138" s="62">
        <v>301.64999999999998</v>
      </c>
      <c r="F138" s="62">
        <v>24735.3</v>
      </c>
      <c r="G138" s="60" t="s">
        <v>787</v>
      </c>
    </row>
    <row r="139" spans="1:7">
      <c r="A139" s="60" t="s">
        <v>572</v>
      </c>
      <c r="B139" s="60" t="s">
        <v>570</v>
      </c>
      <c r="C139" s="60" t="s">
        <v>277</v>
      </c>
      <c r="D139" s="60">
        <v>10</v>
      </c>
      <c r="E139" s="62">
        <v>10033</v>
      </c>
      <c r="F139" s="62">
        <v>100330</v>
      </c>
      <c r="G139" s="60" t="s">
        <v>46</v>
      </c>
    </row>
    <row r="140" spans="1:7">
      <c r="A140" s="60" t="s">
        <v>574</v>
      </c>
      <c r="B140" s="60" t="s">
        <v>543</v>
      </c>
      <c r="C140" s="60" t="s">
        <v>277</v>
      </c>
      <c r="D140" s="60">
        <v>22</v>
      </c>
      <c r="E140" s="62">
        <v>4534.75</v>
      </c>
      <c r="F140" s="62">
        <v>99764.5</v>
      </c>
      <c r="G140" s="60" t="s">
        <v>48</v>
      </c>
    </row>
    <row r="141" spans="1:7">
      <c r="A141" s="60" t="s">
        <v>574</v>
      </c>
      <c r="B141" s="60" t="s">
        <v>302</v>
      </c>
      <c r="C141" s="60" t="s">
        <v>326</v>
      </c>
      <c r="D141" s="60">
        <v>71</v>
      </c>
      <c r="E141" s="62">
        <v>1091.8</v>
      </c>
      <c r="F141" s="62">
        <v>77517.8</v>
      </c>
      <c r="G141" s="60" t="s">
        <v>787</v>
      </c>
    </row>
    <row r="142" spans="1:7">
      <c r="A142" s="60" t="s">
        <v>574</v>
      </c>
      <c r="B142" s="60" t="s">
        <v>570</v>
      </c>
      <c r="C142" s="60" t="s">
        <v>326</v>
      </c>
      <c r="D142" s="60">
        <v>10</v>
      </c>
      <c r="E142" s="62">
        <v>9901</v>
      </c>
      <c r="F142" s="62">
        <v>99010</v>
      </c>
      <c r="G142" s="60" t="s">
        <v>787</v>
      </c>
    </row>
    <row r="143" spans="1:7">
      <c r="A143" s="60" t="s">
        <v>574</v>
      </c>
      <c r="B143" s="60" t="s">
        <v>505</v>
      </c>
      <c r="C143" s="60" t="s">
        <v>277</v>
      </c>
      <c r="D143" s="60">
        <v>65</v>
      </c>
      <c r="E143" s="62">
        <v>1159.76</v>
      </c>
      <c r="F143" s="62">
        <v>75384.149999999994</v>
      </c>
      <c r="G143" s="60" t="s">
        <v>50</v>
      </c>
    </row>
    <row r="144" spans="1:7">
      <c r="A144" s="60" t="s">
        <v>578</v>
      </c>
      <c r="B144" s="60" t="s">
        <v>468</v>
      </c>
      <c r="C144" s="60" t="s">
        <v>326</v>
      </c>
      <c r="D144" s="60">
        <v>595</v>
      </c>
      <c r="E144" s="62">
        <v>83.95</v>
      </c>
      <c r="F144" s="62">
        <v>49950.85</v>
      </c>
      <c r="G144" s="60" t="s">
        <v>787</v>
      </c>
    </row>
    <row r="145" spans="1:7">
      <c r="A145" s="60" t="s">
        <v>578</v>
      </c>
      <c r="B145" s="60" t="s">
        <v>169</v>
      </c>
      <c r="C145" s="60" t="s">
        <v>277</v>
      </c>
      <c r="D145" s="60">
        <v>57</v>
      </c>
      <c r="E145" s="62">
        <v>870.95</v>
      </c>
      <c r="F145" s="62">
        <v>49644.15</v>
      </c>
      <c r="G145" s="60" t="s">
        <v>170</v>
      </c>
    </row>
    <row r="146" spans="1:7">
      <c r="A146" s="60" t="s">
        <v>578</v>
      </c>
      <c r="B146" s="60" t="s">
        <v>468</v>
      </c>
      <c r="C146" s="60" t="s">
        <v>277</v>
      </c>
      <c r="D146" s="60">
        <v>595</v>
      </c>
      <c r="E146" s="62">
        <v>84.05</v>
      </c>
      <c r="F146" s="62">
        <v>50007.71</v>
      </c>
      <c r="G146" s="60" t="s">
        <v>46</v>
      </c>
    </row>
    <row r="147" spans="1:7">
      <c r="A147" s="60" t="s">
        <v>583</v>
      </c>
      <c r="B147" s="60" t="s">
        <v>388</v>
      </c>
      <c r="C147" s="60" t="s">
        <v>326</v>
      </c>
      <c r="D147" s="60">
        <v>278</v>
      </c>
      <c r="E147" s="62">
        <v>970.3</v>
      </c>
      <c r="F147" s="62">
        <v>269743.40000000002</v>
      </c>
      <c r="G147" s="60" t="s">
        <v>787</v>
      </c>
    </row>
    <row r="148" spans="1:7">
      <c r="A148" s="60" t="s">
        <v>583</v>
      </c>
      <c r="B148" s="60" t="s">
        <v>520</v>
      </c>
      <c r="C148" s="60" t="s">
        <v>326</v>
      </c>
      <c r="D148" s="60">
        <v>80</v>
      </c>
      <c r="E148" s="62">
        <v>304.10000000000002</v>
      </c>
      <c r="F148" s="62">
        <v>24328</v>
      </c>
      <c r="G148" s="60" t="s">
        <v>787</v>
      </c>
    </row>
    <row r="149" spans="1:7">
      <c r="A149" s="60" t="s">
        <v>583</v>
      </c>
      <c r="B149" s="60" t="s">
        <v>557</v>
      </c>
      <c r="C149" s="60" t="s">
        <v>326</v>
      </c>
      <c r="D149" s="60">
        <v>19</v>
      </c>
      <c r="E149" s="62">
        <v>2505.9</v>
      </c>
      <c r="F149" s="62">
        <v>47612.05</v>
      </c>
      <c r="G149" s="60" t="s">
        <v>787</v>
      </c>
    </row>
    <row r="150" spans="1:7">
      <c r="A150" s="60" t="s">
        <v>583</v>
      </c>
      <c r="B150" s="60" t="s">
        <v>155</v>
      </c>
      <c r="C150" s="60" t="s">
        <v>277</v>
      </c>
      <c r="D150" s="60">
        <v>16</v>
      </c>
      <c r="E150" s="62">
        <v>1583.29</v>
      </c>
      <c r="F150" s="62">
        <v>25332.6</v>
      </c>
      <c r="G150" s="60" t="s">
        <v>46</v>
      </c>
    </row>
    <row r="151" spans="1:7">
      <c r="A151" s="60" t="s">
        <v>583</v>
      </c>
      <c r="B151" s="60" t="s">
        <v>595</v>
      </c>
      <c r="C151" s="60" t="s">
        <v>277</v>
      </c>
      <c r="D151" s="60">
        <v>18</v>
      </c>
      <c r="E151" s="62">
        <v>2730</v>
      </c>
      <c r="F151" s="62">
        <v>49140</v>
      </c>
      <c r="G151" s="60" t="s">
        <v>34</v>
      </c>
    </row>
    <row r="152" spans="1:7">
      <c r="A152" s="60" t="s">
        <v>583</v>
      </c>
      <c r="B152" s="60" t="s">
        <v>124</v>
      </c>
      <c r="C152" s="60" t="s">
        <v>277</v>
      </c>
      <c r="D152" s="60">
        <v>16</v>
      </c>
      <c r="E152" s="62">
        <v>3127</v>
      </c>
      <c r="F152" s="62">
        <v>50032</v>
      </c>
      <c r="G152" s="60" t="s">
        <v>34</v>
      </c>
    </row>
    <row r="153" spans="1:7">
      <c r="A153" s="60" t="s">
        <v>583</v>
      </c>
      <c r="B153" s="60" t="s">
        <v>176</v>
      </c>
      <c r="C153" s="60" t="s">
        <v>277</v>
      </c>
      <c r="D153" s="60">
        <v>19</v>
      </c>
      <c r="E153" s="62">
        <v>2727.2</v>
      </c>
      <c r="F153" s="62">
        <v>51816.800000000003</v>
      </c>
      <c r="G153" s="60" t="s">
        <v>34</v>
      </c>
    </row>
    <row r="154" spans="1:7">
      <c r="A154" s="60" t="s">
        <v>583</v>
      </c>
      <c r="B154" s="60" t="s">
        <v>375</v>
      </c>
      <c r="C154" s="60" t="s">
        <v>326</v>
      </c>
      <c r="D154" s="60">
        <v>205</v>
      </c>
      <c r="E154" s="62">
        <v>367</v>
      </c>
      <c r="F154" s="62">
        <v>75235</v>
      </c>
      <c r="G154" s="60" t="s">
        <v>787</v>
      </c>
    </row>
    <row r="155" spans="1:7">
      <c r="A155" s="60" t="s">
        <v>583</v>
      </c>
      <c r="B155" s="60" t="s">
        <v>150</v>
      </c>
      <c r="C155" s="60" t="s">
        <v>277</v>
      </c>
      <c r="D155" s="60">
        <v>38</v>
      </c>
      <c r="E155" s="62">
        <v>1325.5</v>
      </c>
      <c r="F155" s="62">
        <v>50369</v>
      </c>
      <c r="G155" s="60" t="s">
        <v>34</v>
      </c>
    </row>
    <row r="156" spans="1:7">
      <c r="A156" s="60" t="s">
        <v>583</v>
      </c>
      <c r="B156" s="60" t="s">
        <v>385</v>
      </c>
      <c r="C156" s="60" t="s">
        <v>326</v>
      </c>
      <c r="D156" s="60">
        <v>386</v>
      </c>
      <c r="E156" s="62">
        <v>136.25</v>
      </c>
      <c r="F156" s="62">
        <v>52592.5</v>
      </c>
      <c r="G156" s="60" t="s">
        <v>787</v>
      </c>
    </row>
    <row r="157" spans="1:7">
      <c r="A157" s="60" t="s">
        <v>583</v>
      </c>
      <c r="B157" s="60" t="s">
        <v>484</v>
      </c>
      <c r="C157" s="60" t="s">
        <v>326</v>
      </c>
      <c r="D157" s="60">
        <v>222</v>
      </c>
      <c r="E157" s="62">
        <v>425.25</v>
      </c>
      <c r="F157" s="62">
        <v>94405.5</v>
      </c>
      <c r="G157" s="60" t="s">
        <v>787</v>
      </c>
    </row>
    <row r="158" spans="1:7">
      <c r="A158" s="60" t="s">
        <v>601</v>
      </c>
      <c r="B158" s="60" t="s">
        <v>105</v>
      </c>
      <c r="C158" s="60" t="s">
        <v>277</v>
      </c>
      <c r="D158" s="60">
        <v>411</v>
      </c>
      <c r="E158" s="62">
        <v>121.7</v>
      </c>
      <c r="F158" s="62">
        <v>50018.7</v>
      </c>
      <c r="G158" s="60" t="s">
        <v>48</v>
      </c>
    </row>
    <row r="159" spans="1:7">
      <c r="A159" s="60" t="s">
        <v>601</v>
      </c>
      <c r="B159" s="60" t="s">
        <v>118</v>
      </c>
      <c r="C159" s="60" t="s">
        <v>277</v>
      </c>
      <c r="D159" s="60">
        <v>10</v>
      </c>
      <c r="E159" s="62">
        <v>3214</v>
      </c>
      <c r="F159" s="62">
        <v>32140</v>
      </c>
      <c r="G159" s="60" t="s">
        <v>40</v>
      </c>
    </row>
    <row r="160" spans="1:7">
      <c r="A160" s="60" t="s">
        <v>601</v>
      </c>
      <c r="B160" s="60" t="s">
        <v>153</v>
      </c>
      <c r="C160" s="60" t="s">
        <v>277</v>
      </c>
      <c r="D160" s="60">
        <v>26</v>
      </c>
      <c r="E160" s="62">
        <v>1899.2</v>
      </c>
      <c r="F160" s="62">
        <v>49379.199999999997</v>
      </c>
      <c r="G160" s="60" t="s">
        <v>34</v>
      </c>
    </row>
    <row r="161" spans="1:7">
      <c r="A161" s="60" t="s">
        <v>601</v>
      </c>
      <c r="B161" s="60" t="s">
        <v>182</v>
      </c>
      <c r="C161" s="60" t="s">
        <v>277</v>
      </c>
      <c r="D161" s="60">
        <v>29</v>
      </c>
      <c r="E161" s="62">
        <v>1713.42</v>
      </c>
      <c r="F161" s="62">
        <v>49689.3</v>
      </c>
      <c r="G161" s="60" t="s">
        <v>34</v>
      </c>
    </row>
    <row r="162" spans="1:7">
      <c r="A162" s="60" t="s">
        <v>601</v>
      </c>
      <c r="B162" s="60" t="s">
        <v>120</v>
      </c>
      <c r="C162" s="60" t="s">
        <v>277</v>
      </c>
      <c r="D162" s="60">
        <v>33</v>
      </c>
      <c r="E162" s="62">
        <v>1505.6</v>
      </c>
      <c r="F162" s="62">
        <v>49684.800000000003</v>
      </c>
      <c r="G162" s="60" t="s">
        <v>34</v>
      </c>
    </row>
    <row r="163" spans="1:7">
      <c r="A163" s="60" t="s">
        <v>610</v>
      </c>
      <c r="B163" s="60" t="s">
        <v>178</v>
      </c>
      <c r="C163" s="60" t="s">
        <v>277</v>
      </c>
      <c r="D163" s="60">
        <v>75</v>
      </c>
      <c r="E163" s="62">
        <v>670.55</v>
      </c>
      <c r="F163" s="62">
        <v>50291.25</v>
      </c>
      <c r="G163" s="60" t="s">
        <v>34</v>
      </c>
    </row>
    <row r="164" spans="1:7">
      <c r="A164" s="60" t="s">
        <v>612</v>
      </c>
      <c r="B164" s="60" t="s">
        <v>468</v>
      </c>
      <c r="C164" s="60" t="s">
        <v>326</v>
      </c>
      <c r="D164" s="60">
        <v>720</v>
      </c>
      <c r="E164" s="62">
        <v>77.709999999999994</v>
      </c>
      <c r="F164" s="62">
        <v>55951.199999999997</v>
      </c>
      <c r="G164" s="60" t="s">
        <v>787</v>
      </c>
    </row>
    <row r="165" spans="1:7">
      <c r="A165" s="60" t="s">
        <v>612</v>
      </c>
      <c r="B165" s="60" t="s">
        <v>537</v>
      </c>
      <c r="C165" s="60" t="s">
        <v>326</v>
      </c>
      <c r="D165" s="60">
        <v>92</v>
      </c>
      <c r="E165" s="62">
        <v>266.3</v>
      </c>
      <c r="F165" s="62">
        <v>24499.599999999999</v>
      </c>
      <c r="G165" s="60" t="s">
        <v>787</v>
      </c>
    </row>
    <row r="166" spans="1:7">
      <c r="A166" s="60" t="s">
        <v>612</v>
      </c>
      <c r="B166" s="60" t="s">
        <v>299</v>
      </c>
      <c r="C166" s="60" t="s">
        <v>326</v>
      </c>
      <c r="D166" s="60">
        <v>41</v>
      </c>
      <c r="E166" s="62">
        <v>633.57000000000005</v>
      </c>
      <c r="F166" s="62">
        <v>25976.400000000001</v>
      </c>
      <c r="G166" s="60" t="s">
        <v>787</v>
      </c>
    </row>
    <row r="167" spans="1:7">
      <c r="A167" s="60" t="s">
        <v>616</v>
      </c>
      <c r="B167" s="60" t="s">
        <v>121</v>
      </c>
      <c r="C167" s="60" t="s">
        <v>277</v>
      </c>
      <c r="D167" s="60">
        <v>40</v>
      </c>
      <c r="E167" s="62">
        <v>639.20000000000005</v>
      </c>
      <c r="F167" s="62">
        <v>25568</v>
      </c>
      <c r="G167" s="60" t="s">
        <v>34</v>
      </c>
    </row>
    <row r="168" spans="1:7">
      <c r="A168" s="60" t="s">
        <v>616</v>
      </c>
      <c r="B168" s="60" t="s">
        <v>182</v>
      </c>
      <c r="C168" s="60" t="s">
        <v>277</v>
      </c>
      <c r="D168" s="60">
        <v>27</v>
      </c>
      <c r="E168" s="62">
        <v>1814.76</v>
      </c>
      <c r="F168" s="62">
        <v>48998.400000000001</v>
      </c>
      <c r="G168" s="60" t="s">
        <v>46</v>
      </c>
    </row>
    <row r="169" spans="1:7">
      <c r="A169" s="60" t="s">
        <v>616</v>
      </c>
      <c r="B169" s="60" t="s">
        <v>236</v>
      </c>
      <c r="C169" s="60" t="s">
        <v>277</v>
      </c>
      <c r="D169" s="60">
        <v>67</v>
      </c>
      <c r="E169" s="62">
        <v>374</v>
      </c>
      <c r="F169" s="62">
        <v>25058</v>
      </c>
      <c r="G169" s="60" t="s">
        <v>34</v>
      </c>
    </row>
    <row r="170" spans="1:7">
      <c r="A170" s="60" t="s">
        <v>616</v>
      </c>
      <c r="B170" s="60" t="s">
        <v>180</v>
      </c>
      <c r="C170" s="60" t="s">
        <v>277</v>
      </c>
      <c r="D170" s="60">
        <v>141</v>
      </c>
      <c r="E170" s="62">
        <v>355.5</v>
      </c>
      <c r="F170" s="62">
        <v>50125.5</v>
      </c>
      <c r="G170" s="60" t="s">
        <v>46</v>
      </c>
    </row>
    <row r="171" spans="1:7">
      <c r="A171" s="60" t="s">
        <v>616</v>
      </c>
      <c r="B171" s="60" t="s">
        <v>332</v>
      </c>
      <c r="C171" s="60" t="s">
        <v>277</v>
      </c>
      <c r="D171" s="60">
        <v>12</v>
      </c>
      <c r="E171" s="62">
        <v>4195.1000000000004</v>
      </c>
      <c r="F171" s="62">
        <v>50341.2</v>
      </c>
      <c r="G171" s="60" t="s">
        <v>46</v>
      </c>
    </row>
    <row r="172" spans="1:7">
      <c r="A172" s="60" t="s">
        <v>624</v>
      </c>
      <c r="B172" s="60" t="s">
        <v>236</v>
      </c>
      <c r="C172" s="60" t="s">
        <v>277</v>
      </c>
      <c r="D172" s="60">
        <v>66</v>
      </c>
      <c r="E172" s="62">
        <v>382</v>
      </c>
      <c r="F172" s="62">
        <v>25212</v>
      </c>
      <c r="G172" s="60" t="s">
        <v>40</v>
      </c>
    </row>
    <row r="173" spans="1:7">
      <c r="A173" s="60" t="s">
        <v>626</v>
      </c>
      <c r="B173" s="60" t="s">
        <v>105</v>
      </c>
      <c r="C173" s="60" t="s">
        <v>277</v>
      </c>
      <c r="D173" s="60">
        <v>389</v>
      </c>
      <c r="E173" s="62">
        <v>128.84</v>
      </c>
      <c r="F173" s="62">
        <v>50118.76</v>
      </c>
      <c r="G173" s="60" t="s">
        <v>48</v>
      </c>
    </row>
    <row r="174" spans="1:7">
      <c r="A174" s="60" t="s">
        <v>628</v>
      </c>
      <c r="B174" s="60" t="s">
        <v>169</v>
      </c>
      <c r="C174" s="60" t="s">
        <v>277</v>
      </c>
      <c r="D174" s="60">
        <v>28</v>
      </c>
      <c r="E174" s="62">
        <v>918.55</v>
      </c>
      <c r="F174" s="62">
        <v>25719.4</v>
      </c>
      <c r="G174" s="60" t="s">
        <v>46</v>
      </c>
    </row>
    <row r="175" spans="1:7">
      <c r="A175" s="60" t="s">
        <v>630</v>
      </c>
      <c r="B175" s="60" t="s">
        <v>187</v>
      </c>
      <c r="C175" s="60" t="s">
        <v>277</v>
      </c>
      <c r="D175" s="60">
        <v>87</v>
      </c>
      <c r="E175" s="62">
        <v>1144.5</v>
      </c>
      <c r="F175" s="62">
        <v>99571.5</v>
      </c>
      <c r="G175" s="60" t="s">
        <v>52</v>
      </c>
    </row>
    <row r="176" spans="1:7">
      <c r="A176" s="60" t="s">
        <v>630</v>
      </c>
      <c r="B176" s="60" t="s">
        <v>150</v>
      </c>
      <c r="C176" s="60" t="s">
        <v>277</v>
      </c>
      <c r="D176" s="60">
        <v>37</v>
      </c>
      <c r="E176" s="62">
        <v>1376</v>
      </c>
      <c r="F176" s="62">
        <v>50912</v>
      </c>
      <c r="G176" s="60" t="s">
        <v>46</v>
      </c>
    </row>
    <row r="177" spans="1:7">
      <c r="A177" s="60" t="s">
        <v>630</v>
      </c>
      <c r="B177" s="60" t="s">
        <v>155</v>
      </c>
      <c r="C177" s="60" t="s">
        <v>326</v>
      </c>
      <c r="D177" s="60">
        <v>70</v>
      </c>
      <c r="E177" s="62">
        <v>1292.8599999999999</v>
      </c>
      <c r="F177" s="62">
        <v>90500.5</v>
      </c>
      <c r="G177" s="60" t="s">
        <v>787</v>
      </c>
    </row>
    <row r="178" spans="1:7">
      <c r="A178" s="60" t="s">
        <v>630</v>
      </c>
      <c r="B178" s="60" t="s">
        <v>176</v>
      </c>
      <c r="C178" s="60" t="s">
        <v>277</v>
      </c>
      <c r="D178" s="60">
        <v>17</v>
      </c>
      <c r="E178" s="62">
        <v>2954.27</v>
      </c>
      <c r="F178" s="62">
        <v>50222.6</v>
      </c>
      <c r="G178" s="60" t="s">
        <v>46</v>
      </c>
    </row>
    <row r="179" spans="1:7">
      <c r="A179" s="60" t="s">
        <v>630</v>
      </c>
      <c r="B179" s="60" t="s">
        <v>173</v>
      </c>
      <c r="C179" s="60" t="s">
        <v>277</v>
      </c>
      <c r="D179" s="60">
        <v>36</v>
      </c>
      <c r="E179" s="62">
        <v>1403.56</v>
      </c>
      <c r="F179" s="62">
        <v>50528.2</v>
      </c>
      <c r="G179" s="60" t="s">
        <v>46</v>
      </c>
    </row>
    <row r="180" spans="1:7">
      <c r="A180" s="60" t="s">
        <v>630</v>
      </c>
      <c r="B180" s="60" t="s">
        <v>178</v>
      </c>
      <c r="C180" s="60" t="s">
        <v>277</v>
      </c>
      <c r="D180" s="60">
        <v>70</v>
      </c>
      <c r="E180" s="62">
        <v>713</v>
      </c>
      <c r="F180" s="62">
        <v>49910</v>
      </c>
      <c r="G180" s="60" t="s">
        <v>46</v>
      </c>
    </row>
    <row r="181" spans="1:7">
      <c r="A181" s="60" t="s">
        <v>630</v>
      </c>
      <c r="B181" s="60" t="s">
        <v>207</v>
      </c>
      <c r="C181" s="60" t="s">
        <v>277</v>
      </c>
      <c r="D181" s="60">
        <v>8</v>
      </c>
      <c r="E181" s="62">
        <v>4949.8</v>
      </c>
      <c r="F181" s="62">
        <v>39598.400000000001</v>
      </c>
      <c r="G181" s="60" t="s">
        <v>34</v>
      </c>
    </row>
    <row r="182" spans="1:7">
      <c r="A182" s="60" t="s">
        <v>630</v>
      </c>
      <c r="B182" s="60" t="s">
        <v>180</v>
      </c>
      <c r="C182" s="60" t="s">
        <v>277</v>
      </c>
      <c r="D182" s="60">
        <v>244</v>
      </c>
      <c r="E182" s="62">
        <v>409.9</v>
      </c>
      <c r="F182" s="62">
        <v>100015.6</v>
      </c>
      <c r="G182" s="60" t="s">
        <v>48</v>
      </c>
    </row>
    <row r="183" spans="1:7">
      <c r="A183" s="60" t="s">
        <v>630</v>
      </c>
      <c r="B183" s="60" t="s">
        <v>169</v>
      </c>
      <c r="C183" s="60" t="s">
        <v>277</v>
      </c>
      <c r="D183" s="60">
        <v>108</v>
      </c>
      <c r="E183" s="62">
        <v>925</v>
      </c>
      <c r="F183" s="62">
        <v>99899.95</v>
      </c>
      <c r="G183" s="60" t="s">
        <v>48</v>
      </c>
    </row>
    <row r="184" spans="1:7">
      <c r="A184" s="60" t="s">
        <v>630</v>
      </c>
      <c r="B184" s="60" t="s">
        <v>162</v>
      </c>
      <c r="C184" s="60" t="s">
        <v>326</v>
      </c>
      <c r="D184" s="60">
        <v>300</v>
      </c>
      <c r="E184" s="62">
        <v>87.52</v>
      </c>
      <c r="F184" s="62">
        <v>26256</v>
      </c>
      <c r="G184" s="60" t="s">
        <v>787</v>
      </c>
    </row>
    <row r="185" spans="1:7">
      <c r="A185" s="60" t="s">
        <v>642</v>
      </c>
      <c r="B185" s="60" t="s">
        <v>207</v>
      </c>
      <c r="C185" s="60" t="s">
        <v>277</v>
      </c>
      <c r="D185" s="60">
        <v>3</v>
      </c>
      <c r="E185" s="62">
        <v>4997.3999999999996</v>
      </c>
      <c r="F185" s="62">
        <v>14992.2</v>
      </c>
      <c r="G185" s="60" t="s">
        <v>40</v>
      </c>
    </row>
    <row r="186" spans="1:7">
      <c r="A186" s="60" t="s">
        <v>642</v>
      </c>
      <c r="B186" s="60" t="s">
        <v>125</v>
      </c>
      <c r="C186" s="60" t="s">
        <v>277</v>
      </c>
      <c r="D186" s="60">
        <v>72</v>
      </c>
      <c r="E186" s="62">
        <v>697.1</v>
      </c>
      <c r="F186" s="62">
        <v>50191.199999999997</v>
      </c>
      <c r="G186" s="60" t="s">
        <v>34</v>
      </c>
    </row>
    <row r="187" spans="1:7">
      <c r="A187" s="60" t="s">
        <v>642</v>
      </c>
      <c r="B187" s="60" t="s">
        <v>228</v>
      </c>
      <c r="C187" s="60" t="s">
        <v>277</v>
      </c>
      <c r="D187" s="60">
        <v>92</v>
      </c>
      <c r="E187" s="62">
        <v>547</v>
      </c>
      <c r="F187" s="62">
        <v>50324</v>
      </c>
      <c r="G187" s="60" t="s">
        <v>34</v>
      </c>
    </row>
    <row r="188" spans="1:7">
      <c r="A188" s="60" t="s">
        <v>642</v>
      </c>
      <c r="B188" s="60" t="s">
        <v>217</v>
      </c>
      <c r="C188" s="60" t="s">
        <v>277</v>
      </c>
      <c r="D188" s="60">
        <v>129</v>
      </c>
      <c r="E188" s="62">
        <v>389.65</v>
      </c>
      <c r="F188" s="62">
        <v>50264.85</v>
      </c>
      <c r="G188" s="60" t="s">
        <v>34</v>
      </c>
    </row>
    <row r="189" spans="1:7">
      <c r="A189" s="60" t="s">
        <v>642</v>
      </c>
      <c r="B189" s="60" t="s">
        <v>648</v>
      </c>
      <c r="C189" s="60" t="s">
        <v>277</v>
      </c>
      <c r="D189" s="60">
        <v>46</v>
      </c>
      <c r="E189" s="62">
        <v>1092.4000000000001</v>
      </c>
      <c r="F189" s="62">
        <v>50250.400000000001</v>
      </c>
      <c r="G189" s="60" t="s">
        <v>34</v>
      </c>
    </row>
    <row r="190" spans="1:7">
      <c r="A190" s="60" t="s">
        <v>642</v>
      </c>
      <c r="B190" s="60" t="s">
        <v>226</v>
      </c>
      <c r="C190" s="60" t="s">
        <v>277</v>
      </c>
      <c r="D190" s="60">
        <v>11</v>
      </c>
      <c r="E190" s="62">
        <v>4599.12</v>
      </c>
      <c r="F190" s="62">
        <v>50590.3</v>
      </c>
      <c r="G190" s="60" t="s">
        <v>34</v>
      </c>
    </row>
    <row r="191" spans="1:7">
      <c r="A191" s="60" t="s">
        <v>657</v>
      </c>
      <c r="B191" s="60" t="s">
        <v>505</v>
      </c>
      <c r="C191" s="60" t="s">
        <v>277</v>
      </c>
      <c r="D191" s="60">
        <v>25</v>
      </c>
      <c r="E191" s="62">
        <v>1209.4000000000001</v>
      </c>
      <c r="F191" s="62">
        <v>30235</v>
      </c>
      <c r="G191" s="60" t="s">
        <v>50</v>
      </c>
    </row>
    <row r="192" spans="1:7">
      <c r="A192" s="60" t="s">
        <v>657</v>
      </c>
      <c r="B192" s="60" t="s">
        <v>663</v>
      </c>
      <c r="C192" s="60" t="s">
        <v>277</v>
      </c>
      <c r="D192" s="60">
        <v>26</v>
      </c>
      <c r="E192" s="62">
        <v>1152.9000000000001</v>
      </c>
      <c r="F192" s="62">
        <v>29975.4</v>
      </c>
      <c r="G192" s="60" t="s">
        <v>34</v>
      </c>
    </row>
    <row r="193" spans="1:7">
      <c r="A193" s="60" t="s">
        <v>657</v>
      </c>
      <c r="B193" s="60" t="s">
        <v>672</v>
      </c>
      <c r="C193" s="60" t="s">
        <v>277</v>
      </c>
      <c r="D193" s="60">
        <v>43</v>
      </c>
      <c r="E193" s="62">
        <v>663.75</v>
      </c>
      <c r="F193" s="62">
        <v>28541.25</v>
      </c>
      <c r="G193" s="60" t="s">
        <v>34</v>
      </c>
    </row>
    <row r="194" spans="1:7">
      <c r="A194" s="60" t="s">
        <v>657</v>
      </c>
      <c r="B194" s="60" t="s">
        <v>669</v>
      </c>
      <c r="C194" s="60" t="s">
        <v>277</v>
      </c>
      <c r="D194" s="60">
        <v>3</v>
      </c>
      <c r="E194" s="62">
        <v>10344</v>
      </c>
      <c r="F194" s="62">
        <v>31032</v>
      </c>
      <c r="G194" s="60" t="s">
        <v>34</v>
      </c>
    </row>
    <row r="195" spans="1:7">
      <c r="A195" s="60" t="s">
        <v>657</v>
      </c>
      <c r="B195" s="60" t="s">
        <v>679</v>
      </c>
      <c r="C195" s="60" t="s">
        <v>277</v>
      </c>
      <c r="D195" s="60">
        <v>3</v>
      </c>
      <c r="E195" s="62">
        <v>10301</v>
      </c>
      <c r="F195" s="62">
        <v>30903</v>
      </c>
      <c r="G195" s="60" t="s">
        <v>34</v>
      </c>
    </row>
    <row r="196" spans="1:7">
      <c r="A196" s="60" t="s">
        <v>657</v>
      </c>
      <c r="B196" s="60" t="s">
        <v>682</v>
      </c>
      <c r="C196" s="60" t="s">
        <v>277</v>
      </c>
      <c r="D196" s="60">
        <v>4</v>
      </c>
      <c r="E196" s="62">
        <v>12829</v>
      </c>
      <c r="F196" s="62">
        <v>51316</v>
      </c>
      <c r="G196" s="60" t="s">
        <v>34</v>
      </c>
    </row>
    <row r="197" spans="1:7">
      <c r="A197" s="60" t="s">
        <v>657</v>
      </c>
      <c r="B197" s="60" t="s">
        <v>553</v>
      </c>
      <c r="C197" s="60" t="s">
        <v>277</v>
      </c>
      <c r="D197" s="60">
        <v>2</v>
      </c>
      <c r="E197" s="62">
        <v>18259</v>
      </c>
      <c r="F197" s="62">
        <v>36518</v>
      </c>
      <c r="G197" s="60" t="s">
        <v>40</v>
      </c>
    </row>
    <row r="198" spans="1:7">
      <c r="A198" s="60" t="s">
        <v>657</v>
      </c>
      <c r="B198" s="60" t="s">
        <v>724</v>
      </c>
      <c r="C198" s="60" t="s">
        <v>277</v>
      </c>
      <c r="D198" s="60">
        <v>15</v>
      </c>
      <c r="E198" s="62">
        <v>1972.4</v>
      </c>
      <c r="F198" s="62">
        <v>29586</v>
      </c>
      <c r="G198" s="60" t="s">
        <v>34</v>
      </c>
    </row>
    <row r="199" spans="1:7">
      <c r="A199" s="60" t="s">
        <v>657</v>
      </c>
      <c r="B199" s="60" t="s">
        <v>699</v>
      </c>
      <c r="C199" s="60" t="s">
        <v>277</v>
      </c>
      <c r="D199" s="60">
        <v>43</v>
      </c>
      <c r="E199" s="62">
        <v>679.8</v>
      </c>
      <c r="F199" s="62">
        <v>29231.4</v>
      </c>
      <c r="G199" s="60" t="s">
        <v>34</v>
      </c>
    </row>
    <row r="200" spans="1:7">
      <c r="A200" s="60" t="s">
        <v>657</v>
      </c>
      <c r="B200" s="60" t="s">
        <v>125</v>
      </c>
      <c r="C200" s="60" t="s">
        <v>277</v>
      </c>
      <c r="D200" s="60">
        <v>42</v>
      </c>
      <c r="E200" s="62">
        <v>678.75</v>
      </c>
      <c r="F200" s="62">
        <v>28507.5</v>
      </c>
      <c r="G200" s="60" t="s">
        <v>40</v>
      </c>
    </row>
    <row r="201" spans="1:7">
      <c r="A201" s="60" t="s">
        <v>657</v>
      </c>
      <c r="B201" s="60" t="s">
        <v>714</v>
      </c>
      <c r="C201" s="60" t="s">
        <v>277</v>
      </c>
      <c r="D201" s="60">
        <v>8</v>
      </c>
      <c r="E201" s="62">
        <v>3520.1</v>
      </c>
      <c r="F201" s="62">
        <v>28160.799999999999</v>
      </c>
      <c r="G201" s="60" t="s">
        <v>34</v>
      </c>
    </row>
    <row r="202" spans="1:7">
      <c r="A202" s="60" t="s">
        <v>657</v>
      </c>
      <c r="B202" s="60" t="s">
        <v>655</v>
      </c>
      <c r="C202" s="60" t="s">
        <v>277</v>
      </c>
      <c r="D202" s="60">
        <v>27</v>
      </c>
      <c r="E202" s="62">
        <v>1101.3</v>
      </c>
      <c r="F202" s="62">
        <v>29735.1</v>
      </c>
      <c r="G202" s="60" t="s">
        <v>34</v>
      </c>
    </row>
    <row r="203" spans="1:7">
      <c r="A203" s="60" t="s">
        <v>657</v>
      </c>
      <c r="B203" s="60" t="s">
        <v>702</v>
      </c>
      <c r="C203" s="60" t="s">
        <v>277</v>
      </c>
      <c r="D203" s="60">
        <v>15</v>
      </c>
      <c r="E203" s="62">
        <v>1910.65</v>
      </c>
      <c r="F203" s="62">
        <v>28659.7</v>
      </c>
      <c r="G203" s="60" t="s">
        <v>34</v>
      </c>
    </row>
    <row r="204" spans="1:7">
      <c r="A204" s="60" t="s">
        <v>657</v>
      </c>
      <c r="B204" s="60" t="s">
        <v>696</v>
      </c>
      <c r="C204" s="60" t="s">
        <v>277</v>
      </c>
      <c r="D204" s="60">
        <v>6</v>
      </c>
      <c r="E204" s="62">
        <v>5189</v>
      </c>
      <c r="F204" s="62">
        <v>31134</v>
      </c>
      <c r="G204" s="60" t="s">
        <v>34</v>
      </c>
    </row>
    <row r="205" spans="1:7">
      <c r="A205" s="60" t="s">
        <v>657</v>
      </c>
      <c r="B205" s="60" t="s">
        <v>691</v>
      </c>
      <c r="C205" s="60" t="s">
        <v>277</v>
      </c>
      <c r="D205" s="60">
        <v>18</v>
      </c>
      <c r="E205" s="62">
        <v>1562.2</v>
      </c>
      <c r="F205" s="62">
        <v>28119.599999999999</v>
      </c>
      <c r="G205" s="60" t="s">
        <v>34</v>
      </c>
    </row>
    <row r="206" spans="1:7">
      <c r="A206" s="60" t="s">
        <v>657</v>
      </c>
      <c r="B206" s="60" t="s">
        <v>685</v>
      </c>
      <c r="C206" s="60" t="s">
        <v>277</v>
      </c>
      <c r="D206" s="60">
        <v>6</v>
      </c>
      <c r="E206" s="62">
        <v>8958</v>
      </c>
      <c r="F206" s="62">
        <v>53748</v>
      </c>
      <c r="G206" s="60" t="s">
        <v>34</v>
      </c>
    </row>
    <row r="207" spans="1:7">
      <c r="A207" s="60" t="s">
        <v>657</v>
      </c>
      <c r="B207" s="60" t="s">
        <v>108</v>
      </c>
      <c r="C207" s="60" t="s">
        <v>277</v>
      </c>
      <c r="D207" s="60">
        <v>54</v>
      </c>
      <c r="E207" s="62">
        <v>549.48</v>
      </c>
      <c r="F207" s="62">
        <v>29672</v>
      </c>
      <c r="G207" s="60" t="s">
        <v>34</v>
      </c>
    </row>
    <row r="208" spans="1:7">
      <c r="A208" s="60" t="s">
        <v>657</v>
      </c>
      <c r="B208" s="60" t="s">
        <v>660</v>
      </c>
      <c r="C208" s="60" t="s">
        <v>277</v>
      </c>
      <c r="D208" s="60">
        <v>1</v>
      </c>
      <c r="E208" s="62">
        <v>35105</v>
      </c>
      <c r="F208" s="62">
        <v>35105</v>
      </c>
      <c r="G208" s="60" t="s">
        <v>34</v>
      </c>
    </row>
    <row r="209" spans="1:7">
      <c r="A209" s="60" t="s">
        <v>657</v>
      </c>
      <c r="B209" s="60" t="s">
        <v>595</v>
      </c>
      <c r="C209" s="60" t="s">
        <v>277</v>
      </c>
      <c r="D209" s="60">
        <v>10</v>
      </c>
      <c r="E209" s="62">
        <v>2933.7</v>
      </c>
      <c r="F209" s="62">
        <v>29337</v>
      </c>
      <c r="G209" s="60" t="s">
        <v>40</v>
      </c>
    </row>
    <row r="210" spans="1:7">
      <c r="A210" s="60" t="s">
        <v>657</v>
      </c>
      <c r="B210" s="60" t="s">
        <v>272</v>
      </c>
      <c r="C210" s="60" t="s">
        <v>277</v>
      </c>
      <c r="D210" s="60">
        <v>3</v>
      </c>
      <c r="E210" s="62">
        <v>9432</v>
      </c>
      <c r="F210" s="62">
        <v>28296</v>
      </c>
      <c r="G210" s="60" t="s">
        <v>60</v>
      </c>
    </row>
    <row r="211" spans="1:7">
      <c r="A211" s="60" t="s">
        <v>657</v>
      </c>
      <c r="B211" s="60" t="s">
        <v>126</v>
      </c>
      <c r="C211" s="60" t="s">
        <v>277</v>
      </c>
      <c r="D211" s="60">
        <v>685</v>
      </c>
      <c r="E211" s="62">
        <v>42.36</v>
      </c>
      <c r="F211" s="62">
        <v>29016.6</v>
      </c>
      <c r="G211" s="60" t="s">
        <v>34</v>
      </c>
    </row>
    <row r="212" spans="1:7">
      <c r="A212" s="60" t="s">
        <v>657</v>
      </c>
      <c r="B212" s="60" t="s">
        <v>705</v>
      </c>
      <c r="C212" s="60" t="s">
        <v>277</v>
      </c>
      <c r="D212" s="60">
        <v>35</v>
      </c>
      <c r="E212" s="62">
        <v>838.6</v>
      </c>
      <c r="F212" s="62">
        <v>29351</v>
      </c>
      <c r="G212" s="60" t="s">
        <v>34</v>
      </c>
    </row>
    <row r="213" spans="1:7">
      <c r="A213" s="60" t="s">
        <v>657</v>
      </c>
      <c r="B213" s="60" t="s">
        <v>675</v>
      </c>
      <c r="C213" s="60" t="s">
        <v>277</v>
      </c>
      <c r="D213" s="60">
        <v>6</v>
      </c>
      <c r="E213" s="62">
        <v>4554.1000000000004</v>
      </c>
      <c r="F213" s="62">
        <v>27324.6</v>
      </c>
      <c r="G213" s="60" t="s">
        <v>34</v>
      </c>
    </row>
    <row r="214" spans="1:7">
      <c r="A214" s="60" t="s">
        <v>657</v>
      </c>
      <c r="B214" s="60" t="s">
        <v>708</v>
      </c>
      <c r="C214" s="60" t="s">
        <v>277</v>
      </c>
      <c r="D214" s="60">
        <v>21</v>
      </c>
      <c r="E214" s="62">
        <v>1330.9</v>
      </c>
      <c r="F214" s="62">
        <v>27948.9</v>
      </c>
      <c r="G214" s="60" t="s">
        <v>34</v>
      </c>
    </row>
    <row r="215" spans="1:7">
      <c r="A215" s="60" t="s">
        <v>657</v>
      </c>
      <c r="B215" s="60" t="s">
        <v>197</v>
      </c>
      <c r="C215" s="60" t="s">
        <v>277</v>
      </c>
      <c r="D215" s="60">
        <v>11</v>
      </c>
      <c r="E215" s="62">
        <v>2660</v>
      </c>
      <c r="F215" s="62">
        <v>29260</v>
      </c>
      <c r="G215" s="60" t="s">
        <v>34</v>
      </c>
    </row>
    <row r="216" spans="1:7">
      <c r="A216" s="60" t="s">
        <v>657</v>
      </c>
      <c r="B216" s="60" t="s">
        <v>666</v>
      </c>
      <c r="C216" s="60" t="s">
        <v>277</v>
      </c>
      <c r="D216" s="60">
        <v>55</v>
      </c>
      <c r="E216" s="62">
        <v>533.75</v>
      </c>
      <c r="F216" s="62">
        <v>29356.25</v>
      </c>
      <c r="G216" s="60" t="s">
        <v>34</v>
      </c>
    </row>
    <row r="217" spans="1:7">
      <c r="A217" s="60" t="s">
        <v>657</v>
      </c>
      <c r="B217" s="60" t="s">
        <v>711</v>
      </c>
      <c r="C217" s="60" t="s">
        <v>277</v>
      </c>
      <c r="D217" s="60">
        <v>40</v>
      </c>
      <c r="E217" s="62">
        <v>729.68</v>
      </c>
      <c r="F217" s="62">
        <v>29187.3</v>
      </c>
      <c r="G217" s="60" t="s">
        <v>34</v>
      </c>
    </row>
    <row r="218" spans="1:7">
      <c r="A218" s="60" t="s">
        <v>657</v>
      </c>
      <c r="B218" s="60" t="s">
        <v>719</v>
      </c>
      <c r="C218" s="60" t="s">
        <v>277</v>
      </c>
      <c r="D218" s="60">
        <v>4</v>
      </c>
      <c r="E218" s="62">
        <v>7050</v>
      </c>
      <c r="F218" s="62">
        <v>28200</v>
      </c>
      <c r="G218" s="60" t="s">
        <v>34</v>
      </c>
    </row>
    <row r="219" spans="1:7">
      <c r="A219" s="60" t="s">
        <v>657</v>
      </c>
      <c r="B219" s="60" t="s">
        <v>127</v>
      </c>
      <c r="C219" s="60" t="s">
        <v>277</v>
      </c>
      <c r="D219" s="60">
        <v>37</v>
      </c>
      <c r="E219" s="62">
        <v>787.96</v>
      </c>
      <c r="F219" s="62">
        <v>29154.400000000001</v>
      </c>
      <c r="G219" s="60" t="s">
        <v>34</v>
      </c>
    </row>
    <row r="220" spans="1:7">
      <c r="A220" s="60" t="s">
        <v>657</v>
      </c>
      <c r="B220" s="60" t="s">
        <v>543</v>
      </c>
      <c r="C220" s="60" t="s">
        <v>277</v>
      </c>
      <c r="D220" s="60">
        <v>6</v>
      </c>
      <c r="E220" s="62">
        <v>4708</v>
      </c>
      <c r="F220" s="62">
        <v>28248</v>
      </c>
      <c r="G220" s="60" t="s">
        <v>50</v>
      </c>
    </row>
    <row r="221" spans="1:7">
      <c r="A221" s="60" t="s">
        <v>747</v>
      </c>
      <c r="B221" s="60" t="s">
        <v>745</v>
      </c>
      <c r="C221" s="60" t="s">
        <v>277</v>
      </c>
      <c r="D221" s="60">
        <v>2</v>
      </c>
      <c r="E221" s="62">
        <v>17264</v>
      </c>
      <c r="F221" s="62">
        <v>34528</v>
      </c>
      <c r="G221" s="60" t="s">
        <v>34</v>
      </c>
    </row>
    <row r="222" spans="1:7">
      <c r="A222" s="60" t="s">
        <v>730</v>
      </c>
      <c r="B222" s="60" t="s">
        <v>543</v>
      </c>
      <c r="C222" s="60" t="s">
        <v>277</v>
      </c>
      <c r="D222" s="60">
        <v>14</v>
      </c>
      <c r="E222" s="62">
        <v>5100</v>
      </c>
      <c r="F222" s="62">
        <v>71400</v>
      </c>
      <c r="G222" s="60" t="s">
        <v>50</v>
      </c>
    </row>
    <row r="223" spans="1:7">
      <c r="A223" s="60" t="s">
        <v>730</v>
      </c>
      <c r="B223" s="60" t="s">
        <v>553</v>
      </c>
      <c r="C223" s="60" t="s">
        <v>277</v>
      </c>
      <c r="D223" s="60">
        <v>2</v>
      </c>
      <c r="E223" s="62">
        <v>18502</v>
      </c>
      <c r="F223" s="62">
        <v>37004</v>
      </c>
      <c r="G223" s="60" t="s">
        <v>46</v>
      </c>
    </row>
    <row r="224" spans="1:7">
      <c r="A224" s="60" t="s">
        <v>730</v>
      </c>
      <c r="B224" s="60" t="s">
        <v>505</v>
      </c>
      <c r="C224" s="60" t="s">
        <v>277</v>
      </c>
      <c r="D224" s="60">
        <v>71</v>
      </c>
      <c r="E224" s="62">
        <v>1350.85</v>
      </c>
      <c r="F224" s="62">
        <v>95910</v>
      </c>
      <c r="G224" s="60" t="s">
        <v>52</v>
      </c>
    </row>
    <row r="225" spans="1:7">
      <c r="A225" s="60" t="s">
        <v>734</v>
      </c>
      <c r="B225" s="60" t="s">
        <v>178</v>
      </c>
      <c r="C225" s="60" t="s">
        <v>277</v>
      </c>
      <c r="D225" s="60">
        <v>65</v>
      </c>
      <c r="E225" s="62">
        <v>767.25</v>
      </c>
      <c r="F225" s="62">
        <v>49871.25</v>
      </c>
      <c r="G225" s="60" t="s">
        <v>48</v>
      </c>
    </row>
    <row r="226" spans="1:7">
      <c r="A226" s="60" t="s">
        <v>734</v>
      </c>
      <c r="B226" s="60" t="s">
        <v>145</v>
      </c>
      <c r="C226" s="60" t="s">
        <v>326</v>
      </c>
      <c r="D226" s="60">
        <v>276</v>
      </c>
      <c r="E226" s="62">
        <v>280.7</v>
      </c>
      <c r="F226" s="62">
        <v>77472.100000000006</v>
      </c>
      <c r="G226" s="60" t="s">
        <v>787</v>
      </c>
    </row>
    <row r="227" spans="1:7">
      <c r="A227" s="60" t="s">
        <v>734</v>
      </c>
      <c r="B227" s="60" t="s">
        <v>182</v>
      </c>
      <c r="C227" s="60" t="s">
        <v>277</v>
      </c>
      <c r="D227" s="60">
        <v>49</v>
      </c>
      <c r="E227" s="62">
        <v>2027.92</v>
      </c>
      <c r="F227" s="62">
        <v>99368.1</v>
      </c>
      <c r="G227" s="60" t="s">
        <v>48</v>
      </c>
    </row>
    <row r="228" spans="1:7">
      <c r="A228" s="60" t="s">
        <v>734</v>
      </c>
      <c r="B228" s="60" t="s">
        <v>741</v>
      </c>
      <c r="C228" s="60" t="s">
        <v>277</v>
      </c>
      <c r="D228" s="60">
        <v>14</v>
      </c>
      <c r="E228" s="62">
        <v>1817.62</v>
      </c>
      <c r="F228" s="62">
        <v>25446.7</v>
      </c>
      <c r="G228" s="60" t="s">
        <v>34</v>
      </c>
    </row>
    <row r="229" spans="1:7">
      <c r="A229" s="60" t="s">
        <v>734</v>
      </c>
      <c r="B229" s="60" t="s">
        <v>150</v>
      </c>
      <c r="C229" s="60" t="s">
        <v>277</v>
      </c>
      <c r="D229" s="60">
        <v>68</v>
      </c>
      <c r="E229" s="62">
        <v>1447.92</v>
      </c>
      <c r="F229" s="62">
        <v>98458.9</v>
      </c>
      <c r="G229" s="60" t="s">
        <v>48</v>
      </c>
    </row>
    <row r="230" spans="1:7">
      <c r="A230" s="60" t="s">
        <v>734</v>
      </c>
      <c r="B230" s="60" t="s">
        <v>217</v>
      </c>
      <c r="C230" s="60" t="s">
        <v>277</v>
      </c>
      <c r="D230" s="60">
        <v>125</v>
      </c>
      <c r="E230" s="62">
        <v>399.6</v>
      </c>
      <c r="F230" s="62">
        <v>49950</v>
      </c>
      <c r="G230" s="60" t="s">
        <v>46</v>
      </c>
    </row>
    <row r="231" spans="1:7">
      <c r="A231" s="60" t="s">
        <v>734</v>
      </c>
      <c r="B231" s="60" t="s">
        <v>153</v>
      </c>
      <c r="C231" s="60" t="s">
        <v>326</v>
      </c>
      <c r="D231" s="60">
        <v>26</v>
      </c>
      <c r="E231" s="62">
        <v>1790.38</v>
      </c>
      <c r="F231" s="62">
        <v>46549.8</v>
      </c>
      <c r="G231" s="60" t="s">
        <v>787</v>
      </c>
    </row>
    <row r="232" spans="1:7">
      <c r="A232" s="60" t="s">
        <v>749</v>
      </c>
      <c r="B232" s="60" t="s">
        <v>672</v>
      </c>
      <c r="C232" s="60" t="s">
        <v>277</v>
      </c>
      <c r="D232" s="60">
        <v>108</v>
      </c>
      <c r="E232" s="62">
        <v>666.57</v>
      </c>
      <c r="F232" s="62">
        <v>71989.600000000006</v>
      </c>
      <c r="G232" s="60" t="s">
        <v>46</v>
      </c>
    </row>
    <row r="233" spans="1:7">
      <c r="A233" s="60" t="s">
        <v>749</v>
      </c>
      <c r="B233" s="60" t="s">
        <v>714</v>
      </c>
      <c r="C233" s="60" t="s">
        <v>277</v>
      </c>
      <c r="D233" s="60">
        <v>20</v>
      </c>
      <c r="E233" s="62">
        <v>3586.56</v>
      </c>
      <c r="F233" s="62">
        <v>71731.3</v>
      </c>
      <c r="G233" s="60" t="s">
        <v>46</v>
      </c>
    </row>
    <row r="234" spans="1:7">
      <c r="A234" s="60" t="s">
        <v>749</v>
      </c>
      <c r="B234" s="60" t="s">
        <v>682</v>
      </c>
      <c r="C234" s="60" t="s">
        <v>277</v>
      </c>
      <c r="D234" s="60">
        <v>4</v>
      </c>
      <c r="E234" s="62">
        <v>13553</v>
      </c>
      <c r="F234" s="62">
        <v>54212</v>
      </c>
      <c r="G234" s="60" t="s">
        <v>46</v>
      </c>
    </row>
    <row r="235" spans="1:7">
      <c r="A235" s="60" t="s">
        <v>749</v>
      </c>
      <c r="B235" s="60" t="s">
        <v>108</v>
      </c>
      <c r="C235" s="60" t="s">
        <v>277</v>
      </c>
      <c r="D235" s="60">
        <v>130</v>
      </c>
      <c r="E235" s="62">
        <v>535</v>
      </c>
      <c r="F235" s="62">
        <v>69550</v>
      </c>
      <c r="G235" s="60" t="s">
        <v>46</v>
      </c>
    </row>
    <row r="236" spans="1:7">
      <c r="A236" s="60" t="s">
        <v>749</v>
      </c>
      <c r="B236" s="60" t="s">
        <v>675</v>
      </c>
      <c r="C236" s="60" t="s">
        <v>277</v>
      </c>
      <c r="D236" s="60">
        <v>16</v>
      </c>
      <c r="E236" s="62">
        <v>4581.72</v>
      </c>
      <c r="F236" s="62">
        <v>73307.5</v>
      </c>
      <c r="G236" s="60" t="s">
        <v>46</v>
      </c>
    </row>
    <row r="237" spans="1:7">
      <c r="A237" s="60" t="s">
        <v>749</v>
      </c>
      <c r="B237" s="60" t="s">
        <v>666</v>
      </c>
      <c r="C237" s="60" t="s">
        <v>277</v>
      </c>
      <c r="D237" s="60">
        <v>133</v>
      </c>
      <c r="E237" s="62">
        <v>526.79999999999995</v>
      </c>
      <c r="F237" s="62">
        <v>70064.399999999994</v>
      </c>
      <c r="G237" s="60" t="s">
        <v>46</v>
      </c>
    </row>
    <row r="238" spans="1:7">
      <c r="A238" s="60" t="s">
        <v>749</v>
      </c>
      <c r="B238" s="60" t="s">
        <v>595</v>
      </c>
      <c r="C238" s="60" t="s">
        <v>277</v>
      </c>
      <c r="D238" s="60">
        <v>7</v>
      </c>
      <c r="E238" s="62">
        <v>3401</v>
      </c>
      <c r="F238" s="62">
        <v>23807</v>
      </c>
      <c r="G238" s="60" t="s">
        <v>46</v>
      </c>
    </row>
    <row r="239" spans="1:7">
      <c r="A239" s="60" t="s">
        <v>749</v>
      </c>
      <c r="B239" s="60" t="s">
        <v>691</v>
      </c>
      <c r="C239" s="60" t="s">
        <v>277</v>
      </c>
      <c r="D239" s="60">
        <v>46</v>
      </c>
      <c r="E239" s="62">
        <v>1545.6</v>
      </c>
      <c r="F239" s="62">
        <v>71097.7</v>
      </c>
      <c r="G239" s="60" t="s">
        <v>46</v>
      </c>
    </row>
    <row r="240" spans="1:7">
      <c r="A240" s="60" t="s">
        <v>749</v>
      </c>
      <c r="B240" s="60" t="s">
        <v>699</v>
      </c>
      <c r="C240" s="60" t="s">
        <v>277</v>
      </c>
      <c r="D240" s="60">
        <v>104</v>
      </c>
      <c r="E240" s="62">
        <v>661.24</v>
      </c>
      <c r="F240" s="62">
        <v>68768.600000000006</v>
      </c>
      <c r="G240" s="60" t="s">
        <v>46</v>
      </c>
    </row>
    <row r="241" spans="1:7">
      <c r="A241" s="60" t="s">
        <v>749</v>
      </c>
      <c r="B241" s="60" t="s">
        <v>173</v>
      </c>
      <c r="C241" s="60" t="s">
        <v>277</v>
      </c>
      <c r="D241" s="60">
        <v>68</v>
      </c>
      <c r="E241" s="62">
        <v>1471.08</v>
      </c>
      <c r="F241" s="62">
        <v>100033.7</v>
      </c>
      <c r="G241" s="60" t="s">
        <v>48</v>
      </c>
    </row>
    <row r="242" spans="1:7">
      <c r="A242" s="60" t="s">
        <v>749</v>
      </c>
      <c r="B242" s="60" t="s">
        <v>660</v>
      </c>
      <c r="C242" s="60" t="s">
        <v>277</v>
      </c>
      <c r="D242" s="60">
        <v>2</v>
      </c>
      <c r="E242" s="62">
        <v>35305</v>
      </c>
      <c r="F242" s="62">
        <v>70610</v>
      </c>
      <c r="G242" s="60" t="s">
        <v>46</v>
      </c>
    </row>
    <row r="243" spans="1:7">
      <c r="A243" s="60" t="s">
        <v>749</v>
      </c>
      <c r="B243" s="60" t="s">
        <v>705</v>
      </c>
      <c r="C243" s="60" t="s">
        <v>277</v>
      </c>
      <c r="D243" s="60">
        <v>84</v>
      </c>
      <c r="E243" s="62">
        <v>849.78</v>
      </c>
      <c r="F243" s="62">
        <v>71381.100000000006</v>
      </c>
      <c r="G243" s="60" t="s">
        <v>46</v>
      </c>
    </row>
    <row r="244" spans="1:7">
      <c r="A244" s="60" t="s">
        <v>749</v>
      </c>
      <c r="B244" s="60" t="s">
        <v>708</v>
      </c>
      <c r="C244" s="60" t="s">
        <v>277</v>
      </c>
      <c r="D244" s="60">
        <v>54</v>
      </c>
      <c r="E244" s="62">
        <v>1338.79</v>
      </c>
      <c r="F244" s="62">
        <v>72294.7</v>
      </c>
      <c r="G244" s="60" t="s">
        <v>46</v>
      </c>
    </row>
    <row r="245" spans="1:7">
      <c r="A245" s="60" t="s">
        <v>749</v>
      </c>
      <c r="B245" s="60" t="s">
        <v>711</v>
      </c>
      <c r="C245" s="60" t="s">
        <v>277</v>
      </c>
      <c r="D245" s="60">
        <v>97</v>
      </c>
      <c r="E245" s="62">
        <v>736.36</v>
      </c>
      <c r="F245" s="62">
        <v>71426.600000000006</v>
      </c>
      <c r="G245" s="60" t="s">
        <v>46</v>
      </c>
    </row>
    <row r="246" spans="1:7">
      <c r="A246" s="60" t="s">
        <v>749</v>
      </c>
      <c r="B246" s="60" t="s">
        <v>254</v>
      </c>
      <c r="C246" s="60" t="s">
        <v>277</v>
      </c>
      <c r="D246" s="60">
        <v>37</v>
      </c>
      <c r="E246" s="62">
        <v>679.2</v>
      </c>
      <c r="F246" s="62">
        <v>25130.400000000001</v>
      </c>
      <c r="G246" s="60" t="s">
        <v>34</v>
      </c>
    </row>
    <row r="247" spans="1:7">
      <c r="A247" s="60" t="s">
        <v>749</v>
      </c>
      <c r="B247" s="60" t="s">
        <v>655</v>
      </c>
      <c r="C247" s="60" t="s">
        <v>277</v>
      </c>
      <c r="D247" s="60">
        <v>64</v>
      </c>
      <c r="E247" s="62">
        <v>1096.29</v>
      </c>
      <c r="F247" s="62">
        <v>70162.8</v>
      </c>
      <c r="G247" s="60" t="s">
        <v>46</v>
      </c>
    </row>
    <row r="248" spans="1:7">
      <c r="A248" s="60" t="s">
        <v>749</v>
      </c>
      <c r="B248" s="60" t="s">
        <v>745</v>
      </c>
      <c r="C248" s="60" t="s">
        <v>277</v>
      </c>
      <c r="D248" s="60">
        <v>4</v>
      </c>
      <c r="E248" s="62">
        <v>16889.849999999999</v>
      </c>
      <c r="F248" s="62">
        <v>67559.399999999994</v>
      </c>
      <c r="G248" s="60" t="s">
        <v>46</v>
      </c>
    </row>
    <row r="249" spans="1:7">
      <c r="A249" s="60" t="s">
        <v>749</v>
      </c>
      <c r="B249" s="60" t="s">
        <v>696</v>
      </c>
      <c r="C249" s="60" t="s">
        <v>277</v>
      </c>
      <c r="D249" s="60">
        <v>13</v>
      </c>
      <c r="E249" s="62">
        <v>5242.5</v>
      </c>
      <c r="F249" s="62">
        <v>68152.5</v>
      </c>
      <c r="G249" s="60" t="s">
        <v>46</v>
      </c>
    </row>
    <row r="250" spans="1:7">
      <c r="A250" s="60" t="s">
        <v>749</v>
      </c>
      <c r="B250" s="60" t="s">
        <v>724</v>
      </c>
      <c r="C250" s="60" t="s">
        <v>277</v>
      </c>
      <c r="D250" s="60">
        <v>38</v>
      </c>
      <c r="E250" s="62">
        <v>2113.1999999999998</v>
      </c>
      <c r="F250" s="62">
        <v>80301.600000000006</v>
      </c>
      <c r="G250" s="60" t="s">
        <v>46</v>
      </c>
    </row>
    <row r="251" spans="1:7">
      <c r="A251" s="60" t="s">
        <v>749</v>
      </c>
      <c r="B251" s="60" t="s">
        <v>679</v>
      </c>
      <c r="C251" s="60" t="s">
        <v>277</v>
      </c>
      <c r="D251" s="60">
        <v>7</v>
      </c>
      <c r="E251" s="62">
        <v>9967.4699999999993</v>
      </c>
      <c r="F251" s="62">
        <v>69772.3</v>
      </c>
      <c r="G251" s="60" t="s">
        <v>46</v>
      </c>
    </row>
    <row r="252" spans="1:7">
      <c r="A252" s="60" t="s">
        <v>749</v>
      </c>
      <c r="B252" s="60" t="s">
        <v>236</v>
      </c>
      <c r="C252" s="60" t="s">
        <v>277</v>
      </c>
      <c r="D252" s="60">
        <v>116</v>
      </c>
      <c r="E252" s="62">
        <v>433.35</v>
      </c>
      <c r="F252" s="62">
        <v>50268.6</v>
      </c>
      <c r="G252" s="60" t="s">
        <v>46</v>
      </c>
    </row>
    <row r="253" spans="1:7">
      <c r="A253" s="60" t="s">
        <v>749</v>
      </c>
      <c r="B253" s="60" t="s">
        <v>663</v>
      </c>
      <c r="C253" s="60" t="s">
        <v>277</v>
      </c>
      <c r="D253" s="60">
        <v>61</v>
      </c>
      <c r="E253" s="62">
        <v>1203.9000000000001</v>
      </c>
      <c r="F253" s="62">
        <v>73437.899999999994</v>
      </c>
      <c r="G253" s="60" t="s">
        <v>46</v>
      </c>
    </row>
    <row r="254" spans="1:7">
      <c r="A254" s="60" t="s">
        <v>749</v>
      </c>
      <c r="B254" s="60" t="s">
        <v>669</v>
      </c>
      <c r="C254" s="60" t="s">
        <v>277</v>
      </c>
      <c r="D254" s="60">
        <v>7</v>
      </c>
      <c r="E254" s="62">
        <v>10273</v>
      </c>
      <c r="F254" s="62">
        <v>71911</v>
      </c>
      <c r="G254" s="60" t="s">
        <v>46</v>
      </c>
    </row>
    <row r="255" spans="1:7">
      <c r="A255" s="60" t="s">
        <v>749</v>
      </c>
      <c r="B255" s="60" t="s">
        <v>702</v>
      </c>
      <c r="C255" s="60" t="s">
        <v>277</v>
      </c>
      <c r="D255" s="60">
        <v>37</v>
      </c>
      <c r="E255" s="62">
        <v>1938.6</v>
      </c>
      <c r="F255" s="62">
        <v>71728.2</v>
      </c>
      <c r="G255" s="60" t="s">
        <v>46</v>
      </c>
    </row>
    <row r="256" spans="1:7">
      <c r="A256" s="60" t="s">
        <v>749</v>
      </c>
      <c r="B256" s="60" t="s">
        <v>197</v>
      </c>
      <c r="C256" s="60" t="s">
        <v>277</v>
      </c>
      <c r="D256" s="60">
        <v>27</v>
      </c>
      <c r="E256" s="62">
        <v>2700</v>
      </c>
      <c r="F256" s="62">
        <v>72900</v>
      </c>
      <c r="G256" s="60" t="s">
        <v>46</v>
      </c>
    </row>
    <row r="257" spans="1:7">
      <c r="A257" s="60" t="s">
        <v>749</v>
      </c>
      <c r="B257" s="60" t="s">
        <v>685</v>
      </c>
      <c r="C257" s="60" t="s">
        <v>277</v>
      </c>
      <c r="D257" s="60">
        <v>5</v>
      </c>
      <c r="E257" s="62">
        <v>9044.5</v>
      </c>
      <c r="F257" s="62">
        <v>45222.5</v>
      </c>
      <c r="G257" s="60" t="s">
        <v>46</v>
      </c>
    </row>
    <row r="258" spans="1:7">
      <c r="A258" s="60" t="s">
        <v>777</v>
      </c>
      <c r="B258" s="60" t="s">
        <v>254</v>
      </c>
      <c r="C258" s="60" t="s">
        <v>277</v>
      </c>
      <c r="D258" s="60">
        <v>107</v>
      </c>
      <c r="E258" s="62">
        <v>700.55</v>
      </c>
      <c r="F258" s="62">
        <v>74958.5</v>
      </c>
      <c r="G258" s="60" t="s">
        <v>46</v>
      </c>
    </row>
    <row r="259" spans="1:7">
      <c r="A259" s="60" t="s">
        <v>779</v>
      </c>
      <c r="B259" s="60" t="s">
        <v>182</v>
      </c>
      <c r="C259" s="60" t="s">
        <v>277</v>
      </c>
      <c r="D259" s="60">
        <v>47</v>
      </c>
      <c r="E259" s="62">
        <v>2134</v>
      </c>
      <c r="F259" s="62">
        <v>100298</v>
      </c>
      <c r="G259" s="60" t="s">
        <v>50</v>
      </c>
    </row>
    <row r="260" spans="1:7">
      <c r="A260" s="60" t="s">
        <v>779</v>
      </c>
      <c r="B260" s="60" t="s">
        <v>105</v>
      </c>
      <c r="C260" s="60" t="s">
        <v>277</v>
      </c>
      <c r="D260" s="60">
        <v>680</v>
      </c>
      <c r="E260" s="62">
        <v>160</v>
      </c>
      <c r="F260" s="62">
        <v>108800</v>
      </c>
      <c r="G260" s="60" t="s">
        <v>50</v>
      </c>
    </row>
    <row r="261" spans="1:7">
      <c r="A261" s="60" t="s">
        <v>779</v>
      </c>
      <c r="B261" s="60" t="s">
        <v>121</v>
      </c>
      <c r="C261" s="60" t="s">
        <v>277</v>
      </c>
      <c r="D261" s="60">
        <v>71</v>
      </c>
      <c r="E261" s="62">
        <v>705.4</v>
      </c>
      <c r="F261" s="62">
        <v>50083.4</v>
      </c>
      <c r="G261" s="60" t="s">
        <v>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9"/>
  <sheetViews>
    <sheetView workbookViewId="0">
      <pane ySplit="1" topLeftCell="A2" activePane="bottomLeft" state="frozen"/>
      <selection pane="bottomLeft" activeCell="C14" sqref="C14"/>
    </sheetView>
  </sheetViews>
  <sheetFormatPr defaultRowHeight="15"/>
  <cols>
    <col min="1" max="1" width="12" customWidth="1"/>
    <col min="2" max="2" width="11" customWidth="1"/>
    <col min="3" max="3" width="31.5703125" customWidth="1"/>
    <col min="4" max="4" width="19" customWidth="1"/>
    <col min="5" max="5" width="16" customWidth="1"/>
    <col min="6" max="6" width="18" customWidth="1"/>
    <col min="7" max="7" width="19" customWidth="1"/>
    <col min="8" max="8" width="40" customWidth="1"/>
    <col min="9" max="10" width="15" customWidth="1"/>
    <col min="11" max="11" width="35" customWidth="1"/>
    <col min="12" max="12" width="16" customWidth="1"/>
    <col min="13" max="14" width="40" customWidth="1"/>
    <col min="15" max="15" width="17" customWidth="1"/>
    <col min="16" max="20" width="15" customWidth="1"/>
    <col min="21" max="21" width="16" customWidth="1"/>
    <col min="22" max="23" width="29" customWidth="1"/>
    <col min="24" max="24" width="16" customWidth="1"/>
    <col min="25" max="25" width="25" customWidth="1"/>
    <col min="26" max="26" width="14" customWidth="1"/>
    <col min="27" max="28" width="18" customWidth="1"/>
  </cols>
  <sheetData>
    <row r="1" spans="1:28" ht="30">
      <c r="A1" s="72" t="s">
        <v>77</v>
      </c>
      <c r="B1" s="72" t="s">
        <v>53</v>
      </c>
      <c r="C1" s="72" t="s">
        <v>788</v>
      </c>
      <c r="D1" s="72" t="s">
        <v>136</v>
      </c>
      <c r="E1" s="72" t="s">
        <v>789</v>
      </c>
      <c r="F1" s="72" t="s">
        <v>790</v>
      </c>
      <c r="G1" s="72" t="s">
        <v>791</v>
      </c>
      <c r="H1" s="72" t="s">
        <v>792</v>
      </c>
      <c r="I1" s="72" t="s">
        <v>99</v>
      </c>
      <c r="J1" s="72" t="s">
        <v>793</v>
      </c>
      <c r="K1" s="72" t="s">
        <v>794</v>
      </c>
      <c r="L1" s="72" t="s">
        <v>795</v>
      </c>
      <c r="M1" s="72" t="s">
        <v>79</v>
      </c>
      <c r="N1" s="72" t="s">
        <v>796</v>
      </c>
      <c r="O1" s="72" t="s">
        <v>797</v>
      </c>
      <c r="P1" s="72" t="s">
        <v>798</v>
      </c>
      <c r="Q1" s="72" t="s">
        <v>799</v>
      </c>
      <c r="R1" s="72" t="s">
        <v>800</v>
      </c>
      <c r="S1" s="72" t="s">
        <v>801</v>
      </c>
      <c r="T1" s="72" t="s">
        <v>802</v>
      </c>
      <c r="U1" s="72" t="s">
        <v>803</v>
      </c>
      <c r="V1" s="72" t="s">
        <v>804</v>
      </c>
      <c r="W1" s="72" t="s">
        <v>116</v>
      </c>
      <c r="X1" s="72" t="s">
        <v>805</v>
      </c>
      <c r="Y1" s="72" t="s">
        <v>806</v>
      </c>
      <c r="Z1" s="72" t="s">
        <v>807</v>
      </c>
      <c r="AA1" s="72" t="s">
        <v>808</v>
      </c>
      <c r="AB1" s="72" t="s">
        <v>809</v>
      </c>
    </row>
    <row r="2" spans="1:28">
      <c r="A2" s="73" t="s">
        <v>595</v>
      </c>
      <c r="B2" s="60" t="s">
        <v>64</v>
      </c>
      <c r="C2" s="60" t="s">
        <v>87</v>
      </c>
      <c r="D2" s="60" t="s">
        <v>74</v>
      </c>
      <c r="E2" s="60" t="s">
        <v>46</v>
      </c>
      <c r="F2" s="60">
        <v>35</v>
      </c>
      <c r="G2" s="62">
        <v>2922.4</v>
      </c>
      <c r="H2" s="63" t="str">
        <f t="shared" ref="H2:H59" ca="1" si="0">IF(M2&gt;N2, "▲", IF(M2&lt;N2, "▼", "─"))</f>
        <v>▲</v>
      </c>
      <c r="I2" s="62">
        <v>2630.16</v>
      </c>
      <c r="J2" s="62">
        <f t="shared" ref="J2:J59" ca="1" si="1">M2-I2</f>
        <v>515.14000000000033</v>
      </c>
      <c r="K2" s="64">
        <f t="shared" ref="K2:K59" ca="1" si="2">IF(M2&gt;0, (M2-I2)/M2, 0)</f>
        <v>0.16378087940736982</v>
      </c>
      <c r="L2" s="62">
        <v>102284</v>
      </c>
      <c r="M2" s="62">
        <f ca="1">IFERROR(INDEX(Price_Update!$F:$F, MATCH(A2, Price_Update!$A:$A, 0)), 3145.3)</f>
        <v>3145.3</v>
      </c>
      <c r="N2" s="62">
        <f ca="1">IFERROR(INDEX(Price_Update!$I:$I, MATCH(A2, Price_Update!$A:$A, 0)), 3128.1)</f>
        <v>3128.1</v>
      </c>
      <c r="O2" s="62">
        <v>3145.3</v>
      </c>
      <c r="P2" s="62">
        <v>3157.38</v>
      </c>
      <c r="Q2" s="62">
        <v>3150.21</v>
      </c>
      <c r="R2" s="62">
        <v>3142.27</v>
      </c>
      <c r="S2" s="62">
        <v>3046.6</v>
      </c>
      <c r="T2" s="62">
        <f t="shared" ref="T2:T59" ca="1" si="3">F2*M2</f>
        <v>110085.5</v>
      </c>
      <c r="U2" s="62">
        <f t="shared" ref="U2:U59" ca="1" si="4">T2-L2</f>
        <v>7801.5</v>
      </c>
      <c r="V2" s="64">
        <f t="shared" ref="V2:V59" ca="1" si="5">IF(L2&gt;0, U2/L2, 0)</f>
        <v>7.6272926361894339E-2</v>
      </c>
      <c r="W2" s="64">
        <v>2.9692205669940548</v>
      </c>
      <c r="X2" s="60">
        <v>30</v>
      </c>
      <c r="Y2" s="60"/>
      <c r="Z2" s="60" t="s">
        <v>107</v>
      </c>
      <c r="AA2" s="62">
        <v>3132.5</v>
      </c>
      <c r="AB2" s="60">
        <v>3328.3</v>
      </c>
    </row>
    <row r="3" spans="1:28">
      <c r="A3" s="73" t="s">
        <v>675</v>
      </c>
      <c r="B3" s="60" t="s">
        <v>63</v>
      </c>
      <c r="C3" s="60" t="s">
        <v>86</v>
      </c>
      <c r="D3" s="60" t="s">
        <v>74</v>
      </c>
      <c r="E3" s="60" t="s">
        <v>46</v>
      </c>
      <c r="F3" s="60">
        <v>22</v>
      </c>
      <c r="G3" s="62">
        <v>4574.1899999999996</v>
      </c>
      <c r="H3" s="63" t="str">
        <f t="shared" ca="1" si="0"/>
        <v>▲</v>
      </c>
      <c r="I3" s="62">
        <v>4116.7700000000004</v>
      </c>
      <c r="J3" s="62">
        <f t="shared" ca="1" si="1"/>
        <v>216.92999999999938</v>
      </c>
      <c r="K3" s="64">
        <f t="shared" ca="1" si="2"/>
        <v>5.0056533677919422E-2</v>
      </c>
      <c r="L3" s="62">
        <v>100632.18</v>
      </c>
      <c r="M3" s="62">
        <f ca="1">IFERROR(INDEX(Price_Update!$F:$F, MATCH(A3, Price_Update!$A:$A, 0)), 4333.7)</f>
        <v>4333.7</v>
      </c>
      <c r="N3" s="62">
        <f ca="1">IFERROR(INDEX(Price_Update!$I:$I, MATCH(A3, Price_Update!$A:$A, 0)), 4318.5)</f>
        <v>4318.5</v>
      </c>
      <c r="O3" s="62">
        <v>4333.7</v>
      </c>
      <c r="P3" s="62">
        <v>4419.07</v>
      </c>
      <c r="Q3" s="62">
        <v>4414.78</v>
      </c>
      <c r="R3" s="62">
        <v>4408.72</v>
      </c>
      <c r="S3" s="62">
        <v>4317.6400000000003</v>
      </c>
      <c r="T3" s="62">
        <f t="shared" ca="1" si="3"/>
        <v>95341.4</v>
      </c>
      <c r="U3" s="62">
        <f t="shared" ca="1" si="4"/>
        <v>-5290.7799999999988</v>
      </c>
      <c r="V3" s="64">
        <f t="shared" ca="1" si="5"/>
        <v>-5.2575428655128001E-2</v>
      </c>
      <c r="W3" s="64">
        <v>-0.9251584541824428</v>
      </c>
      <c r="X3" s="60">
        <v>12</v>
      </c>
      <c r="Y3" s="60"/>
      <c r="Z3" s="60" t="s">
        <v>107</v>
      </c>
      <c r="AA3" s="62">
        <v>4503.6000000000004</v>
      </c>
      <c r="AB3" s="60">
        <v>4630.7</v>
      </c>
    </row>
    <row r="4" spans="1:28">
      <c r="A4" s="73" t="s">
        <v>682</v>
      </c>
      <c r="B4" s="60" t="s">
        <v>63</v>
      </c>
      <c r="C4" s="60" t="s">
        <v>86</v>
      </c>
      <c r="D4" s="60" t="s">
        <v>74</v>
      </c>
      <c r="E4" s="60" t="s">
        <v>46</v>
      </c>
      <c r="F4" s="60">
        <v>8</v>
      </c>
      <c r="G4" s="62">
        <v>13191</v>
      </c>
      <c r="H4" s="63" t="str">
        <f t="shared" ca="1" si="0"/>
        <v>▲</v>
      </c>
      <c r="I4" s="62">
        <v>11871.9</v>
      </c>
      <c r="J4" s="62">
        <f t="shared" ca="1" si="1"/>
        <v>3349.1000000000004</v>
      </c>
      <c r="K4" s="64">
        <f t="shared" ca="1" si="2"/>
        <v>0.22003153537875306</v>
      </c>
      <c r="L4" s="62">
        <v>105528</v>
      </c>
      <c r="M4" s="62">
        <f ca="1">IFERROR(INDEX(Price_Update!$F:$F, MATCH(A4, Price_Update!$A:$A, 0)), 15221)</f>
        <v>15221</v>
      </c>
      <c r="N4" s="62">
        <f ca="1">IFERROR(INDEX(Price_Update!$I:$I, MATCH(A4, Price_Update!$A:$A, 0)), 14551)</f>
        <v>14551</v>
      </c>
      <c r="O4" s="62">
        <v>15221</v>
      </c>
      <c r="P4" s="62">
        <v>14029.57</v>
      </c>
      <c r="Q4" s="62">
        <v>13961.41</v>
      </c>
      <c r="R4" s="62">
        <v>13898.9</v>
      </c>
      <c r="S4" s="62">
        <v>13431.22</v>
      </c>
      <c r="T4" s="62">
        <f t="shared" ca="1" si="3"/>
        <v>121768</v>
      </c>
      <c r="U4" s="62">
        <f t="shared" ca="1" si="4"/>
        <v>16240</v>
      </c>
      <c r="V4" s="64">
        <f t="shared" ca="1" si="5"/>
        <v>0.15389280570085664</v>
      </c>
      <c r="W4" s="64">
        <v>333.31326121892852</v>
      </c>
      <c r="X4" s="60">
        <v>12</v>
      </c>
      <c r="Y4" s="60"/>
      <c r="Z4" s="60" t="s">
        <v>107</v>
      </c>
      <c r="AA4" s="62">
        <v>13118</v>
      </c>
      <c r="AB4" s="60">
        <v>13878</v>
      </c>
    </row>
    <row r="5" spans="1:28">
      <c r="A5" s="74" t="s">
        <v>501</v>
      </c>
      <c r="B5" s="60" t="s">
        <v>63</v>
      </c>
      <c r="C5" s="60" t="s">
        <v>86</v>
      </c>
      <c r="D5" s="60" t="s">
        <v>74</v>
      </c>
      <c r="E5" s="60" t="s">
        <v>48</v>
      </c>
      <c r="F5" s="60">
        <v>96</v>
      </c>
      <c r="G5" s="62">
        <v>2100.8000000000002</v>
      </c>
      <c r="H5" s="63" t="str">
        <f t="shared" ca="1" si="0"/>
        <v>▲</v>
      </c>
      <c r="I5" s="62">
        <v>2237.6</v>
      </c>
      <c r="J5" s="62">
        <f t="shared" ca="1" si="1"/>
        <v>-420</v>
      </c>
      <c r="K5" s="64">
        <f t="shared" ca="1" si="2"/>
        <v>-0.23107394366197184</v>
      </c>
      <c r="L5" s="62">
        <v>201676.79999999999</v>
      </c>
      <c r="M5" s="62">
        <f ca="1">IFERROR(INDEX(Price_Update!$F:$F, MATCH(A5, Price_Update!$A:$A, 0)), 1817.6)</f>
        <v>1817.6</v>
      </c>
      <c r="N5" s="62">
        <f ca="1">IFERROR(INDEX(Price_Update!$I:$I, MATCH(A5, Price_Update!$A:$A, 0)), 1764.1)</f>
        <v>1764.1</v>
      </c>
      <c r="O5" s="62">
        <v>1817.6</v>
      </c>
      <c r="P5" s="62">
        <v>1802.46</v>
      </c>
      <c r="Q5" s="62">
        <v>1804.85</v>
      </c>
      <c r="R5" s="62">
        <v>1807.35</v>
      </c>
      <c r="S5" s="62">
        <v>1834.07</v>
      </c>
      <c r="T5" s="62">
        <f t="shared" ca="1" si="3"/>
        <v>174489.59999999998</v>
      </c>
      <c r="U5" s="62">
        <f t="shared" ca="1" si="4"/>
        <v>-27187.200000000012</v>
      </c>
      <c r="V5" s="64">
        <f t="shared" ca="1" si="5"/>
        <v>-0.13480578827113487</v>
      </c>
      <c r="W5" s="64">
        <v>-0.39489738289856768</v>
      </c>
      <c r="X5" s="60">
        <v>125</v>
      </c>
      <c r="Y5" s="60"/>
      <c r="Z5" s="60" t="s">
        <v>107</v>
      </c>
      <c r="AA5" s="62">
        <v>1831.1</v>
      </c>
      <c r="AB5" s="60">
        <v>1822.6</v>
      </c>
    </row>
    <row r="6" spans="1:28">
      <c r="A6" s="73" t="s">
        <v>669</v>
      </c>
      <c r="B6" s="60" t="s">
        <v>62</v>
      </c>
      <c r="C6" s="60" t="s">
        <v>88</v>
      </c>
      <c r="D6" s="60" t="s">
        <v>74</v>
      </c>
      <c r="E6" s="60" t="s">
        <v>46</v>
      </c>
      <c r="F6" s="60">
        <v>10</v>
      </c>
      <c r="G6" s="62">
        <v>10294.299999999999</v>
      </c>
      <c r="H6" s="63" t="str">
        <f t="shared" ca="1" si="0"/>
        <v>▼</v>
      </c>
      <c r="I6" s="62">
        <v>9264.8700000000008</v>
      </c>
      <c r="J6" s="62">
        <f t="shared" ca="1" si="1"/>
        <v>798.1299999999992</v>
      </c>
      <c r="K6" s="64">
        <f t="shared" ca="1" si="2"/>
        <v>7.9313326045910681E-2</v>
      </c>
      <c r="L6" s="62">
        <v>102943</v>
      </c>
      <c r="M6" s="62">
        <f ca="1">IFERROR(INDEX(Price_Update!$F:$F, MATCH(A6, Price_Update!$A:$A, 0)), 10063)</f>
        <v>10063</v>
      </c>
      <c r="N6" s="62">
        <f ca="1">IFERROR(INDEX(Price_Update!$I:$I, MATCH(A6, Price_Update!$A:$A, 0)), 10114)</f>
        <v>10114</v>
      </c>
      <c r="O6" s="62">
        <v>10063</v>
      </c>
      <c r="P6" s="62">
        <v>10206.83</v>
      </c>
      <c r="Q6" s="62">
        <v>10216.65</v>
      </c>
      <c r="R6" s="62">
        <v>10224.540000000001</v>
      </c>
      <c r="S6" s="62">
        <v>10225.32</v>
      </c>
      <c r="T6" s="62">
        <f t="shared" ca="1" si="3"/>
        <v>100630</v>
      </c>
      <c r="U6" s="62">
        <f t="shared" ca="1" si="4"/>
        <v>-2313</v>
      </c>
      <c r="V6" s="64">
        <f t="shared" ca="1" si="5"/>
        <v>-2.2468744839377133E-2</v>
      </c>
      <c r="W6" s="64">
        <v>-0.6548347207552464</v>
      </c>
      <c r="X6" s="60">
        <v>12</v>
      </c>
      <c r="Y6" s="60"/>
      <c r="Z6" s="60" t="s">
        <v>107</v>
      </c>
      <c r="AA6" s="62">
        <v>10460</v>
      </c>
      <c r="AB6" s="60">
        <v>10342</v>
      </c>
    </row>
    <row r="7" spans="1:28">
      <c r="A7" s="75" t="s">
        <v>332</v>
      </c>
      <c r="B7" s="60" t="s">
        <v>62</v>
      </c>
      <c r="C7" s="60" t="s">
        <v>90</v>
      </c>
      <c r="D7" s="60" t="s">
        <v>74</v>
      </c>
      <c r="E7" s="60" t="s">
        <v>46</v>
      </c>
      <c r="F7" s="60">
        <v>30</v>
      </c>
      <c r="G7" s="62">
        <v>3359</v>
      </c>
      <c r="H7" s="63" t="str">
        <f t="shared" ca="1" si="0"/>
        <v>▲</v>
      </c>
      <c r="I7" s="62">
        <v>3023.1</v>
      </c>
      <c r="J7" s="62">
        <f t="shared" ca="1" si="1"/>
        <v>1018</v>
      </c>
      <c r="K7" s="64">
        <f t="shared" ca="1" si="2"/>
        <v>0.25191160822548314</v>
      </c>
      <c r="L7" s="62">
        <v>100770</v>
      </c>
      <c r="M7" s="62">
        <f ca="1">IFERROR(INDEX(Price_Update!$F:$F, MATCH(A7, Price_Update!$A:$A, 0)), 4041.1)</f>
        <v>4041.1</v>
      </c>
      <c r="N7" s="62">
        <f ca="1">IFERROR(INDEX(Price_Update!$I:$I, MATCH(A7, Price_Update!$A:$A, 0)), 3888.3)</f>
        <v>3888.3</v>
      </c>
      <c r="O7" s="62">
        <v>4041.1</v>
      </c>
      <c r="P7" s="62">
        <v>3987.09</v>
      </c>
      <c r="Q7" s="62">
        <v>3991.72</v>
      </c>
      <c r="R7" s="62">
        <v>3995.69</v>
      </c>
      <c r="S7" s="62">
        <v>3987.63</v>
      </c>
      <c r="T7" s="62">
        <f t="shared" ca="1" si="3"/>
        <v>121233</v>
      </c>
      <c r="U7" s="62">
        <f t="shared" ca="1" si="4"/>
        <v>20463</v>
      </c>
      <c r="V7" s="64">
        <f t="shared" ca="1" si="5"/>
        <v>0.20306638880619232</v>
      </c>
      <c r="W7" s="64">
        <v>0.83448714306237048</v>
      </c>
      <c r="X7" s="60">
        <v>188</v>
      </c>
      <c r="Y7" s="60"/>
      <c r="Z7" s="60" t="s">
        <v>107</v>
      </c>
      <c r="AA7" s="62">
        <v>4146.1000000000004</v>
      </c>
      <c r="AB7" s="60">
        <v>3880</v>
      </c>
    </row>
    <row r="8" spans="1:28">
      <c r="A8" s="73" t="s">
        <v>724</v>
      </c>
      <c r="B8" s="60" t="s">
        <v>64</v>
      </c>
      <c r="C8" s="60" t="s">
        <v>87</v>
      </c>
      <c r="D8" s="60" t="s">
        <v>74</v>
      </c>
      <c r="E8" s="60" t="s">
        <v>46</v>
      </c>
      <c r="F8" s="60">
        <v>53</v>
      </c>
      <c r="G8" s="62">
        <v>2073.35</v>
      </c>
      <c r="H8" s="63" t="str">
        <f t="shared" ca="1" si="0"/>
        <v>▲</v>
      </c>
      <c r="I8" s="62">
        <v>1866.01</v>
      </c>
      <c r="J8" s="62">
        <f t="shared" ca="1" si="1"/>
        <v>541.79000000000019</v>
      </c>
      <c r="K8" s="64">
        <f t="shared" ca="1" si="2"/>
        <v>0.22501453609103753</v>
      </c>
      <c r="L8" s="62">
        <v>109887.55</v>
      </c>
      <c r="M8" s="62">
        <f ca="1">IFERROR(INDEX(Price_Update!$F:$F, MATCH(A8, Price_Update!$A:$A, 0)), 2407.8)</f>
        <v>2407.8000000000002</v>
      </c>
      <c r="N8" s="62">
        <f ca="1">IFERROR(INDEX(Price_Update!$I:$I, MATCH(A8, Price_Update!$A:$A, 0)), 2331)</f>
        <v>2331</v>
      </c>
      <c r="O8" s="62">
        <v>2407.8000000000002</v>
      </c>
      <c r="P8" s="62">
        <v>2212.15</v>
      </c>
      <c r="Q8" s="62">
        <v>2197.88</v>
      </c>
      <c r="R8" s="62">
        <v>2184.88</v>
      </c>
      <c r="S8" s="62">
        <v>2090.6999999999998</v>
      </c>
      <c r="T8" s="62">
        <f t="shared" ca="1" si="3"/>
        <v>127613.40000000001</v>
      </c>
      <c r="U8" s="62">
        <f t="shared" ca="1" si="4"/>
        <v>17725.850000000006</v>
      </c>
      <c r="V8" s="64">
        <f t="shared" ca="1" si="5"/>
        <v>0.16130899269298482</v>
      </c>
      <c r="W8" s="64">
        <v>1213.693042128471</v>
      </c>
      <c r="X8" s="60">
        <v>12</v>
      </c>
      <c r="Y8" s="60"/>
      <c r="Z8" s="60" t="s">
        <v>107</v>
      </c>
      <c r="AA8" s="62">
        <v>2024.5</v>
      </c>
      <c r="AB8" s="60">
        <v>2033.1</v>
      </c>
    </row>
    <row r="9" spans="1:28">
      <c r="A9" s="73" t="s">
        <v>655</v>
      </c>
      <c r="B9" s="60" t="s">
        <v>64</v>
      </c>
      <c r="C9" s="60" t="s">
        <v>88</v>
      </c>
      <c r="D9" s="60" t="s">
        <v>74</v>
      </c>
      <c r="E9" s="60" t="s">
        <v>46</v>
      </c>
      <c r="F9" s="60">
        <v>91</v>
      </c>
      <c r="G9" s="62">
        <v>1097.78</v>
      </c>
      <c r="H9" s="63" t="str">
        <f t="shared" ca="1" si="0"/>
        <v>▲</v>
      </c>
      <c r="I9" s="62">
        <v>988</v>
      </c>
      <c r="J9" s="62">
        <f t="shared" ca="1" si="1"/>
        <v>190.90000000000009</v>
      </c>
      <c r="K9" s="64">
        <f t="shared" ca="1" si="2"/>
        <v>0.1619306132835695</v>
      </c>
      <c r="L9" s="62">
        <v>99897.98</v>
      </c>
      <c r="M9" s="62">
        <f ca="1">IFERROR(INDEX(Price_Update!$F:$F, MATCH(A9, Price_Update!$A:$A, 0)), 1178.9)</f>
        <v>1178.9000000000001</v>
      </c>
      <c r="N9" s="62">
        <f ca="1">IFERROR(INDEX(Price_Update!$I:$I, MATCH(A9, Price_Update!$A:$A, 0)), 1163.8)</f>
        <v>1163.8</v>
      </c>
      <c r="O9" s="62">
        <v>1178.9000000000001</v>
      </c>
      <c r="P9" s="62">
        <v>1132.83</v>
      </c>
      <c r="Q9" s="62">
        <v>1128.0999999999999</v>
      </c>
      <c r="R9" s="62">
        <v>1123.44</v>
      </c>
      <c r="S9" s="62">
        <v>1080.33</v>
      </c>
      <c r="T9" s="62">
        <f t="shared" ca="1" si="3"/>
        <v>107279.90000000001</v>
      </c>
      <c r="U9" s="62">
        <f t="shared" ca="1" si="4"/>
        <v>7381.9200000000128</v>
      </c>
      <c r="V9" s="64">
        <f t="shared" ca="1" si="5"/>
        <v>7.3894587257920669E-2</v>
      </c>
      <c r="W9" s="64">
        <v>26.865562454796379</v>
      </c>
      <c r="X9" s="60">
        <v>12</v>
      </c>
      <c r="Y9" s="60"/>
      <c r="Z9" s="60" t="s">
        <v>107</v>
      </c>
      <c r="AA9" s="62">
        <v>1077.55</v>
      </c>
      <c r="AB9" s="60">
        <v>1102</v>
      </c>
    </row>
    <row r="10" spans="1:28">
      <c r="A10" s="74" t="s">
        <v>123</v>
      </c>
      <c r="B10" s="60" t="s">
        <v>64</v>
      </c>
      <c r="C10" s="60" t="s">
        <v>88</v>
      </c>
      <c r="D10" s="60" t="s">
        <v>74</v>
      </c>
      <c r="E10" s="60" t="s">
        <v>34</v>
      </c>
      <c r="F10" s="60">
        <v>49</v>
      </c>
      <c r="G10" s="62">
        <v>1033.1600000000001</v>
      </c>
      <c r="H10" s="63" t="str">
        <f t="shared" ca="1" si="0"/>
        <v>▼</v>
      </c>
      <c r="I10" s="62">
        <v>929.84</v>
      </c>
      <c r="J10" s="62">
        <f t="shared" ca="1" si="1"/>
        <v>199.45999999999992</v>
      </c>
      <c r="K10" s="64">
        <f t="shared" ca="1" si="2"/>
        <v>0.17662268662003006</v>
      </c>
      <c r="L10" s="62">
        <v>50624.84</v>
      </c>
      <c r="M10" s="62">
        <f ca="1">IFERROR(INDEX(Price_Update!$F:$F, MATCH(A10, Price_Update!$A:$A, 0)), 1129.3)</f>
        <v>1129.3</v>
      </c>
      <c r="N10" s="62">
        <f ca="1">IFERROR(INDEX(Price_Update!$I:$I, MATCH(A10, Price_Update!$A:$A, 0)), 1133.1)</f>
        <v>1133.0999999999999</v>
      </c>
      <c r="O10" s="62">
        <v>1129.3</v>
      </c>
      <c r="P10" s="62">
        <v>1125.55</v>
      </c>
      <c r="Q10" s="62">
        <v>1123.1600000000001</v>
      </c>
      <c r="R10" s="62">
        <v>1121.07</v>
      </c>
      <c r="S10" s="62">
        <v>1110.58</v>
      </c>
      <c r="T10" s="62">
        <f t="shared" ca="1" si="3"/>
        <v>55335.7</v>
      </c>
      <c r="U10" s="62">
        <f t="shared" ca="1" si="4"/>
        <v>4710.8600000000006</v>
      </c>
      <c r="V10" s="64">
        <f t="shared" ca="1" si="5"/>
        <v>9.305431878895816E-2</v>
      </c>
      <c r="W10" s="64">
        <v>0.39769448001991659</v>
      </c>
      <c r="X10" s="60">
        <v>97</v>
      </c>
      <c r="Y10" s="60"/>
      <c r="Z10" s="60" t="s">
        <v>107</v>
      </c>
      <c r="AA10" s="62">
        <v>1053.8</v>
      </c>
      <c r="AB10" s="60">
        <v>1079.0999999999999</v>
      </c>
    </row>
    <row r="11" spans="1:28">
      <c r="A11" s="73" t="s">
        <v>685</v>
      </c>
      <c r="B11" s="60" t="s">
        <v>64</v>
      </c>
      <c r="C11" s="60" t="s">
        <v>86</v>
      </c>
      <c r="D11" s="60" t="s">
        <v>74</v>
      </c>
      <c r="E11" s="60" t="s">
        <v>46</v>
      </c>
      <c r="F11" s="60">
        <v>11</v>
      </c>
      <c r="G11" s="62">
        <v>8997.32</v>
      </c>
      <c r="H11" s="63" t="str">
        <f t="shared" ca="1" si="0"/>
        <v>▲</v>
      </c>
      <c r="I11" s="62">
        <v>8097.59</v>
      </c>
      <c r="J11" s="62">
        <f t="shared" ca="1" si="1"/>
        <v>819.90999999999985</v>
      </c>
      <c r="K11" s="64">
        <f t="shared" ca="1" si="2"/>
        <v>9.1943930473787475E-2</v>
      </c>
      <c r="L11" s="62">
        <v>98970.52</v>
      </c>
      <c r="M11" s="62">
        <f ca="1">IFERROR(INDEX(Price_Update!$F:$F, MATCH(A11, Price_Update!$A:$A, 0)), 8917.5)</f>
        <v>8917.5</v>
      </c>
      <c r="N11" s="62">
        <f ca="1">IFERROR(INDEX(Price_Update!$I:$I, MATCH(A11, Price_Update!$A:$A, 0)), 8792.5)</f>
        <v>8792.5</v>
      </c>
      <c r="O11" s="62">
        <v>8917.5</v>
      </c>
      <c r="P11" s="62">
        <v>8930.92</v>
      </c>
      <c r="Q11" s="62">
        <v>8923.3799999999992</v>
      </c>
      <c r="R11" s="62">
        <v>8914.2000000000007</v>
      </c>
      <c r="S11" s="62">
        <v>8772.1</v>
      </c>
      <c r="T11" s="62">
        <f t="shared" ca="1" si="3"/>
        <v>98092.5</v>
      </c>
      <c r="U11" s="62">
        <f t="shared" ca="1" si="4"/>
        <v>-878.02000000000407</v>
      </c>
      <c r="V11" s="64">
        <f t="shared" ca="1" si="5"/>
        <v>-8.8715306335664813E-3</v>
      </c>
      <c r="W11" s="64">
        <v>-0.2963422527324987</v>
      </c>
      <c r="X11" s="60">
        <v>12</v>
      </c>
      <c r="Y11" s="60"/>
      <c r="Z11" s="60" t="s">
        <v>107</v>
      </c>
      <c r="AA11" s="62">
        <v>9074</v>
      </c>
      <c r="AB11" s="60">
        <v>9065</v>
      </c>
    </row>
    <row r="12" spans="1:28">
      <c r="A12" s="73" t="s">
        <v>126</v>
      </c>
      <c r="B12" s="60" t="s">
        <v>64</v>
      </c>
      <c r="C12" s="60" t="s">
        <v>87</v>
      </c>
      <c r="D12" s="60" t="s">
        <v>74</v>
      </c>
      <c r="E12" s="60" t="s">
        <v>34</v>
      </c>
      <c r="F12" s="60">
        <v>685</v>
      </c>
      <c r="G12" s="62">
        <v>42.36</v>
      </c>
      <c r="H12" s="63" t="str">
        <f t="shared" ca="1" si="0"/>
        <v>▲</v>
      </c>
      <c r="I12" s="62">
        <v>38.119999999999997</v>
      </c>
      <c r="J12" s="62">
        <f t="shared" ca="1" si="1"/>
        <v>1.0500000000000043</v>
      </c>
      <c r="K12" s="64">
        <f t="shared" ca="1" si="2"/>
        <v>2.6806229257084611E-2</v>
      </c>
      <c r="L12" s="62">
        <v>29016.6</v>
      </c>
      <c r="M12" s="62">
        <f ca="1">IFERROR(INDEX(Price_Update!$F:$F, MATCH(A12, Price_Update!$A:$A, 0)), 39.17)</f>
        <v>39.17</v>
      </c>
      <c r="N12" s="62">
        <f ca="1">IFERROR(INDEX(Price_Update!$I:$I, MATCH(A12, Price_Update!$A:$A, 0)), 37.03)</f>
        <v>37.03</v>
      </c>
      <c r="O12" s="62">
        <v>39.17</v>
      </c>
      <c r="P12" s="62">
        <v>38.909999999999997</v>
      </c>
      <c r="Q12" s="62">
        <v>38.83</v>
      </c>
      <c r="R12" s="62">
        <v>38.72</v>
      </c>
      <c r="S12" s="62">
        <v>36.770000000000003</v>
      </c>
      <c r="T12" s="62">
        <f t="shared" ca="1" si="3"/>
        <v>26831.45</v>
      </c>
      <c r="U12" s="62">
        <f t="shared" ca="1" si="4"/>
        <v>-2185.1499999999978</v>
      </c>
      <c r="V12" s="64">
        <f t="shared" ca="1" si="5"/>
        <v>-7.5306893295561783E-2</v>
      </c>
      <c r="W12" s="64">
        <v>-0.90758106808393313</v>
      </c>
      <c r="X12" s="60">
        <v>12</v>
      </c>
      <c r="Y12" s="60"/>
      <c r="Z12" s="60" t="s">
        <v>107</v>
      </c>
      <c r="AA12" s="62">
        <v>39.99</v>
      </c>
      <c r="AB12" s="60">
        <v>40.729999999999997</v>
      </c>
    </row>
    <row r="13" spans="1:28">
      <c r="A13" s="74" t="s">
        <v>394</v>
      </c>
      <c r="B13" s="60" t="s">
        <v>63</v>
      </c>
      <c r="C13" s="60" t="s">
        <v>90</v>
      </c>
      <c r="D13" s="60" t="s">
        <v>74</v>
      </c>
      <c r="E13" s="60" t="s">
        <v>50</v>
      </c>
      <c r="F13" s="60">
        <v>1172</v>
      </c>
      <c r="G13" s="62">
        <v>256.22000000000003</v>
      </c>
      <c r="H13" s="63" t="str">
        <f t="shared" ca="1" si="0"/>
        <v>▲</v>
      </c>
      <c r="I13" s="62">
        <v>260.10000000000002</v>
      </c>
      <c r="J13" s="62">
        <f t="shared" ca="1" si="1"/>
        <v>55.599999999999966</v>
      </c>
      <c r="K13" s="64">
        <f t="shared" ca="1" si="2"/>
        <v>0.17611656636046868</v>
      </c>
      <c r="L13" s="62">
        <v>300289.84000000003</v>
      </c>
      <c r="M13" s="62">
        <f ca="1">IFERROR(INDEX(Price_Update!$F:$F, MATCH(A13, Price_Update!$A:$A, 0)), 315.7)</f>
        <v>315.7</v>
      </c>
      <c r="N13" s="62">
        <f ca="1">IFERROR(INDEX(Price_Update!$I:$I, MATCH(A13, Price_Update!$A:$A, 0)), 309.75)</f>
        <v>309.75</v>
      </c>
      <c r="O13" s="62">
        <v>315.7</v>
      </c>
      <c r="P13" s="62">
        <v>306.55</v>
      </c>
      <c r="Q13" s="62">
        <v>305.66000000000003</v>
      </c>
      <c r="R13" s="62">
        <v>304.83999999999997</v>
      </c>
      <c r="S13" s="62">
        <v>299.18</v>
      </c>
      <c r="T13" s="62">
        <f t="shared" ca="1" si="3"/>
        <v>370000.39999999997</v>
      </c>
      <c r="U13" s="62">
        <f t="shared" ca="1" si="4"/>
        <v>69710.559999999939</v>
      </c>
      <c r="V13" s="64">
        <f t="shared" ca="1" si="5"/>
        <v>0.2321442510342672</v>
      </c>
      <c r="W13" s="64">
        <v>0.50153936839583813</v>
      </c>
      <c r="X13" s="60">
        <v>223</v>
      </c>
      <c r="Y13" s="60"/>
      <c r="Z13" s="60" t="s">
        <v>107</v>
      </c>
      <c r="AA13" s="62">
        <v>288.95</v>
      </c>
      <c r="AB13" s="60">
        <v>304.14999999999998</v>
      </c>
    </row>
    <row r="14" spans="1:28">
      <c r="A14" s="73" t="s">
        <v>543</v>
      </c>
      <c r="B14" s="60" t="s">
        <v>62</v>
      </c>
      <c r="C14" s="60" t="s">
        <v>88</v>
      </c>
      <c r="D14" s="60" t="s">
        <v>74</v>
      </c>
      <c r="E14" s="60" t="s">
        <v>50</v>
      </c>
      <c r="F14" s="60">
        <v>69</v>
      </c>
      <c r="G14" s="62">
        <v>4347.42</v>
      </c>
      <c r="H14" s="63" t="str">
        <f t="shared" ca="1" si="0"/>
        <v>▲</v>
      </c>
      <c r="I14" s="62">
        <v>4480.1400000000003</v>
      </c>
      <c r="J14" s="62">
        <f t="shared" ca="1" si="1"/>
        <v>462.35999999999967</v>
      </c>
      <c r="K14" s="64">
        <f t="shared" ca="1" si="2"/>
        <v>9.3547799696509795E-2</v>
      </c>
      <c r="L14" s="62">
        <v>299971.98</v>
      </c>
      <c r="M14" s="62">
        <f ca="1">IFERROR(INDEX(Price_Update!$F:$F, MATCH(A14, Price_Update!$A:$A, 0)), 4942.5)</f>
        <v>4942.5</v>
      </c>
      <c r="N14" s="62">
        <f ca="1">IFERROR(INDEX(Price_Update!$I:$I, MATCH(A14, Price_Update!$A:$A, 0)), 4735)</f>
        <v>4735</v>
      </c>
      <c r="O14" s="62">
        <v>4942.5</v>
      </c>
      <c r="P14" s="62">
        <v>4882.7</v>
      </c>
      <c r="Q14" s="62">
        <v>4880.42</v>
      </c>
      <c r="R14" s="62">
        <v>4876.95</v>
      </c>
      <c r="S14" s="62">
        <v>4805.34</v>
      </c>
      <c r="T14" s="62">
        <f t="shared" ca="1" si="3"/>
        <v>341032.5</v>
      </c>
      <c r="U14" s="62">
        <f t="shared" ca="1" si="4"/>
        <v>41060.520000000019</v>
      </c>
      <c r="V14" s="64">
        <f t="shared" ca="1" si="5"/>
        <v>0.13688118470265129</v>
      </c>
      <c r="W14" s="64">
        <v>1.619815160303693</v>
      </c>
      <c r="X14" s="60">
        <v>97</v>
      </c>
      <c r="Y14" s="60"/>
      <c r="Z14" s="60" t="s">
        <v>107</v>
      </c>
      <c r="AA14" s="62">
        <v>5148.6000000000004</v>
      </c>
      <c r="AB14" s="60">
        <v>5067</v>
      </c>
    </row>
    <row r="15" spans="1:28">
      <c r="A15" s="73" t="s">
        <v>127</v>
      </c>
      <c r="B15" s="60" t="s">
        <v>64</v>
      </c>
      <c r="C15" s="60" t="s">
        <v>86</v>
      </c>
      <c r="D15" s="60" t="s">
        <v>74</v>
      </c>
      <c r="E15" s="60" t="s">
        <v>34</v>
      </c>
      <c r="F15" s="60">
        <v>37</v>
      </c>
      <c r="G15" s="62">
        <v>865.69</v>
      </c>
      <c r="H15" s="63" t="str">
        <f t="shared" ca="1" si="0"/>
        <v>▲</v>
      </c>
      <c r="I15" s="62">
        <v>844.15</v>
      </c>
      <c r="J15" s="62">
        <f t="shared" ca="1" si="1"/>
        <v>-69.850000000000023</v>
      </c>
      <c r="K15" s="64">
        <f t="shared" ca="1" si="2"/>
        <v>-9.0210512721167535E-2</v>
      </c>
      <c r="L15" s="62">
        <v>32030.53</v>
      </c>
      <c r="M15" s="62">
        <f ca="1">IFERROR(INDEX(Price_Update!$F:$F, MATCH(A15, Price_Update!$A:$A, 0)), 774.3)</f>
        <v>774.3</v>
      </c>
      <c r="N15" s="62">
        <f ca="1">IFERROR(INDEX(Price_Update!$I:$I, MATCH(A15, Price_Update!$A:$A, 0)), 746)</f>
        <v>746</v>
      </c>
      <c r="O15" s="62">
        <v>774.3</v>
      </c>
      <c r="P15" s="62">
        <v>774.53</v>
      </c>
      <c r="Q15" s="62">
        <v>775.73</v>
      </c>
      <c r="R15" s="62">
        <v>776.79</v>
      </c>
      <c r="S15" s="62">
        <v>781.77</v>
      </c>
      <c r="T15" s="62">
        <f t="shared" ca="1" si="3"/>
        <v>28649.1</v>
      </c>
      <c r="U15" s="62">
        <f t="shared" ca="1" si="4"/>
        <v>-3381.4300000000003</v>
      </c>
      <c r="V15" s="64">
        <f t="shared" ca="1" si="5"/>
        <v>-0.10556896810636603</v>
      </c>
      <c r="W15" s="64">
        <v>-0.44841631859829328</v>
      </c>
      <c r="X15" s="60">
        <v>12</v>
      </c>
      <c r="Y15" s="60"/>
      <c r="Z15" s="60" t="s">
        <v>107</v>
      </c>
      <c r="AA15" s="62">
        <v>822.6</v>
      </c>
      <c r="AB15" s="60">
        <v>794.95</v>
      </c>
    </row>
    <row r="16" spans="1:28">
      <c r="A16" s="73" t="s">
        <v>696</v>
      </c>
      <c r="B16" s="60" t="s">
        <v>63</v>
      </c>
      <c r="C16" s="60" t="s">
        <v>88</v>
      </c>
      <c r="D16" s="60" t="s">
        <v>74</v>
      </c>
      <c r="E16" s="60" t="s">
        <v>46</v>
      </c>
      <c r="F16" s="60">
        <v>19</v>
      </c>
      <c r="G16" s="62">
        <v>5225.6099999999997</v>
      </c>
      <c r="H16" s="63" t="str">
        <f t="shared" ca="1" si="0"/>
        <v>▲</v>
      </c>
      <c r="I16" s="62">
        <v>4703.05</v>
      </c>
      <c r="J16" s="62">
        <f t="shared" ca="1" si="1"/>
        <v>666.44999999999982</v>
      </c>
      <c r="K16" s="64">
        <f t="shared" ca="1" si="2"/>
        <v>0.1241177018344352</v>
      </c>
      <c r="L16" s="62">
        <v>99286.59</v>
      </c>
      <c r="M16" s="62">
        <f ca="1">IFERROR(INDEX(Price_Update!$F:$F, MATCH(A16, Price_Update!$A:$A, 0)), 5369.5)</f>
        <v>5369.5</v>
      </c>
      <c r="N16" s="62">
        <f ca="1">IFERROR(INDEX(Price_Update!$I:$I, MATCH(A16, Price_Update!$A:$A, 0)), 5181.5)</f>
        <v>5181.5</v>
      </c>
      <c r="O16" s="62">
        <v>5369.5</v>
      </c>
      <c r="P16" s="62">
        <v>5255.62</v>
      </c>
      <c r="Q16" s="62">
        <v>5253.89</v>
      </c>
      <c r="R16" s="62">
        <v>5251.78</v>
      </c>
      <c r="S16" s="62">
        <v>5207.95</v>
      </c>
      <c r="T16" s="62">
        <f t="shared" ca="1" si="3"/>
        <v>102020.5</v>
      </c>
      <c r="U16" s="62">
        <f t="shared" ca="1" si="4"/>
        <v>2733.9100000000035</v>
      </c>
      <c r="V16" s="64">
        <f t="shared" ca="1" si="5"/>
        <v>2.7535541305225647E-2</v>
      </c>
      <c r="W16" s="64">
        <v>2.5109094620012979</v>
      </c>
      <c r="X16" s="60">
        <v>12</v>
      </c>
      <c r="Y16" s="60"/>
      <c r="Z16" s="60" t="s">
        <v>107</v>
      </c>
      <c r="AA16" s="62">
        <v>5267.5</v>
      </c>
      <c r="AB16" s="60">
        <v>5335.5</v>
      </c>
    </row>
    <row r="17" spans="1:28">
      <c r="A17" s="73" t="s">
        <v>699</v>
      </c>
      <c r="B17" s="60" t="s">
        <v>64</v>
      </c>
      <c r="C17" s="60" t="s">
        <v>87</v>
      </c>
      <c r="D17" s="60" t="s">
        <v>74</v>
      </c>
      <c r="E17" s="60" t="s">
        <v>46</v>
      </c>
      <c r="F17" s="60">
        <v>147</v>
      </c>
      <c r="G17" s="62">
        <v>666.67</v>
      </c>
      <c r="H17" s="63" t="str">
        <f t="shared" ca="1" si="0"/>
        <v>▲</v>
      </c>
      <c r="I17" s="62">
        <v>600</v>
      </c>
      <c r="J17" s="62">
        <f t="shared" ca="1" si="1"/>
        <v>73.600000000000023</v>
      </c>
      <c r="K17" s="64">
        <f t="shared" ca="1" si="2"/>
        <v>0.10926365795724469</v>
      </c>
      <c r="L17" s="62">
        <v>98000.49</v>
      </c>
      <c r="M17" s="62">
        <f ca="1">IFERROR(INDEX(Price_Update!$F:$F, MATCH(A17, Price_Update!$A:$A, 0)), 673.6)</f>
        <v>673.6</v>
      </c>
      <c r="N17" s="62">
        <f ca="1">IFERROR(INDEX(Price_Update!$I:$I, MATCH(A17, Price_Update!$A:$A, 0)), 666.65)</f>
        <v>666.65</v>
      </c>
      <c r="O17" s="62">
        <v>673.6</v>
      </c>
      <c r="P17" s="62">
        <v>672.1</v>
      </c>
      <c r="Q17" s="62">
        <v>672.32</v>
      </c>
      <c r="R17" s="62">
        <v>672.48</v>
      </c>
      <c r="S17" s="62">
        <v>669.74</v>
      </c>
      <c r="T17" s="62">
        <f t="shared" ca="1" si="3"/>
        <v>99019.199999999997</v>
      </c>
      <c r="U17" s="62">
        <f t="shared" ca="1" si="4"/>
        <v>1018.7099999999919</v>
      </c>
      <c r="V17" s="64">
        <f t="shared" ca="1" si="5"/>
        <v>1.039494802525979E-2</v>
      </c>
      <c r="W17" s="64">
        <v>0.62333653082122975</v>
      </c>
      <c r="X17" s="60">
        <v>12</v>
      </c>
      <c r="Y17" s="60"/>
      <c r="Z17" s="60" t="s">
        <v>107</v>
      </c>
      <c r="AA17" s="62">
        <v>668.1</v>
      </c>
      <c r="AB17" s="60">
        <v>666.7</v>
      </c>
    </row>
    <row r="18" spans="1:28">
      <c r="A18" s="73" t="s">
        <v>691</v>
      </c>
      <c r="B18" s="60" t="s">
        <v>64</v>
      </c>
      <c r="C18" s="60" t="s">
        <v>87</v>
      </c>
      <c r="D18" s="60" t="s">
        <v>74</v>
      </c>
      <c r="E18" s="60" t="s">
        <v>46</v>
      </c>
      <c r="F18" s="60">
        <v>64</v>
      </c>
      <c r="G18" s="62">
        <v>1550.27</v>
      </c>
      <c r="H18" s="63" t="str">
        <f t="shared" ca="1" si="0"/>
        <v>▲</v>
      </c>
      <c r="I18" s="62">
        <v>1395.24</v>
      </c>
      <c r="J18" s="62">
        <f t="shared" ca="1" si="1"/>
        <v>206.26</v>
      </c>
      <c r="K18" s="64">
        <f t="shared" ca="1" si="2"/>
        <v>0.12879175772713081</v>
      </c>
      <c r="L18" s="62">
        <v>99217.279999999999</v>
      </c>
      <c r="M18" s="62">
        <f ca="1">IFERROR(INDEX(Price_Update!$F:$F, MATCH(A18, Price_Update!$A:$A, 0)), 1601.5)</f>
        <v>1601.5</v>
      </c>
      <c r="N18" s="62">
        <f ca="1">IFERROR(INDEX(Price_Update!$I:$I, MATCH(A18, Price_Update!$A:$A, 0)), 1593.5)</f>
        <v>1593.5</v>
      </c>
      <c r="O18" s="62">
        <v>1601.5</v>
      </c>
      <c r="P18" s="62">
        <v>1581.06</v>
      </c>
      <c r="Q18" s="62">
        <v>1581.36</v>
      </c>
      <c r="R18" s="62">
        <v>1581.71</v>
      </c>
      <c r="S18" s="62">
        <v>1578.15</v>
      </c>
      <c r="T18" s="62">
        <f t="shared" ca="1" si="3"/>
        <v>102496</v>
      </c>
      <c r="U18" s="62">
        <f t="shared" ca="1" si="4"/>
        <v>3278.7200000000012</v>
      </c>
      <c r="V18" s="64">
        <f t="shared" ca="1" si="5"/>
        <v>3.3045856528217676E-2</v>
      </c>
      <c r="W18" s="64">
        <v>3.6549869755391189</v>
      </c>
      <c r="X18" s="60">
        <v>12</v>
      </c>
      <c r="Y18" s="60"/>
      <c r="Z18" s="60" t="s">
        <v>107</v>
      </c>
      <c r="AA18" s="62">
        <v>1607.4</v>
      </c>
      <c r="AB18" s="60">
        <v>1536.9</v>
      </c>
    </row>
    <row r="19" spans="1:28">
      <c r="A19" s="74" t="s">
        <v>124</v>
      </c>
      <c r="B19" s="60" t="s">
        <v>62</v>
      </c>
      <c r="C19" s="60" t="s">
        <v>86</v>
      </c>
      <c r="D19" s="60" t="s">
        <v>74</v>
      </c>
      <c r="E19" s="60" t="s">
        <v>34</v>
      </c>
      <c r="F19" s="60">
        <v>16</v>
      </c>
      <c r="G19" s="62">
        <v>3127</v>
      </c>
      <c r="H19" s="63" t="str">
        <f t="shared" ca="1" si="0"/>
        <v>▲</v>
      </c>
      <c r="I19" s="62">
        <v>2814.3</v>
      </c>
      <c r="J19" s="62">
        <f t="shared" ca="1" si="1"/>
        <v>228.59999999999991</v>
      </c>
      <c r="K19" s="64">
        <f t="shared" ca="1" si="2"/>
        <v>7.5125702454894971E-2</v>
      </c>
      <c r="L19" s="62">
        <v>50032</v>
      </c>
      <c r="M19" s="62">
        <f ca="1">IFERROR(INDEX(Price_Update!$F:$F, MATCH(A19, Price_Update!$A:$A, 0)), 3042.9)</f>
        <v>3042.9</v>
      </c>
      <c r="N19" s="62">
        <f ca="1">IFERROR(INDEX(Price_Update!$I:$I, MATCH(A19, Price_Update!$A:$A, 0)), 3000.9)</f>
        <v>3000.9</v>
      </c>
      <c r="O19" s="62">
        <v>3042.9</v>
      </c>
      <c r="P19" s="62">
        <v>3013.44</v>
      </c>
      <c r="Q19" s="62">
        <v>3016.28</v>
      </c>
      <c r="R19" s="62">
        <v>3019.35</v>
      </c>
      <c r="S19" s="62">
        <v>3050.3</v>
      </c>
      <c r="T19" s="62">
        <f t="shared" ca="1" si="3"/>
        <v>48686.400000000001</v>
      </c>
      <c r="U19" s="62">
        <f t="shared" ca="1" si="4"/>
        <v>-1345.5999999999985</v>
      </c>
      <c r="V19" s="64">
        <f t="shared" ca="1" si="5"/>
        <v>-2.6894787336104863E-2</v>
      </c>
      <c r="W19" s="64">
        <v>-0.28229789384542198</v>
      </c>
      <c r="X19" s="60">
        <v>30</v>
      </c>
      <c r="Y19" s="60"/>
      <c r="Z19" s="60" t="s">
        <v>107</v>
      </c>
      <c r="AA19" s="62">
        <v>3045.6</v>
      </c>
      <c r="AB19" s="60">
        <v>3040.5</v>
      </c>
    </row>
    <row r="20" spans="1:28">
      <c r="A20" s="73" t="s">
        <v>108</v>
      </c>
      <c r="B20" s="60" t="s">
        <v>64</v>
      </c>
      <c r="C20" s="60" t="s">
        <v>87</v>
      </c>
      <c r="D20" s="60" t="s">
        <v>74</v>
      </c>
      <c r="E20" s="60" t="s">
        <v>46</v>
      </c>
      <c r="F20" s="60">
        <v>184</v>
      </c>
      <c r="G20" s="62">
        <v>541.04</v>
      </c>
      <c r="H20" s="63" t="str">
        <f t="shared" ca="1" si="0"/>
        <v>▲</v>
      </c>
      <c r="I20" s="62">
        <v>486.94</v>
      </c>
      <c r="J20" s="62">
        <f t="shared" ca="1" si="1"/>
        <v>43.760000000000048</v>
      </c>
      <c r="K20" s="64">
        <f t="shared" ca="1" si="2"/>
        <v>8.2457132089692936E-2</v>
      </c>
      <c r="L20" s="62">
        <v>99551.360000000001</v>
      </c>
      <c r="M20" s="62">
        <f ca="1">IFERROR(INDEX(Price_Update!$F:$F, MATCH(A20, Price_Update!$A:$A, 0)), 530.7)</f>
        <v>530.70000000000005</v>
      </c>
      <c r="N20" s="62">
        <f ca="1">IFERROR(INDEX(Price_Update!$I:$I, MATCH(A20, Price_Update!$A:$A, 0)), 520.15)</f>
        <v>520.15</v>
      </c>
      <c r="O20" s="62">
        <v>530.70000000000005</v>
      </c>
      <c r="P20" s="62">
        <v>530.78</v>
      </c>
      <c r="Q20" s="62">
        <v>531</v>
      </c>
      <c r="R20" s="62">
        <v>531.1</v>
      </c>
      <c r="S20" s="62">
        <v>528.09</v>
      </c>
      <c r="T20" s="62">
        <f t="shared" ca="1" si="3"/>
        <v>97648.8</v>
      </c>
      <c r="U20" s="62">
        <f t="shared" ca="1" si="4"/>
        <v>-1902.5599999999977</v>
      </c>
      <c r="V20" s="64">
        <f t="shared" ca="1" si="5"/>
        <v>-1.9111341120804353E-2</v>
      </c>
      <c r="W20" s="64">
        <v>-0.49582727931378562</v>
      </c>
      <c r="X20" s="60">
        <v>12</v>
      </c>
      <c r="Y20" s="60" t="s">
        <v>109</v>
      </c>
      <c r="Z20" s="60" t="s">
        <v>107</v>
      </c>
      <c r="AA20" s="62">
        <v>555.35</v>
      </c>
      <c r="AB20" s="60">
        <v>533.20000000000005</v>
      </c>
    </row>
    <row r="21" spans="1:28">
      <c r="A21" s="73" t="s">
        <v>719</v>
      </c>
      <c r="B21" s="60" t="s">
        <v>63</v>
      </c>
      <c r="C21" s="60" t="s">
        <v>87</v>
      </c>
      <c r="D21" s="60" t="s">
        <v>74</v>
      </c>
      <c r="E21" s="60" t="s">
        <v>34</v>
      </c>
      <c r="F21" s="60">
        <v>4</v>
      </c>
      <c r="G21" s="62">
        <v>7050</v>
      </c>
      <c r="H21" s="63" t="str">
        <f t="shared" ca="1" si="0"/>
        <v>▲</v>
      </c>
      <c r="I21" s="62">
        <v>6345</v>
      </c>
      <c r="J21" s="62">
        <f t="shared" ca="1" si="1"/>
        <v>958</v>
      </c>
      <c r="K21" s="64">
        <f t="shared" ca="1" si="2"/>
        <v>0.13117896754758318</v>
      </c>
      <c r="L21" s="62">
        <v>28200</v>
      </c>
      <c r="M21" s="62">
        <f ca="1">IFERROR(INDEX(Price_Update!$F:$F, MATCH(A21, Price_Update!$A:$A, 0)), 7303)</f>
        <v>7303</v>
      </c>
      <c r="N21" s="62">
        <f ca="1">IFERROR(INDEX(Price_Update!$I:$I, MATCH(A21, Price_Update!$A:$A, 0)), 7148.4)</f>
        <v>7157</v>
      </c>
      <c r="O21" s="62">
        <v>7303</v>
      </c>
      <c r="P21" s="62">
        <v>7085.82</v>
      </c>
      <c r="Q21" s="62">
        <v>7082.58</v>
      </c>
      <c r="R21" s="62">
        <v>7079.79</v>
      </c>
      <c r="S21" s="62">
        <v>7037.82</v>
      </c>
      <c r="T21" s="62">
        <f t="shared" ca="1" si="3"/>
        <v>29212</v>
      </c>
      <c r="U21" s="62">
        <f t="shared" ca="1" si="4"/>
        <v>1012</v>
      </c>
      <c r="V21" s="64">
        <f t="shared" ca="1" si="5"/>
        <v>3.5886524822695033E-2</v>
      </c>
      <c r="W21" s="64">
        <v>1.9224398822764921</v>
      </c>
      <c r="X21" s="60">
        <v>12</v>
      </c>
      <c r="Y21" s="60"/>
      <c r="Z21" s="60" t="s">
        <v>107</v>
      </c>
      <c r="AA21" s="62">
        <v>7120.43</v>
      </c>
      <c r="AB21" s="60">
        <v>7024.05</v>
      </c>
    </row>
    <row r="22" spans="1:28">
      <c r="A22" s="73" t="s">
        <v>745</v>
      </c>
      <c r="B22" s="60" t="s">
        <v>64</v>
      </c>
      <c r="C22" s="60" t="s">
        <v>87</v>
      </c>
      <c r="D22" s="60" t="s">
        <v>74</v>
      </c>
      <c r="E22" s="60" t="s">
        <v>46</v>
      </c>
      <c r="F22" s="60">
        <v>6</v>
      </c>
      <c r="G22" s="62">
        <v>17014.57</v>
      </c>
      <c r="H22" s="63" t="str">
        <f t="shared" ca="1" si="0"/>
        <v>▲</v>
      </c>
      <c r="I22" s="62">
        <v>15313.11</v>
      </c>
      <c r="J22" s="62">
        <f t="shared" ca="1" si="1"/>
        <v>1884.8899999999994</v>
      </c>
      <c r="K22" s="64">
        <f t="shared" ca="1" si="2"/>
        <v>0.10959937202000229</v>
      </c>
      <c r="L22" s="62">
        <v>102087.42</v>
      </c>
      <c r="M22" s="62">
        <f ca="1">IFERROR(INDEX(Price_Update!$F:$F, MATCH(A22, Price_Update!$A:$A, 0)), 17198)</f>
        <v>17198</v>
      </c>
      <c r="N22" s="62">
        <f ca="1">IFERROR(INDEX(Price_Update!$I:$I, MATCH(A22, Price_Update!$A:$A, 0)), 16973)</f>
        <v>16973</v>
      </c>
      <c r="O22" s="62">
        <v>17198</v>
      </c>
      <c r="P22" s="62">
        <v>17007.68</v>
      </c>
      <c r="Q22" s="62">
        <v>16996.52</v>
      </c>
      <c r="R22" s="62">
        <v>16984.669999999998</v>
      </c>
      <c r="S22" s="62">
        <v>16798.080000000002</v>
      </c>
      <c r="T22" s="62">
        <f t="shared" ca="1" si="3"/>
        <v>103188</v>
      </c>
      <c r="U22" s="62">
        <f t="shared" ca="1" si="4"/>
        <v>1100.5800000000017</v>
      </c>
      <c r="V22" s="64">
        <f t="shared" ca="1" si="5"/>
        <v>1.0780760254299715E-2</v>
      </c>
      <c r="W22" s="64">
        <v>0.66302992503543523</v>
      </c>
      <c r="X22" s="60">
        <v>11</v>
      </c>
      <c r="Y22" s="60"/>
      <c r="Z22" s="60" t="s">
        <v>107</v>
      </c>
      <c r="AA22" s="62">
        <v>17088</v>
      </c>
      <c r="AB22" s="60">
        <v>16811</v>
      </c>
    </row>
    <row r="23" spans="1:28">
      <c r="A23" s="73" t="s">
        <v>197</v>
      </c>
      <c r="B23" s="60" t="s">
        <v>64</v>
      </c>
      <c r="C23" s="60" t="s">
        <v>87</v>
      </c>
      <c r="D23" s="60" t="s">
        <v>74</v>
      </c>
      <c r="E23" s="60" t="s">
        <v>46</v>
      </c>
      <c r="F23" s="60">
        <v>38</v>
      </c>
      <c r="G23" s="62">
        <v>2688.42</v>
      </c>
      <c r="H23" s="63" t="str">
        <f t="shared" ca="1" si="0"/>
        <v>▲</v>
      </c>
      <c r="I23" s="62">
        <v>2419.58</v>
      </c>
      <c r="J23" s="62">
        <f t="shared" ca="1" si="1"/>
        <v>629.22000000000025</v>
      </c>
      <c r="K23" s="64">
        <f t="shared" ca="1" si="2"/>
        <v>0.20638283914982952</v>
      </c>
      <c r="L23" s="62">
        <v>102159.96</v>
      </c>
      <c r="M23" s="62">
        <f ca="1">IFERROR(INDEX(Price_Update!$F:$F, MATCH(A23, Price_Update!$A:$A, 0)), 3048.8)</f>
        <v>3048.8</v>
      </c>
      <c r="N23" s="62">
        <f ca="1">IFERROR(INDEX(Price_Update!$I:$I, MATCH(A23, Price_Update!$A:$A, 0)), 2716.5)</f>
        <v>2716.5</v>
      </c>
      <c r="O23" s="62">
        <v>3048.8</v>
      </c>
      <c r="P23" s="62">
        <v>2784.07</v>
      </c>
      <c r="Q23" s="62">
        <v>2772.74</v>
      </c>
      <c r="R23" s="62">
        <v>2761.93</v>
      </c>
      <c r="S23" s="62">
        <v>2669.38</v>
      </c>
      <c r="T23" s="62">
        <f t="shared" ca="1" si="3"/>
        <v>115854.40000000001</v>
      </c>
      <c r="U23" s="62">
        <f t="shared" ca="1" si="4"/>
        <v>13694.440000000002</v>
      </c>
      <c r="V23" s="64">
        <f t="shared" ca="1" si="5"/>
        <v>0.13404899532067163</v>
      </c>
      <c r="W23" s="64">
        <v>364.97682087685769</v>
      </c>
      <c r="X23" s="60">
        <v>12</v>
      </c>
      <c r="Y23" s="60"/>
      <c r="Z23" s="60" t="s">
        <v>107</v>
      </c>
      <c r="AA23" s="62">
        <v>2785.1</v>
      </c>
      <c r="AB23" s="60">
        <v>2742.6</v>
      </c>
    </row>
    <row r="24" spans="1:28">
      <c r="A24" s="73" t="s">
        <v>702</v>
      </c>
      <c r="B24" s="60" t="s">
        <v>63</v>
      </c>
      <c r="C24" s="60" t="s">
        <v>87</v>
      </c>
      <c r="D24" s="60" t="s">
        <v>74</v>
      </c>
      <c r="E24" s="60" t="s">
        <v>46</v>
      </c>
      <c r="F24" s="60">
        <v>52</v>
      </c>
      <c r="G24" s="62">
        <v>1930.54</v>
      </c>
      <c r="H24" s="63" t="str">
        <f t="shared" ca="1" si="0"/>
        <v>▲</v>
      </c>
      <c r="I24" s="62">
        <v>1737.49</v>
      </c>
      <c r="J24" s="62">
        <f t="shared" ca="1" si="1"/>
        <v>156.41000000000008</v>
      </c>
      <c r="K24" s="64">
        <f t="shared" ca="1" si="2"/>
        <v>8.2586197792914137E-2</v>
      </c>
      <c r="L24" s="62">
        <v>100388.08</v>
      </c>
      <c r="M24" s="62">
        <f ca="1">IFERROR(INDEX(Price_Update!$F:$F, MATCH(A24, Price_Update!$A:$A, 0)), 1893.9)</f>
        <v>1893.9</v>
      </c>
      <c r="N24" s="62">
        <f ca="1">IFERROR(INDEX(Price_Update!$I:$I, MATCH(A24, Price_Update!$A:$A, 0)), 1858.5)</f>
        <v>1858.5</v>
      </c>
      <c r="O24" s="62">
        <v>1893.9</v>
      </c>
      <c r="P24" s="62">
        <v>1909.68</v>
      </c>
      <c r="Q24" s="62">
        <v>1910.18</v>
      </c>
      <c r="R24" s="62">
        <v>1910.25</v>
      </c>
      <c r="S24" s="62">
        <v>1898.48</v>
      </c>
      <c r="T24" s="62">
        <f t="shared" ca="1" si="3"/>
        <v>98482.8</v>
      </c>
      <c r="U24" s="62">
        <f t="shared" ca="1" si="4"/>
        <v>-1905.2799999999988</v>
      </c>
      <c r="V24" s="64">
        <f t="shared" ca="1" si="5"/>
        <v>-1.8979145731246167E-2</v>
      </c>
      <c r="W24" s="64">
        <v>-0.59657787919967564</v>
      </c>
      <c r="X24" s="60">
        <v>12</v>
      </c>
      <c r="Y24" s="60"/>
      <c r="Z24" s="60" t="s">
        <v>107</v>
      </c>
      <c r="AA24" s="62">
        <v>1894</v>
      </c>
      <c r="AB24" s="60">
        <v>1969.2</v>
      </c>
    </row>
    <row r="25" spans="1:28">
      <c r="A25" s="73" t="s">
        <v>679</v>
      </c>
      <c r="B25" s="60" t="s">
        <v>63</v>
      </c>
      <c r="C25" s="60" t="s">
        <v>89</v>
      </c>
      <c r="D25" s="60" t="s">
        <v>74</v>
      </c>
      <c r="E25" s="60" t="s">
        <v>46</v>
      </c>
      <c r="F25" s="60">
        <v>10</v>
      </c>
      <c r="G25" s="62">
        <v>10067.530000000001</v>
      </c>
      <c r="H25" s="63" t="str">
        <f t="shared" ca="1" si="0"/>
        <v>▲</v>
      </c>
      <c r="I25" s="62">
        <v>9060.7800000000007</v>
      </c>
      <c r="J25" s="62">
        <f t="shared" ca="1" si="1"/>
        <v>266.71999999999935</v>
      </c>
      <c r="K25" s="64">
        <f t="shared" ca="1" si="2"/>
        <v>2.8595014741356135E-2</v>
      </c>
      <c r="L25" s="62">
        <v>100675.3</v>
      </c>
      <c r="M25" s="62">
        <f ca="1">IFERROR(INDEX(Price_Update!$F:$F, MATCH(A25, Price_Update!$A:$A, 0)), 9327.5)</f>
        <v>9327.5</v>
      </c>
      <c r="N25" s="62">
        <f ca="1">IFERROR(INDEX(Price_Update!$I:$I, MATCH(A25, Price_Update!$A:$A, 0)), 9265.5)</f>
        <v>9265.5</v>
      </c>
      <c r="O25" s="62">
        <v>9327.5</v>
      </c>
      <c r="P25" s="62">
        <v>9625.6200000000008</v>
      </c>
      <c r="Q25" s="62">
        <v>9643.7999999999993</v>
      </c>
      <c r="R25" s="62">
        <v>9656.9</v>
      </c>
      <c r="S25" s="62">
        <v>9611.4599999999991</v>
      </c>
      <c r="T25" s="62">
        <f t="shared" ca="1" si="3"/>
        <v>93275</v>
      </c>
      <c r="U25" s="62">
        <f t="shared" ca="1" si="4"/>
        <v>-7400.3000000000029</v>
      </c>
      <c r="V25" s="64">
        <f t="shared" ca="1" si="5"/>
        <v>-7.3506609863591199E-2</v>
      </c>
      <c r="W25" s="64">
        <v>-0.97186160740197658</v>
      </c>
      <c r="X25" s="60">
        <v>12</v>
      </c>
      <c r="Y25" s="60"/>
      <c r="Z25" s="60" t="s">
        <v>107</v>
      </c>
      <c r="AA25" s="62">
        <v>9964</v>
      </c>
      <c r="AB25" s="60">
        <v>9936.5</v>
      </c>
    </row>
    <row r="26" spans="1:28">
      <c r="A26" s="73" t="s">
        <v>272</v>
      </c>
      <c r="B26" s="60" t="s">
        <v>62</v>
      </c>
      <c r="C26" s="60" t="s">
        <v>88</v>
      </c>
      <c r="D26" s="60" t="s">
        <v>74</v>
      </c>
      <c r="E26" s="60" t="s">
        <v>60</v>
      </c>
      <c r="F26" s="60">
        <v>53</v>
      </c>
      <c r="G26" s="62">
        <v>7825.34</v>
      </c>
      <c r="H26" s="63" t="str">
        <f t="shared" ca="1" si="0"/>
        <v>▲</v>
      </c>
      <c r="I26" s="62">
        <v>9366.77</v>
      </c>
      <c r="J26" s="62">
        <f t="shared" ca="1" si="1"/>
        <v>187.22999999999956</v>
      </c>
      <c r="K26" s="64">
        <f t="shared" ca="1" si="2"/>
        <v>1.9597027423068826E-2</v>
      </c>
      <c r="L26" s="62">
        <v>414743.02</v>
      </c>
      <c r="M26" s="62">
        <f ca="1">IFERROR(INDEX(Price_Update!$F:$F, MATCH(A26, Price_Update!$A:$A, 0)), 9554)</f>
        <v>9554</v>
      </c>
      <c r="N26" s="62">
        <f ca="1">IFERROR(INDEX(Price_Update!$I:$I, MATCH(A26, Price_Update!$A:$A, 0)), 9372)</f>
        <v>9372</v>
      </c>
      <c r="O26" s="62">
        <v>9554</v>
      </c>
      <c r="P26" s="62">
        <v>9523.77</v>
      </c>
      <c r="Q26" s="62">
        <v>9518.67</v>
      </c>
      <c r="R26" s="62">
        <v>9511.52</v>
      </c>
      <c r="S26" s="62">
        <v>9366.77</v>
      </c>
      <c r="T26" s="62">
        <f t="shared" ca="1" si="3"/>
        <v>506362</v>
      </c>
      <c r="U26" s="62">
        <f t="shared" ca="1" si="4"/>
        <v>91618.979999999981</v>
      </c>
      <c r="V26" s="64">
        <f t="shared" ca="1" si="5"/>
        <v>0.22090541752818402</v>
      </c>
      <c r="W26" s="64">
        <v>0.44312654975191301</v>
      </c>
      <c r="X26" s="60">
        <v>279</v>
      </c>
      <c r="Y26" s="60"/>
      <c r="Z26" s="60" t="s">
        <v>107</v>
      </c>
      <c r="AA26" s="62">
        <v>9477.5</v>
      </c>
      <c r="AB26" s="60">
        <v>9699</v>
      </c>
    </row>
    <row r="27" spans="1:28">
      <c r="A27" s="73" t="s">
        <v>660</v>
      </c>
      <c r="B27" s="60" t="s">
        <v>62</v>
      </c>
      <c r="C27" s="60" t="s">
        <v>86</v>
      </c>
      <c r="D27" s="60" t="s">
        <v>74</v>
      </c>
      <c r="E27" s="60" t="s">
        <v>46</v>
      </c>
      <c r="F27" s="60">
        <v>3</v>
      </c>
      <c r="G27" s="62">
        <v>35238.33</v>
      </c>
      <c r="H27" s="63" t="str">
        <f t="shared" ca="1" si="0"/>
        <v>▲</v>
      </c>
      <c r="I27" s="62">
        <v>31714.5</v>
      </c>
      <c r="J27" s="62">
        <f t="shared" ca="1" si="1"/>
        <v>2610.5</v>
      </c>
      <c r="K27" s="64">
        <f t="shared" ca="1" si="2"/>
        <v>7.6052439912600148E-2</v>
      </c>
      <c r="L27" s="62">
        <v>105714.99</v>
      </c>
      <c r="M27" s="62">
        <f ca="1">IFERROR(INDEX(Price_Update!$F:$F, MATCH(A27, Price_Update!$A:$A, 0)), 34325)</f>
        <v>34325</v>
      </c>
      <c r="N27" s="62">
        <f ca="1">IFERROR(INDEX(Price_Update!$I:$I, MATCH(A27, Price_Update!$A:$A, 0)), 33250)</f>
        <v>33250</v>
      </c>
      <c r="O27" s="62">
        <v>34325</v>
      </c>
      <c r="P27" s="62">
        <v>34719.89</v>
      </c>
      <c r="Q27" s="62">
        <v>34786.39</v>
      </c>
      <c r="R27" s="62">
        <v>34836.120000000003</v>
      </c>
      <c r="S27" s="62">
        <v>34724.959999999999</v>
      </c>
      <c r="T27" s="62">
        <f t="shared" ca="1" si="3"/>
        <v>102975</v>
      </c>
      <c r="U27" s="62">
        <f t="shared" ca="1" si="4"/>
        <v>-2739.9900000000052</v>
      </c>
      <c r="V27" s="64">
        <f t="shared" ca="1" si="5"/>
        <v>-2.5918651650064056E-2</v>
      </c>
      <c r="W27" s="64">
        <v>-0.69917982338322615</v>
      </c>
      <c r="X27" s="60">
        <v>12</v>
      </c>
      <c r="Y27" s="60"/>
      <c r="Z27" s="60" t="s">
        <v>107</v>
      </c>
      <c r="AA27" s="62">
        <v>38445</v>
      </c>
      <c r="AB27" s="60">
        <v>36870</v>
      </c>
    </row>
    <row r="28" spans="1:28">
      <c r="A28" s="73" t="s">
        <v>705</v>
      </c>
      <c r="B28" s="60" t="s">
        <v>64</v>
      </c>
      <c r="C28" s="60" t="s">
        <v>86</v>
      </c>
      <c r="D28" s="60" t="s">
        <v>74</v>
      </c>
      <c r="E28" s="60" t="s">
        <v>46</v>
      </c>
      <c r="F28" s="60">
        <v>119</v>
      </c>
      <c r="G28" s="62">
        <v>846.49</v>
      </c>
      <c r="H28" s="63" t="str">
        <f t="shared" ca="1" si="0"/>
        <v>▲</v>
      </c>
      <c r="I28" s="62">
        <v>761.84</v>
      </c>
      <c r="J28" s="62">
        <f t="shared" ca="1" si="1"/>
        <v>155.36000000000001</v>
      </c>
      <c r="K28" s="64">
        <f t="shared" ca="1" si="2"/>
        <v>0.16938508504143043</v>
      </c>
      <c r="L28" s="62">
        <v>100732.31</v>
      </c>
      <c r="M28" s="62">
        <f ca="1">IFERROR(INDEX(Price_Update!$F:$F, MATCH(A28, Price_Update!$A:$A, 0)), 917.2)</f>
        <v>917.2</v>
      </c>
      <c r="N28" s="62">
        <f ca="1">IFERROR(INDEX(Price_Update!$I:$I, MATCH(A28, Price_Update!$A:$A, 0)), 877.9)</f>
        <v>877.9</v>
      </c>
      <c r="O28" s="62">
        <v>917.2</v>
      </c>
      <c r="P28" s="62">
        <v>879.55</v>
      </c>
      <c r="Q28" s="62">
        <v>876.5</v>
      </c>
      <c r="R28" s="62">
        <v>873.54</v>
      </c>
      <c r="S28" s="62">
        <v>847.92</v>
      </c>
      <c r="T28" s="62">
        <f t="shared" ca="1" si="3"/>
        <v>109146.8</v>
      </c>
      <c r="U28" s="62">
        <f t="shared" ca="1" si="4"/>
        <v>8414.4900000000052</v>
      </c>
      <c r="V28" s="64">
        <f t="shared" ca="1" si="5"/>
        <v>8.3533178182849235E-2</v>
      </c>
      <c r="W28" s="64">
        <v>41.97605742967496</v>
      </c>
      <c r="X28" s="60">
        <v>12</v>
      </c>
      <c r="Y28" s="60"/>
      <c r="Z28" s="60" t="s">
        <v>107</v>
      </c>
      <c r="AA28" s="62">
        <v>854.7</v>
      </c>
      <c r="AB28" s="60">
        <v>873.45</v>
      </c>
    </row>
    <row r="29" spans="1:28">
      <c r="A29" s="73" t="s">
        <v>708</v>
      </c>
      <c r="B29" s="60" t="s">
        <v>64</v>
      </c>
      <c r="C29" s="60" t="s">
        <v>87</v>
      </c>
      <c r="D29" s="60" t="s">
        <v>74</v>
      </c>
      <c r="E29" s="60" t="s">
        <v>46</v>
      </c>
      <c r="F29" s="60">
        <v>75</v>
      </c>
      <c r="G29" s="62">
        <v>1336.58</v>
      </c>
      <c r="H29" s="63" t="str">
        <f t="shared" ca="1" si="0"/>
        <v>▲</v>
      </c>
      <c r="I29" s="62">
        <v>1202.92</v>
      </c>
      <c r="J29" s="62">
        <f t="shared" ca="1" si="1"/>
        <v>162.07999999999993</v>
      </c>
      <c r="K29" s="64">
        <f t="shared" ca="1" si="2"/>
        <v>0.11873992673992669</v>
      </c>
      <c r="L29" s="62">
        <v>100243.5</v>
      </c>
      <c r="M29" s="62">
        <f ca="1">IFERROR(INDEX(Price_Update!$F:$F, MATCH(A29, Price_Update!$A:$A, 0)), 1365)</f>
        <v>1365</v>
      </c>
      <c r="N29" s="62">
        <f ca="1">IFERROR(INDEX(Price_Update!$I:$I, MATCH(A29, Price_Update!$A:$A, 0)), 1339.9)</f>
        <v>1339.9</v>
      </c>
      <c r="O29" s="62">
        <v>1365</v>
      </c>
      <c r="P29" s="62">
        <v>1348.09</v>
      </c>
      <c r="Q29" s="62">
        <v>1347.97</v>
      </c>
      <c r="R29" s="62">
        <v>1347.74</v>
      </c>
      <c r="S29" s="62">
        <v>1339.68</v>
      </c>
      <c r="T29" s="62">
        <f t="shared" ca="1" si="3"/>
        <v>102375</v>
      </c>
      <c r="U29" s="62">
        <f t="shared" ca="1" si="4"/>
        <v>2131.5</v>
      </c>
      <c r="V29" s="64">
        <f t="shared" ca="1" si="5"/>
        <v>2.1263224049439613E-2</v>
      </c>
      <c r="W29" s="64">
        <v>1.71706383486203</v>
      </c>
      <c r="X29" s="60">
        <v>12</v>
      </c>
      <c r="Y29" s="60"/>
      <c r="Z29" s="60" t="s">
        <v>107</v>
      </c>
      <c r="AA29" s="62">
        <v>1380.3</v>
      </c>
      <c r="AB29" s="60">
        <v>1343.3</v>
      </c>
    </row>
    <row r="30" spans="1:28">
      <c r="A30" s="73" t="s">
        <v>711</v>
      </c>
      <c r="B30" s="60" t="s">
        <v>64</v>
      </c>
      <c r="C30" s="60" t="s">
        <v>86</v>
      </c>
      <c r="D30" s="60" t="s">
        <v>74</v>
      </c>
      <c r="E30" s="60" t="s">
        <v>46</v>
      </c>
      <c r="F30" s="60">
        <v>137</v>
      </c>
      <c r="G30" s="62">
        <v>734.41</v>
      </c>
      <c r="H30" s="63" t="str">
        <f t="shared" ca="1" si="0"/>
        <v>▲</v>
      </c>
      <c r="I30" s="62">
        <v>660.97</v>
      </c>
      <c r="J30" s="62">
        <f t="shared" ca="1" si="1"/>
        <v>34.529999999999973</v>
      </c>
      <c r="K30" s="64">
        <f t="shared" ca="1" si="2"/>
        <v>4.9647735442127923E-2</v>
      </c>
      <c r="L30" s="62">
        <v>100614.17</v>
      </c>
      <c r="M30" s="62">
        <f ca="1">IFERROR(INDEX(Price_Update!$F:$F, MATCH(A30, Price_Update!$A:$A, 0)), 695.5)</f>
        <v>695.5</v>
      </c>
      <c r="N30" s="62">
        <f ca="1">IFERROR(INDEX(Price_Update!$I:$I, MATCH(A30, Price_Update!$A:$A, 0)), 668.35)</f>
        <v>668.35</v>
      </c>
      <c r="O30" s="62">
        <v>695.5</v>
      </c>
      <c r="P30" s="62">
        <v>708.09</v>
      </c>
      <c r="Q30" s="62">
        <v>708.22</v>
      </c>
      <c r="R30" s="62">
        <v>707.92</v>
      </c>
      <c r="S30" s="62">
        <v>692</v>
      </c>
      <c r="T30" s="62">
        <f t="shared" ca="1" si="3"/>
        <v>95283.5</v>
      </c>
      <c r="U30" s="62">
        <f t="shared" ca="1" si="4"/>
        <v>-5330.6699999999983</v>
      </c>
      <c r="V30" s="64">
        <f t="shared" ca="1" si="5"/>
        <v>-5.298130472079627E-2</v>
      </c>
      <c r="W30" s="64">
        <v>-0.92387923200820987</v>
      </c>
      <c r="X30" s="60">
        <v>12</v>
      </c>
      <c r="Y30" s="60"/>
      <c r="Z30" s="60" t="s">
        <v>107</v>
      </c>
      <c r="AA30" s="62">
        <v>740</v>
      </c>
      <c r="AB30" s="60">
        <v>712.7</v>
      </c>
    </row>
    <row r="31" spans="1:28">
      <c r="A31" s="73" t="s">
        <v>553</v>
      </c>
      <c r="B31" s="60" t="s">
        <v>62</v>
      </c>
      <c r="C31" s="60" t="s">
        <v>86</v>
      </c>
      <c r="D31" s="60" t="s">
        <v>74</v>
      </c>
      <c r="E31" s="60" t="s">
        <v>46</v>
      </c>
      <c r="F31" s="60">
        <v>6</v>
      </c>
      <c r="G31" s="62">
        <v>16594</v>
      </c>
      <c r="H31" s="63" t="str">
        <f t="shared" ca="1" si="0"/>
        <v>▲</v>
      </c>
      <c r="I31" s="62">
        <v>14934.6</v>
      </c>
      <c r="J31" s="62">
        <f t="shared" ca="1" si="1"/>
        <v>2208.3999999999996</v>
      </c>
      <c r="K31" s="64">
        <f t="shared" ca="1" si="2"/>
        <v>0.12882225981450152</v>
      </c>
      <c r="L31" s="62">
        <v>99564</v>
      </c>
      <c r="M31" s="62">
        <f ca="1">IFERROR(INDEX(Price_Update!$F:$F, MATCH(A31, Price_Update!$A:$A, 0)), 17143)</f>
        <v>17143</v>
      </c>
      <c r="N31" s="62">
        <f ca="1">IFERROR(INDEX(Price_Update!$I:$I, MATCH(A31, Price_Update!$A:$A, 0)), 17141)</f>
        <v>17141</v>
      </c>
      <c r="O31" s="62">
        <v>17143</v>
      </c>
      <c r="P31" s="62">
        <v>17793.91</v>
      </c>
      <c r="Q31" s="62">
        <v>17819.560000000001</v>
      </c>
      <c r="R31" s="62">
        <v>17835.52</v>
      </c>
      <c r="S31" s="62">
        <v>17679.07</v>
      </c>
      <c r="T31" s="62">
        <f t="shared" ca="1" si="3"/>
        <v>102858</v>
      </c>
      <c r="U31" s="62">
        <f t="shared" ca="1" si="4"/>
        <v>3294</v>
      </c>
      <c r="V31" s="64">
        <f t="shared" ca="1" si="5"/>
        <v>3.3084247318307822E-2</v>
      </c>
      <c r="W31" s="64">
        <v>0.46366322748571392</v>
      </c>
      <c r="X31" s="60">
        <v>86</v>
      </c>
      <c r="Y31" s="60"/>
      <c r="Z31" s="60" t="s">
        <v>107</v>
      </c>
      <c r="AA31" s="62">
        <v>18247</v>
      </c>
      <c r="AB31" s="60">
        <v>18441</v>
      </c>
    </row>
    <row r="32" spans="1:28">
      <c r="A32" s="73" t="s">
        <v>663</v>
      </c>
      <c r="B32" s="60" t="s">
        <v>64</v>
      </c>
      <c r="C32" s="60" t="s">
        <v>86</v>
      </c>
      <c r="D32" s="60" t="s">
        <v>74</v>
      </c>
      <c r="E32" s="60" t="s">
        <v>46</v>
      </c>
      <c r="F32" s="60">
        <v>87</v>
      </c>
      <c r="G32" s="62">
        <v>1188.6600000000001</v>
      </c>
      <c r="H32" s="63" t="str">
        <f t="shared" ca="1" si="0"/>
        <v>▲</v>
      </c>
      <c r="I32" s="62">
        <v>1069.79</v>
      </c>
      <c r="J32" s="62">
        <f t="shared" ca="1" si="1"/>
        <v>196.91000000000008</v>
      </c>
      <c r="K32" s="64">
        <f t="shared" ca="1" si="2"/>
        <v>0.15545117233757011</v>
      </c>
      <c r="L32" s="62">
        <v>103413.42</v>
      </c>
      <c r="M32" s="62">
        <f ca="1">IFERROR(INDEX(Price_Update!$F:$F, MATCH(A32, Price_Update!$A:$A, 0)), 1266.7)</f>
        <v>1266.7</v>
      </c>
      <c r="N32" s="62">
        <f ca="1">IFERROR(INDEX(Price_Update!$I:$I, MATCH(A32, Price_Update!$A:$A, 0)), 1235.6)</f>
        <v>1235.5999999999999</v>
      </c>
      <c r="O32" s="62">
        <v>1266.7</v>
      </c>
      <c r="P32" s="62">
        <v>1211.33</v>
      </c>
      <c r="Q32" s="62">
        <v>1204.78</v>
      </c>
      <c r="R32" s="62">
        <v>1198.44</v>
      </c>
      <c r="S32" s="62">
        <v>1145.94</v>
      </c>
      <c r="T32" s="62">
        <f t="shared" ca="1" si="3"/>
        <v>110202.90000000001</v>
      </c>
      <c r="U32" s="62">
        <f t="shared" ca="1" si="4"/>
        <v>6789.4800000000105</v>
      </c>
      <c r="V32" s="64">
        <f t="shared" ca="1" si="5"/>
        <v>6.5653761378358932E-2</v>
      </c>
      <c r="W32" s="64">
        <v>18.83158727021361</v>
      </c>
      <c r="X32" s="60">
        <v>12</v>
      </c>
      <c r="Y32" s="60"/>
      <c r="Z32" s="60" t="s">
        <v>107</v>
      </c>
      <c r="AA32" s="62">
        <v>1088.55</v>
      </c>
      <c r="AB32" s="60">
        <v>1226.8</v>
      </c>
    </row>
    <row r="33" spans="1:28">
      <c r="A33" s="73" t="s">
        <v>505</v>
      </c>
      <c r="B33" s="60" t="s">
        <v>64</v>
      </c>
      <c r="C33" s="60" t="s">
        <v>86</v>
      </c>
      <c r="D33" s="60" t="s">
        <v>74</v>
      </c>
      <c r="E33" s="60" t="s">
        <v>52</v>
      </c>
      <c r="F33" s="60">
        <v>392</v>
      </c>
      <c r="G33" s="62">
        <v>1022.75</v>
      </c>
      <c r="H33" s="63" t="str">
        <f t="shared" ca="1" si="0"/>
        <v>▲</v>
      </c>
      <c r="I33" s="62">
        <v>1229.8900000000001</v>
      </c>
      <c r="J33" s="62">
        <f t="shared" ca="1" si="1"/>
        <v>-37.090000000000146</v>
      </c>
      <c r="K33" s="64">
        <f t="shared" ca="1" si="2"/>
        <v>-3.109490274983245E-2</v>
      </c>
      <c r="L33" s="62">
        <v>400918</v>
      </c>
      <c r="M33" s="62">
        <f ca="1">IFERROR(INDEX(Price_Update!$F:$F, MATCH(A33, Price_Update!$A:$A, 0)), 1192.8)</f>
        <v>1192.8</v>
      </c>
      <c r="N33" s="62">
        <f ca="1">IFERROR(INDEX(Price_Update!$I:$I, MATCH(A33, Price_Update!$A:$A, 0)), 1126)</f>
        <v>1126</v>
      </c>
      <c r="O33" s="62">
        <v>1192.8</v>
      </c>
      <c r="P33" s="62">
        <v>1216.94</v>
      </c>
      <c r="Q33" s="62">
        <v>1221.1400000000001</v>
      </c>
      <c r="R33" s="62">
        <v>1224.5899999999999</v>
      </c>
      <c r="S33" s="62">
        <v>1229.8900000000001</v>
      </c>
      <c r="T33" s="62">
        <f t="shared" ca="1" si="3"/>
        <v>467577.59999999998</v>
      </c>
      <c r="U33" s="62">
        <f t="shared" ca="1" si="4"/>
        <v>66659.599999999977</v>
      </c>
      <c r="V33" s="64">
        <f t="shared" ca="1" si="5"/>
        <v>0.16626741627963817</v>
      </c>
      <c r="W33" s="64">
        <v>1.5085157329146981</v>
      </c>
      <c r="X33" s="60">
        <v>122</v>
      </c>
      <c r="Y33" s="60"/>
      <c r="Z33" s="60" t="s">
        <v>107</v>
      </c>
      <c r="AA33" s="62">
        <v>1318.6</v>
      </c>
      <c r="AB33" s="60">
        <v>1312.8</v>
      </c>
    </row>
    <row r="34" spans="1:28">
      <c r="A34" s="73" t="s">
        <v>714</v>
      </c>
      <c r="B34" s="60" t="s">
        <v>64</v>
      </c>
      <c r="C34" s="60" t="s">
        <v>86</v>
      </c>
      <c r="D34" s="60" t="s">
        <v>74</v>
      </c>
      <c r="E34" s="60" t="s">
        <v>46</v>
      </c>
      <c r="F34" s="60">
        <v>28</v>
      </c>
      <c r="G34" s="62">
        <v>3567.58</v>
      </c>
      <c r="H34" s="63" t="str">
        <f t="shared" ca="1" si="0"/>
        <v>▲</v>
      </c>
      <c r="I34" s="62">
        <v>3210.82</v>
      </c>
      <c r="J34" s="62">
        <f t="shared" ca="1" si="1"/>
        <v>319.37999999999965</v>
      </c>
      <c r="K34" s="64">
        <f t="shared" ca="1" si="2"/>
        <v>9.047079485581544E-2</v>
      </c>
      <c r="L34" s="62">
        <v>99892.24</v>
      </c>
      <c r="M34" s="62">
        <f ca="1">IFERROR(INDEX(Price_Update!$F:$F, MATCH(A34, Price_Update!$A:$A, 0)), 3530.2)</f>
        <v>3530.2</v>
      </c>
      <c r="N34" s="62">
        <f ca="1">IFERROR(INDEX(Price_Update!$I:$I, MATCH(A34, Price_Update!$A:$A, 0)), 3511.5)</f>
        <v>3511.5</v>
      </c>
      <c r="O34" s="62">
        <v>3530.2</v>
      </c>
      <c r="P34" s="62">
        <v>3552.65</v>
      </c>
      <c r="Q34" s="62">
        <v>3554.93</v>
      </c>
      <c r="R34" s="62">
        <v>3556.84</v>
      </c>
      <c r="S34" s="62">
        <v>3560.54</v>
      </c>
      <c r="T34" s="62">
        <f t="shared" ca="1" si="3"/>
        <v>98845.599999999991</v>
      </c>
      <c r="U34" s="62">
        <f t="shared" ca="1" si="4"/>
        <v>-1046.640000000014</v>
      </c>
      <c r="V34" s="64">
        <f t="shared" ca="1" si="5"/>
        <v>-1.0477690759562643E-2</v>
      </c>
      <c r="W34" s="64">
        <v>-0.39353086234587242</v>
      </c>
      <c r="X34" s="60">
        <v>12</v>
      </c>
      <c r="Y34" s="60"/>
      <c r="Z34" s="60" t="s">
        <v>107</v>
      </c>
      <c r="AA34" s="62">
        <v>3630.4</v>
      </c>
      <c r="AB34" s="60">
        <v>3643.6</v>
      </c>
    </row>
    <row r="35" spans="1:28">
      <c r="A35" s="73" t="s">
        <v>672</v>
      </c>
      <c r="B35" s="60" t="s">
        <v>64</v>
      </c>
      <c r="C35" s="60" t="s">
        <v>89</v>
      </c>
      <c r="D35" s="60" t="s">
        <v>74</v>
      </c>
      <c r="E35" s="60" t="s">
        <v>46</v>
      </c>
      <c r="F35" s="60">
        <v>151</v>
      </c>
      <c r="G35" s="62">
        <v>665.77</v>
      </c>
      <c r="H35" s="63" t="str">
        <f t="shared" ca="1" si="0"/>
        <v>▲</v>
      </c>
      <c r="I35" s="62">
        <v>599.19000000000005</v>
      </c>
      <c r="J35" s="62">
        <f t="shared" ca="1" si="1"/>
        <v>41.059999999999945</v>
      </c>
      <c r="K35" s="64">
        <f t="shared" ca="1" si="2"/>
        <v>6.4131198750488005E-2</v>
      </c>
      <c r="L35" s="62">
        <v>100531.27</v>
      </c>
      <c r="M35" s="62">
        <f ca="1">IFERROR(INDEX(Price_Update!$F:$F, MATCH(A35, Price_Update!$A:$A, 0)), 640.25)</f>
        <v>640.25</v>
      </c>
      <c r="N35" s="62">
        <f ca="1">IFERROR(INDEX(Price_Update!$I:$I, MATCH(A35, Price_Update!$A:$A, 0)), 635.5)</f>
        <v>635.5</v>
      </c>
      <c r="O35" s="62">
        <v>640.25</v>
      </c>
      <c r="P35" s="62">
        <v>653.94000000000005</v>
      </c>
      <c r="Q35" s="62">
        <v>654.63</v>
      </c>
      <c r="R35" s="62">
        <v>655.14</v>
      </c>
      <c r="S35" s="62">
        <v>653.75</v>
      </c>
      <c r="T35" s="62">
        <f t="shared" ca="1" si="3"/>
        <v>96677.75</v>
      </c>
      <c r="U35" s="62">
        <f t="shared" ca="1" si="4"/>
        <v>-3853.5200000000041</v>
      </c>
      <c r="V35" s="64">
        <f t="shared" ca="1" si="5"/>
        <v>-3.8331555942743026E-2</v>
      </c>
      <c r="W35" s="64">
        <v>-0.84373423779127954</v>
      </c>
      <c r="X35" s="60">
        <v>12</v>
      </c>
      <c r="Y35" s="60"/>
      <c r="Z35" s="60" t="s">
        <v>107</v>
      </c>
      <c r="AA35" s="62">
        <v>662.45</v>
      </c>
      <c r="AB35" s="60">
        <v>690.95</v>
      </c>
    </row>
    <row r="36" spans="1:28">
      <c r="A36" s="73" t="s">
        <v>125</v>
      </c>
      <c r="B36" s="60" t="s">
        <v>64</v>
      </c>
      <c r="C36" s="60" t="s">
        <v>86</v>
      </c>
      <c r="D36" s="60" t="s">
        <v>74</v>
      </c>
      <c r="E36" s="60" t="s">
        <v>40</v>
      </c>
      <c r="F36" s="60">
        <v>114</v>
      </c>
      <c r="G36" s="62">
        <v>690.34</v>
      </c>
      <c r="H36" s="63" t="str">
        <f t="shared" ca="1" si="0"/>
        <v>▲</v>
      </c>
      <c r="I36" s="62">
        <v>621.30999999999995</v>
      </c>
      <c r="J36" s="62">
        <f t="shared" ca="1" si="1"/>
        <v>49.8900000000001</v>
      </c>
      <c r="K36" s="64">
        <f t="shared" ca="1" si="2"/>
        <v>7.4329558998808248E-2</v>
      </c>
      <c r="L36" s="62">
        <v>78698.759999999995</v>
      </c>
      <c r="M36" s="62">
        <f ca="1">IFERROR(INDEX(Price_Update!$F:$F, MATCH(A36, Price_Update!$A:$A, 0)), 671.2)</f>
        <v>671.2</v>
      </c>
      <c r="N36" s="62">
        <f ca="1">IFERROR(INDEX(Price_Update!$I:$I, MATCH(A36, Price_Update!$A:$A, 0)), 640.7)</f>
        <v>640.70000000000005</v>
      </c>
      <c r="O36" s="62">
        <v>671.2</v>
      </c>
      <c r="P36" s="62">
        <v>669.15</v>
      </c>
      <c r="Q36" s="62">
        <v>669.7</v>
      </c>
      <c r="R36" s="62">
        <v>669.91</v>
      </c>
      <c r="S36" s="62">
        <v>659.97</v>
      </c>
      <c r="T36" s="62">
        <f t="shared" ca="1" si="3"/>
        <v>76516.800000000003</v>
      </c>
      <c r="U36" s="62">
        <f t="shared" ca="1" si="4"/>
        <v>-2181.9599999999919</v>
      </c>
      <c r="V36" s="64">
        <f t="shared" ca="1" si="5"/>
        <v>-2.7725468609670494E-2</v>
      </c>
      <c r="W36" s="64">
        <v>-0.55605880561627297</v>
      </c>
      <c r="X36" s="60">
        <v>13</v>
      </c>
      <c r="Y36" s="60"/>
      <c r="Z36" s="60" t="s">
        <v>107</v>
      </c>
      <c r="AA36" s="62">
        <v>741.5</v>
      </c>
      <c r="AB36" s="60">
        <v>686.9</v>
      </c>
    </row>
    <row r="37" spans="1:28">
      <c r="A37" s="73" t="s">
        <v>666</v>
      </c>
      <c r="B37" s="60" t="s">
        <v>62</v>
      </c>
      <c r="C37" s="60" t="s">
        <v>88</v>
      </c>
      <c r="D37" s="60" t="s">
        <v>74</v>
      </c>
      <c r="E37" s="60" t="s">
        <v>46</v>
      </c>
      <c r="F37" s="60">
        <v>188</v>
      </c>
      <c r="G37" s="62">
        <v>528.83000000000004</v>
      </c>
      <c r="H37" s="63" t="str">
        <f t="shared" ca="1" si="0"/>
        <v>▲</v>
      </c>
      <c r="I37" s="62">
        <v>475.95</v>
      </c>
      <c r="J37" s="62">
        <f t="shared" ca="1" si="1"/>
        <v>46.250000000000057</v>
      </c>
      <c r="K37" s="64">
        <f t="shared" ca="1" si="2"/>
        <v>8.8567598621218019E-2</v>
      </c>
      <c r="L37" s="62">
        <v>99420.04</v>
      </c>
      <c r="M37" s="62">
        <f ca="1">IFERROR(INDEX(Price_Update!$F:$F, MATCH(A37, Price_Update!$A:$A, 0)), 522.2)</f>
        <v>522.20000000000005</v>
      </c>
      <c r="N37" s="62">
        <f ca="1">IFERROR(INDEX(Price_Update!$I:$I, MATCH(A37, Price_Update!$A:$A, 0)), 519.9)</f>
        <v>519.9</v>
      </c>
      <c r="O37" s="62">
        <v>522.20000000000005</v>
      </c>
      <c r="P37" s="62">
        <v>525.02</v>
      </c>
      <c r="Q37" s="62">
        <v>525.08000000000004</v>
      </c>
      <c r="R37" s="62">
        <v>525.04999999999995</v>
      </c>
      <c r="S37" s="62">
        <v>521.22</v>
      </c>
      <c r="T37" s="62">
        <f t="shared" ca="1" si="3"/>
        <v>98173.6</v>
      </c>
      <c r="U37" s="62">
        <f t="shared" ca="1" si="4"/>
        <v>-1246.4399999999878</v>
      </c>
      <c r="V37" s="64">
        <f t="shared" ca="1" si="5"/>
        <v>-1.2537110224457642E-2</v>
      </c>
      <c r="W37" s="64">
        <v>-0.4474922813058288</v>
      </c>
      <c r="X37" s="60">
        <v>12</v>
      </c>
      <c r="Y37" s="60"/>
      <c r="Z37" s="60" t="s">
        <v>107</v>
      </c>
      <c r="AA37" s="62">
        <v>528</v>
      </c>
      <c r="AB37" s="60">
        <v>523.29999999999995</v>
      </c>
    </row>
    <row r="38" spans="1:28">
      <c r="A38" s="76" t="s">
        <v>176</v>
      </c>
      <c r="B38" s="60" t="s">
        <v>62</v>
      </c>
      <c r="C38" s="60" t="s">
        <v>86</v>
      </c>
      <c r="D38" s="60" t="s">
        <v>75</v>
      </c>
      <c r="E38" s="60" t="s">
        <v>46</v>
      </c>
      <c r="F38" s="60">
        <v>36</v>
      </c>
      <c r="G38" s="62">
        <v>2834.43</v>
      </c>
      <c r="H38" s="63" t="str">
        <f t="shared" ca="1" si="0"/>
        <v>▲</v>
      </c>
      <c r="I38" s="62">
        <v>2550.9899999999998</v>
      </c>
      <c r="J38" s="62">
        <f t="shared" ca="1" si="1"/>
        <v>370.61000000000013</v>
      </c>
      <c r="K38" s="64">
        <f t="shared" ca="1" si="2"/>
        <v>0.12685172508214682</v>
      </c>
      <c r="L38" s="62">
        <v>102039.48</v>
      </c>
      <c r="M38" s="62">
        <f ca="1">IFERROR(INDEX(Price_Update!$F:$F, MATCH(A38, Price_Update!$A:$A, 0)), 2921.6)</f>
        <v>2921.6</v>
      </c>
      <c r="N38" s="62">
        <f ca="1">IFERROR(INDEX(Price_Update!$I:$I, MATCH(A38, Price_Update!$A:$A, 0)), 2907.5)</f>
        <v>2908.8</v>
      </c>
      <c r="O38" s="62">
        <v>2921.6</v>
      </c>
      <c r="P38" s="62">
        <v>2677.37</v>
      </c>
      <c r="Q38" s="62">
        <v>2645.05</v>
      </c>
      <c r="R38" s="62">
        <v>2616</v>
      </c>
      <c r="S38" s="62">
        <v>2451.29</v>
      </c>
      <c r="T38" s="62">
        <f t="shared" ca="1" si="3"/>
        <v>105177.59999999999</v>
      </c>
      <c r="U38" s="62">
        <f t="shared" ca="1" si="4"/>
        <v>3138.1199999999953</v>
      </c>
      <c r="V38" s="64">
        <f t="shared" ca="1" si="5"/>
        <v>3.075397875410572E-2</v>
      </c>
      <c r="W38" s="64">
        <v>0.61247894959153248</v>
      </c>
      <c r="X38" s="60">
        <v>30</v>
      </c>
      <c r="Y38" s="60"/>
      <c r="Z38" s="60" t="s">
        <v>107</v>
      </c>
      <c r="AA38" s="62">
        <v>2936.09</v>
      </c>
      <c r="AB38" s="60">
        <v>3046.84</v>
      </c>
    </row>
    <row r="39" spans="1:28">
      <c r="A39" s="77" t="s">
        <v>118</v>
      </c>
      <c r="B39" s="60" t="s">
        <v>63</v>
      </c>
      <c r="C39" s="60" t="s">
        <v>87</v>
      </c>
      <c r="D39" s="60" t="s">
        <v>75</v>
      </c>
      <c r="E39" s="60" t="s">
        <v>40</v>
      </c>
      <c r="F39" s="60">
        <v>14</v>
      </c>
      <c r="G39" s="62">
        <v>3134.66</v>
      </c>
      <c r="H39" s="63" t="str">
        <f t="shared" ca="1" si="0"/>
        <v>▼</v>
      </c>
      <c r="I39" s="62">
        <v>2821.19</v>
      </c>
      <c r="J39" s="62">
        <f t="shared" ca="1" si="1"/>
        <v>309.80999999999995</v>
      </c>
      <c r="K39" s="64">
        <f t="shared" ca="1" si="2"/>
        <v>9.8949217502395381E-2</v>
      </c>
      <c r="L39" s="62">
        <v>43885.24</v>
      </c>
      <c r="M39" s="62">
        <f ca="1">IFERROR(INDEX(Price_Update!$F:$F, MATCH(A39, Price_Update!$A:$A, 0)), 3131)</f>
        <v>3131</v>
      </c>
      <c r="N39" s="62">
        <f ca="1">IFERROR(INDEX(Price_Update!$I:$I, MATCH(A39, Price_Update!$A:$A, 0)), 3143.4)</f>
        <v>3143.4</v>
      </c>
      <c r="O39" s="62">
        <v>3131</v>
      </c>
      <c r="P39" s="62">
        <v>2995.41</v>
      </c>
      <c r="Q39" s="62">
        <v>2986.96</v>
      </c>
      <c r="R39" s="62">
        <v>2978.86</v>
      </c>
      <c r="S39" s="62">
        <v>2908.68</v>
      </c>
      <c r="T39" s="62">
        <f t="shared" ca="1" si="3"/>
        <v>43834</v>
      </c>
      <c r="U39" s="62">
        <f t="shared" ca="1" si="4"/>
        <v>-51.239999999997963</v>
      </c>
      <c r="V39" s="64">
        <f t="shared" ca="1" si="5"/>
        <v>-1.167590743493666E-3</v>
      </c>
      <c r="W39" s="64">
        <v>-6.7873787593878626E-3</v>
      </c>
      <c r="X39" s="60">
        <v>160</v>
      </c>
      <c r="Y39" s="60"/>
      <c r="Z39" s="60" t="s">
        <v>107</v>
      </c>
      <c r="AA39" s="62">
        <v>2928.9</v>
      </c>
      <c r="AB39" s="60">
        <v>2976.5</v>
      </c>
    </row>
    <row r="40" spans="1:28">
      <c r="A40" s="78" t="s">
        <v>180</v>
      </c>
      <c r="B40" s="60" t="s">
        <v>64</v>
      </c>
      <c r="C40" s="60" t="s">
        <v>86</v>
      </c>
      <c r="D40" s="60" t="s">
        <v>75</v>
      </c>
      <c r="E40" s="60" t="s">
        <v>48</v>
      </c>
      <c r="F40" s="60">
        <v>556</v>
      </c>
      <c r="G40" s="62">
        <v>360.41</v>
      </c>
      <c r="H40" s="63" t="str">
        <f t="shared" ca="1" si="0"/>
        <v>▲</v>
      </c>
      <c r="I40" s="62">
        <v>376.96</v>
      </c>
      <c r="J40" s="62">
        <f t="shared" ca="1" si="1"/>
        <v>32.44</v>
      </c>
      <c r="K40" s="64">
        <f t="shared" ca="1" si="2"/>
        <v>7.9237909135319973E-2</v>
      </c>
      <c r="L40" s="62">
        <v>200387.96</v>
      </c>
      <c r="M40" s="62">
        <f ca="1">IFERROR(INDEX(Price_Update!$F:$F, MATCH(A40, Price_Update!$A:$A, 0)), 409.4)</f>
        <v>409.4</v>
      </c>
      <c r="N40" s="62">
        <f ca="1">IFERROR(INDEX(Price_Update!$I:$I, MATCH(A40, Price_Update!$A:$A, 0)), 381.75)</f>
        <v>381.75</v>
      </c>
      <c r="O40" s="62">
        <v>409.4</v>
      </c>
      <c r="P40" s="62">
        <v>349.68</v>
      </c>
      <c r="Q40" s="62">
        <v>343.18</v>
      </c>
      <c r="R40" s="62">
        <v>337.34</v>
      </c>
      <c r="S40" s="62">
        <v>301.93</v>
      </c>
      <c r="T40" s="62">
        <f t="shared" ca="1" si="3"/>
        <v>227626.4</v>
      </c>
      <c r="U40" s="62">
        <f t="shared" ca="1" si="4"/>
        <v>27238.440000000002</v>
      </c>
      <c r="V40" s="64">
        <f t="shared" ca="1" si="5"/>
        <v>0.13592852584556478</v>
      </c>
      <c r="W40" s="64">
        <v>5.7826767322552213</v>
      </c>
      <c r="X40" s="60">
        <v>41</v>
      </c>
      <c r="Y40" s="60"/>
      <c r="Z40" s="60" t="s">
        <v>107</v>
      </c>
      <c r="AA40" s="62">
        <v>409</v>
      </c>
      <c r="AB40" s="60">
        <v>421.35</v>
      </c>
    </row>
    <row r="41" spans="1:28">
      <c r="A41" s="78" t="s">
        <v>173</v>
      </c>
      <c r="B41" s="60" t="s">
        <v>64</v>
      </c>
      <c r="C41" s="60" t="s">
        <v>86</v>
      </c>
      <c r="D41" s="60" t="s">
        <v>75</v>
      </c>
      <c r="E41" s="60" t="s">
        <v>48</v>
      </c>
      <c r="F41" s="60">
        <v>148</v>
      </c>
      <c r="G41" s="62">
        <v>1356.69</v>
      </c>
      <c r="H41" s="63" t="str">
        <f t="shared" ca="1" si="0"/>
        <v>▲</v>
      </c>
      <c r="I41" s="62">
        <v>1399.13</v>
      </c>
      <c r="J41" s="62">
        <f t="shared" ca="1" si="1"/>
        <v>44.669999999999845</v>
      </c>
      <c r="K41" s="64">
        <f t="shared" ca="1" si="2"/>
        <v>3.0939188253220562E-2</v>
      </c>
      <c r="L41" s="62">
        <v>200790.12</v>
      </c>
      <c r="M41" s="62">
        <f ca="1">IFERROR(INDEX(Price_Update!$F:$F, MATCH(A41, Price_Update!$A:$A, 0)), 1443.8)</f>
        <v>1443.8</v>
      </c>
      <c r="N41" s="62">
        <f ca="1">IFERROR(INDEX(Price_Update!$I:$I, MATCH(A41, Price_Update!$A:$A, 0)), 1396.3)</f>
        <v>1396.3</v>
      </c>
      <c r="O41" s="62">
        <v>1443.8</v>
      </c>
      <c r="P41" s="62">
        <v>1252.25</v>
      </c>
      <c r="Q41" s="62">
        <v>1235.97</v>
      </c>
      <c r="R41" s="62">
        <v>1221.28</v>
      </c>
      <c r="S41" s="62">
        <v>1130.3800000000001</v>
      </c>
      <c r="T41" s="62">
        <f t="shared" ca="1" si="3"/>
        <v>213682.4</v>
      </c>
      <c r="U41" s="62">
        <f t="shared" ca="1" si="4"/>
        <v>12892.279999999999</v>
      </c>
      <c r="V41" s="64">
        <f t="shared" ca="1" si="5"/>
        <v>6.4207740898805182E-2</v>
      </c>
      <c r="W41" s="64">
        <v>2.2044707794087421</v>
      </c>
      <c r="X41" s="60">
        <v>48</v>
      </c>
      <c r="Y41" s="60"/>
      <c r="Z41" s="60" t="s">
        <v>107</v>
      </c>
      <c r="AA41" s="62">
        <v>1401.7</v>
      </c>
      <c r="AB41" s="60">
        <v>1419.5</v>
      </c>
    </row>
    <row r="42" spans="1:28">
      <c r="A42" s="77" t="s">
        <v>120</v>
      </c>
      <c r="B42" s="60" t="s">
        <v>63</v>
      </c>
      <c r="C42" s="60" t="s">
        <v>87</v>
      </c>
      <c r="D42" s="60" t="s">
        <v>75</v>
      </c>
      <c r="E42" s="60" t="s">
        <v>34</v>
      </c>
      <c r="F42" s="60">
        <v>33</v>
      </c>
      <c r="G42" s="62">
        <v>1505.6</v>
      </c>
      <c r="H42" s="63" t="str">
        <f t="shared" ca="1" si="0"/>
        <v>▲</v>
      </c>
      <c r="I42" s="62">
        <v>1355.04</v>
      </c>
      <c r="J42" s="62">
        <f t="shared" ca="1" si="1"/>
        <v>117.75999999999999</v>
      </c>
      <c r="K42" s="64">
        <f t="shared" ca="1" si="2"/>
        <v>7.9956545355784892E-2</v>
      </c>
      <c r="L42" s="62">
        <v>49684.800000000003</v>
      </c>
      <c r="M42" s="62">
        <f ca="1">IFERROR(INDEX(Price_Update!$F:$F, MATCH(A42, Price_Update!$A:$A, 0)), 1472.8)</f>
        <v>1472.8</v>
      </c>
      <c r="N42" s="62">
        <f ca="1">IFERROR(INDEX(Price_Update!$I:$I, MATCH(A42, Price_Update!$A:$A, 0)), 1464.1)</f>
        <v>1464.1</v>
      </c>
      <c r="O42" s="62">
        <v>1472.8</v>
      </c>
      <c r="P42" s="62">
        <v>1432.87</v>
      </c>
      <c r="Q42" s="62">
        <v>1425.96</v>
      </c>
      <c r="R42" s="62">
        <v>1419.02</v>
      </c>
      <c r="S42" s="62">
        <v>1358.2</v>
      </c>
      <c r="T42" s="62">
        <f t="shared" ca="1" si="3"/>
        <v>48602.400000000001</v>
      </c>
      <c r="U42" s="62">
        <f t="shared" ca="1" si="4"/>
        <v>-1082.4000000000015</v>
      </c>
      <c r="V42" s="64">
        <f t="shared" ca="1" si="5"/>
        <v>-2.1785334750265704E-2</v>
      </c>
      <c r="W42" s="64">
        <v>-0.25752105586644941</v>
      </c>
      <c r="X42" s="60">
        <v>27</v>
      </c>
      <c r="Y42" s="60"/>
      <c r="Z42" s="60" t="s">
        <v>107</v>
      </c>
      <c r="AA42" s="62">
        <v>1426.4</v>
      </c>
      <c r="AB42" s="60">
        <v>1462.3</v>
      </c>
    </row>
    <row r="43" spans="1:28">
      <c r="A43" s="79" t="s">
        <v>182</v>
      </c>
      <c r="B43" s="60" t="s">
        <v>64</v>
      </c>
      <c r="C43" s="60" t="s">
        <v>87</v>
      </c>
      <c r="D43" s="60" t="s">
        <v>75</v>
      </c>
      <c r="E43" s="60" t="s">
        <v>50</v>
      </c>
      <c r="F43" s="60">
        <v>152</v>
      </c>
      <c r="G43" s="62">
        <v>1962.85</v>
      </c>
      <c r="H43" s="63" t="str">
        <f t="shared" ca="1" si="0"/>
        <v>▲</v>
      </c>
      <c r="I43" s="62">
        <v>2021.66</v>
      </c>
      <c r="J43" s="62">
        <f t="shared" ca="1" si="1"/>
        <v>111.33999999999992</v>
      </c>
      <c r="K43" s="64">
        <f t="shared" ca="1" si="2"/>
        <v>5.2198781059540518E-2</v>
      </c>
      <c r="L43" s="62">
        <v>298353.2</v>
      </c>
      <c r="M43" s="62">
        <f ca="1">IFERROR(INDEX(Price_Update!$F:$F, MATCH(A43, Price_Update!$A:$A, 0)), 2133)</f>
        <v>2133</v>
      </c>
      <c r="N43" s="62">
        <f ca="1">IFERROR(INDEX(Price_Update!$I:$I, MATCH(A43, Price_Update!$A:$A, 0)), 2054)</f>
        <v>2054</v>
      </c>
      <c r="O43" s="62">
        <v>2133</v>
      </c>
      <c r="P43" s="62">
        <v>1709.22</v>
      </c>
      <c r="Q43" s="62">
        <v>1674.56</v>
      </c>
      <c r="R43" s="62">
        <v>1643.59</v>
      </c>
      <c r="S43" s="62">
        <v>1467.54</v>
      </c>
      <c r="T43" s="62">
        <f t="shared" ca="1" si="3"/>
        <v>324216</v>
      </c>
      <c r="U43" s="62">
        <f t="shared" ca="1" si="4"/>
        <v>25862.799999999988</v>
      </c>
      <c r="V43" s="64">
        <f t="shared" ca="1" si="5"/>
        <v>8.6685177165855734E-2</v>
      </c>
      <c r="W43" s="64">
        <v>10.867477166876199</v>
      </c>
      <c r="X43" s="60">
        <v>27</v>
      </c>
      <c r="Y43" s="60"/>
      <c r="Z43" s="60" t="s">
        <v>107</v>
      </c>
      <c r="AA43" s="62">
        <v>1775.6</v>
      </c>
      <c r="AB43" s="60">
        <v>2043.3</v>
      </c>
    </row>
    <row r="44" spans="1:28">
      <c r="A44" s="78" t="s">
        <v>169</v>
      </c>
      <c r="B44" s="60" t="s">
        <v>62</v>
      </c>
      <c r="C44" s="60" t="s">
        <v>86</v>
      </c>
      <c r="D44" s="60" t="s">
        <v>75</v>
      </c>
      <c r="E44" s="60" t="s">
        <v>48</v>
      </c>
      <c r="F44" s="60">
        <v>230</v>
      </c>
      <c r="G44" s="62">
        <v>864.34</v>
      </c>
      <c r="H44" s="63" t="str">
        <f t="shared" ca="1" si="0"/>
        <v>▲</v>
      </c>
      <c r="I44" s="62">
        <v>904.76</v>
      </c>
      <c r="J44" s="62">
        <f t="shared" ca="1" si="1"/>
        <v>9.6900000000000546</v>
      </c>
      <c r="K44" s="64">
        <f t="shared" ca="1" si="2"/>
        <v>1.0596533435398386E-2</v>
      </c>
      <c r="L44" s="62">
        <v>198798.2</v>
      </c>
      <c r="M44" s="62">
        <f ca="1">IFERROR(INDEX(Price_Update!$F:$F, MATCH(A44, Price_Update!$A:$A, 0)), 914.45)</f>
        <v>914.45</v>
      </c>
      <c r="N44" s="62">
        <f ca="1">IFERROR(INDEX(Price_Update!$I:$I, MATCH(A44, Price_Update!$A:$A, 0)), 901.35)</f>
        <v>901.35</v>
      </c>
      <c r="O44" s="62">
        <v>914.45</v>
      </c>
      <c r="P44" s="62">
        <v>860.74</v>
      </c>
      <c r="Q44" s="62">
        <v>852.68</v>
      </c>
      <c r="R44" s="62">
        <v>845.09</v>
      </c>
      <c r="S44" s="62">
        <v>791.88</v>
      </c>
      <c r="T44" s="62">
        <f t="shared" ca="1" si="3"/>
        <v>210323.5</v>
      </c>
      <c r="U44" s="62">
        <f t="shared" ca="1" si="4"/>
        <v>11525.299999999988</v>
      </c>
      <c r="V44" s="64">
        <f t="shared" ca="1" si="5"/>
        <v>5.7974870999837967E-2</v>
      </c>
      <c r="W44" s="64">
        <v>0.41242667481951129</v>
      </c>
      <c r="X44" s="60">
        <v>122</v>
      </c>
      <c r="Y44" s="60"/>
      <c r="Z44" s="60" t="s">
        <v>107</v>
      </c>
      <c r="AA44" s="62">
        <v>917.45</v>
      </c>
      <c r="AB44" s="60">
        <v>937.85</v>
      </c>
    </row>
    <row r="45" spans="1:28">
      <c r="A45" s="80" t="s">
        <v>105</v>
      </c>
      <c r="B45" s="60" t="s">
        <v>64</v>
      </c>
      <c r="C45" s="60" t="s">
        <v>88</v>
      </c>
      <c r="D45" s="60" t="s">
        <v>75</v>
      </c>
      <c r="E45" s="60" t="s">
        <v>50</v>
      </c>
      <c r="F45" s="60">
        <v>2505</v>
      </c>
      <c r="G45" s="62">
        <v>111.1</v>
      </c>
      <c r="H45" s="63" t="str">
        <f t="shared" ca="1" si="0"/>
        <v>▲</v>
      </c>
      <c r="I45" s="62">
        <v>129.43</v>
      </c>
      <c r="J45" s="62">
        <f t="shared" ca="1" si="1"/>
        <v>30.539999999999992</v>
      </c>
      <c r="K45" s="64">
        <f t="shared" ca="1" si="2"/>
        <v>0.19091079577420761</v>
      </c>
      <c r="L45" s="62">
        <v>278305.5</v>
      </c>
      <c r="M45" s="62">
        <f ca="1">IFERROR(INDEX(Price_Update!$F:$F, MATCH(A45, Price_Update!$A:$A, 0)), 159.97)</f>
        <v>159.97</v>
      </c>
      <c r="N45" s="62">
        <f ca="1">IFERROR(INDEX(Price_Update!$I:$I, MATCH(A45, Price_Update!$A:$A, 0)), 155.18)</f>
        <v>155.18</v>
      </c>
      <c r="O45" s="62">
        <v>159.97</v>
      </c>
      <c r="P45" s="62">
        <v>127.24</v>
      </c>
      <c r="Q45" s="62">
        <v>125.07</v>
      </c>
      <c r="R45" s="62">
        <v>123.06</v>
      </c>
      <c r="S45" s="62">
        <v>107.6</v>
      </c>
      <c r="T45" s="62">
        <f t="shared" ca="1" si="3"/>
        <v>400724.85</v>
      </c>
      <c r="U45" s="62">
        <f t="shared" ca="1" si="4"/>
        <v>122419.34999999998</v>
      </c>
      <c r="V45" s="64">
        <f t="shared" ca="1" si="5"/>
        <v>0.43987398739873979</v>
      </c>
      <c r="W45" s="64">
        <v>3.6351114082658502</v>
      </c>
      <c r="X45" s="60">
        <v>159</v>
      </c>
      <c r="Y45" s="60" t="s">
        <v>106</v>
      </c>
      <c r="Z45" s="60" t="s">
        <v>107</v>
      </c>
      <c r="AA45" s="62">
        <v>129.06</v>
      </c>
      <c r="AB45" s="60">
        <v>137.1</v>
      </c>
    </row>
    <row r="46" spans="1:28">
      <c r="A46" s="79" t="s">
        <v>217</v>
      </c>
      <c r="B46" s="60" t="s">
        <v>64</v>
      </c>
      <c r="C46" s="60" t="s">
        <v>86</v>
      </c>
      <c r="D46" s="60" t="s">
        <v>75</v>
      </c>
      <c r="E46" s="60" t="s">
        <v>46</v>
      </c>
      <c r="F46" s="60">
        <v>254</v>
      </c>
      <c r="G46" s="62">
        <v>394.55</v>
      </c>
      <c r="H46" s="63" t="str">
        <f t="shared" ca="1" si="0"/>
        <v>▲</v>
      </c>
      <c r="I46" s="62">
        <v>355.1</v>
      </c>
      <c r="J46" s="62">
        <f t="shared" ca="1" si="1"/>
        <v>36.849999999999966</v>
      </c>
      <c r="K46" s="64">
        <f t="shared" ca="1" si="2"/>
        <v>9.4017094017093933E-2</v>
      </c>
      <c r="L46" s="62">
        <v>100215.7</v>
      </c>
      <c r="M46" s="62">
        <f ca="1">IFERROR(INDEX(Price_Update!$F:$F, MATCH(A46, Price_Update!$A:$A, 0)), 391.95)</f>
        <v>391.95</v>
      </c>
      <c r="N46" s="62">
        <f ca="1">IFERROR(INDEX(Price_Update!$I:$I, MATCH(A46, Price_Update!$A:$A, 0)), 385.65)</f>
        <v>385.65</v>
      </c>
      <c r="O46" s="62">
        <v>391.95</v>
      </c>
      <c r="P46" s="62">
        <v>365.76</v>
      </c>
      <c r="Q46" s="62">
        <v>363.45</v>
      </c>
      <c r="R46" s="62">
        <v>361.48</v>
      </c>
      <c r="S46" s="62">
        <v>353.41</v>
      </c>
      <c r="T46" s="62">
        <f t="shared" ca="1" si="3"/>
        <v>99555.3</v>
      </c>
      <c r="U46" s="62">
        <f t="shared" ca="1" si="4"/>
        <v>-660.39999999999418</v>
      </c>
      <c r="V46" s="64">
        <f t="shared" ca="1" si="5"/>
        <v>-6.5897858319604033E-3</v>
      </c>
      <c r="W46" s="64">
        <v>-0.196679946862546</v>
      </c>
      <c r="X46" s="60">
        <v>13</v>
      </c>
      <c r="Y46" s="60"/>
      <c r="Z46" s="60" t="s">
        <v>107</v>
      </c>
      <c r="AA46" s="62">
        <v>386.5</v>
      </c>
      <c r="AB46" s="60">
        <v>399.55</v>
      </c>
    </row>
    <row r="47" spans="1:28">
      <c r="A47" s="77" t="s">
        <v>117</v>
      </c>
      <c r="B47" s="60" t="s">
        <v>64</v>
      </c>
      <c r="C47" s="60" t="s">
        <v>88</v>
      </c>
      <c r="D47" s="60" t="s">
        <v>75</v>
      </c>
      <c r="E47" s="60" t="s">
        <v>40</v>
      </c>
      <c r="F47" s="60">
        <v>362</v>
      </c>
      <c r="G47" s="62">
        <v>138.75</v>
      </c>
      <c r="H47" s="63" t="str">
        <f t="shared" ca="1" si="0"/>
        <v>▲</v>
      </c>
      <c r="I47" s="62">
        <v>124.88</v>
      </c>
      <c r="J47" s="62">
        <f t="shared" ca="1" si="1"/>
        <v>32.950000000000017</v>
      </c>
      <c r="K47" s="64">
        <f t="shared" ca="1" si="2"/>
        <v>0.20876892859405699</v>
      </c>
      <c r="L47" s="62">
        <v>50227.5</v>
      </c>
      <c r="M47" s="62">
        <f ca="1">IFERROR(INDEX(Price_Update!$F:$F, MATCH(A47, Price_Update!$A:$A, 0)), 157.83)</f>
        <v>157.83000000000001</v>
      </c>
      <c r="N47" s="62">
        <f ca="1">IFERROR(INDEX(Price_Update!$I:$I, MATCH(A47, Price_Update!$A:$A, 0)), 155.34)</f>
        <v>155.34</v>
      </c>
      <c r="O47" s="62">
        <v>157.83000000000001</v>
      </c>
      <c r="P47" s="62">
        <v>155.44999999999999</v>
      </c>
      <c r="Q47" s="62">
        <v>154.77000000000001</v>
      </c>
      <c r="R47" s="62">
        <v>154.06</v>
      </c>
      <c r="S47" s="62">
        <v>146.97999999999999</v>
      </c>
      <c r="T47" s="62">
        <f t="shared" ca="1" si="3"/>
        <v>57134.460000000006</v>
      </c>
      <c r="U47" s="62">
        <f t="shared" ca="1" si="4"/>
        <v>6906.9600000000064</v>
      </c>
      <c r="V47" s="64">
        <f t="shared" ca="1" si="5"/>
        <v>0.13751351351351365</v>
      </c>
      <c r="W47" s="64">
        <v>0.35176884368847561</v>
      </c>
      <c r="X47" s="60">
        <v>163</v>
      </c>
      <c r="Y47" s="60"/>
      <c r="Z47" s="60" t="s">
        <v>107</v>
      </c>
      <c r="AA47" s="62">
        <v>154.88999999999999</v>
      </c>
      <c r="AB47" s="60">
        <v>155.86000000000001</v>
      </c>
    </row>
    <row r="48" spans="1:28">
      <c r="A48" s="77" t="s">
        <v>187</v>
      </c>
      <c r="B48" s="60" t="s">
        <v>62</v>
      </c>
      <c r="C48" s="60" t="s">
        <v>86</v>
      </c>
      <c r="D48" s="60" t="s">
        <v>75</v>
      </c>
      <c r="E48" s="60" t="s">
        <v>52</v>
      </c>
      <c r="F48" s="60">
        <v>340</v>
      </c>
      <c r="G48" s="62">
        <v>902.46</v>
      </c>
      <c r="H48" s="63" t="str">
        <f t="shared" ca="1" si="0"/>
        <v>▼</v>
      </c>
      <c r="I48" s="62">
        <v>993.46</v>
      </c>
      <c r="J48" s="62">
        <f t="shared" ca="1" si="1"/>
        <v>28.139999999999986</v>
      </c>
      <c r="K48" s="64">
        <f t="shared" ca="1" si="2"/>
        <v>2.7545027407987456E-2</v>
      </c>
      <c r="L48" s="62">
        <v>306836.40000000002</v>
      </c>
      <c r="M48" s="62">
        <f ca="1">IFERROR(INDEX(Price_Update!$F:$F, MATCH(A48, Price_Update!$A:$A, 0)), 1021.6)</f>
        <v>1021.6</v>
      </c>
      <c r="N48" s="62">
        <f ca="1">IFERROR(INDEX(Price_Update!$I:$I, MATCH(A48, Price_Update!$A:$A, 0)), 1024.3)</f>
        <v>1024.3</v>
      </c>
      <c r="O48" s="62">
        <v>1021.6</v>
      </c>
      <c r="P48" s="62">
        <v>1050.02</v>
      </c>
      <c r="Q48" s="62">
        <v>1045.21</v>
      </c>
      <c r="R48" s="62">
        <v>1040.31</v>
      </c>
      <c r="S48" s="62">
        <v>993.46</v>
      </c>
      <c r="T48" s="62">
        <f t="shared" ca="1" si="3"/>
        <v>347344</v>
      </c>
      <c r="U48" s="62">
        <f t="shared" ca="1" si="4"/>
        <v>40507.599999999977</v>
      </c>
      <c r="V48" s="64">
        <f t="shared" ca="1" si="5"/>
        <v>0.13201693149834887</v>
      </c>
      <c r="W48" s="64">
        <v>0.3463936343385513</v>
      </c>
      <c r="X48" s="60">
        <v>251</v>
      </c>
      <c r="Y48" s="60"/>
      <c r="Z48" s="60" t="s">
        <v>107</v>
      </c>
      <c r="AA48" s="62">
        <v>1126.7</v>
      </c>
      <c r="AB48" s="60">
        <v>1092.5999999999999</v>
      </c>
    </row>
    <row r="49" spans="1:28">
      <c r="A49" s="79" t="s">
        <v>254</v>
      </c>
      <c r="B49" s="60" t="s">
        <v>64</v>
      </c>
      <c r="C49" s="60" t="s">
        <v>87</v>
      </c>
      <c r="D49" s="60" t="s">
        <v>75</v>
      </c>
      <c r="E49" s="60" t="s">
        <v>46</v>
      </c>
      <c r="F49" s="60">
        <v>144</v>
      </c>
      <c r="G49" s="62">
        <v>695.06</v>
      </c>
      <c r="H49" s="63" t="str">
        <f t="shared" ca="1" si="0"/>
        <v>▲</v>
      </c>
      <c r="I49" s="62">
        <v>625.54999999999995</v>
      </c>
      <c r="J49" s="62">
        <f t="shared" ca="1" si="1"/>
        <v>54.950000000000045</v>
      </c>
      <c r="K49" s="64">
        <f t="shared" ca="1" si="2"/>
        <v>8.0749448934606977E-2</v>
      </c>
      <c r="L49" s="62">
        <v>100088.64</v>
      </c>
      <c r="M49" s="62">
        <f ca="1">IFERROR(INDEX(Price_Update!$F:$F, MATCH(A49, Price_Update!$A:$A, 0)), 680.5)</f>
        <v>680.5</v>
      </c>
      <c r="N49" s="62">
        <f ca="1">IFERROR(INDEX(Price_Update!$I:$I, MATCH(A49, Price_Update!$A:$A, 0)), 680.05)</f>
        <v>680.05</v>
      </c>
      <c r="O49" s="62">
        <v>680.5</v>
      </c>
      <c r="P49" s="62">
        <v>607.38</v>
      </c>
      <c r="Q49" s="62">
        <v>600.36</v>
      </c>
      <c r="R49" s="62">
        <v>593.88</v>
      </c>
      <c r="S49" s="62">
        <v>550.63</v>
      </c>
      <c r="T49" s="62">
        <f t="shared" ca="1" si="3"/>
        <v>97992</v>
      </c>
      <c r="U49" s="62">
        <f t="shared" ca="1" si="4"/>
        <v>-2096.6399999999994</v>
      </c>
      <c r="V49" s="64">
        <f t="shared" ca="1" si="5"/>
        <v>-2.0947831841855374E-2</v>
      </c>
      <c r="W49" s="64">
        <v>-0.82043367325763505</v>
      </c>
      <c r="X49" s="60">
        <v>6</v>
      </c>
      <c r="Y49" s="60"/>
      <c r="Z49" s="60" t="s">
        <v>107</v>
      </c>
      <c r="AA49" s="62">
        <v>606.45000000000005</v>
      </c>
      <c r="AB49" s="60">
        <v>685.05</v>
      </c>
    </row>
    <row r="50" spans="1:28">
      <c r="A50" s="78" t="s">
        <v>150</v>
      </c>
      <c r="B50" s="60" t="s">
        <v>63</v>
      </c>
      <c r="C50" s="60" t="s">
        <v>87</v>
      </c>
      <c r="D50" s="60" t="s">
        <v>75</v>
      </c>
      <c r="E50" s="60" t="s">
        <v>48</v>
      </c>
      <c r="F50" s="60">
        <v>143</v>
      </c>
      <c r="G50" s="62">
        <v>1396.78</v>
      </c>
      <c r="H50" s="63" t="str">
        <f t="shared" ca="1" si="0"/>
        <v>▲</v>
      </c>
      <c r="I50" s="62">
        <v>1374.09</v>
      </c>
      <c r="J50" s="62">
        <f t="shared" ca="1" si="1"/>
        <v>20.210000000000036</v>
      </c>
      <c r="K50" s="64">
        <f t="shared" ca="1" si="2"/>
        <v>1.449472853761747E-2</v>
      </c>
      <c r="L50" s="62">
        <v>199739.54</v>
      </c>
      <c r="M50" s="62">
        <f ca="1">IFERROR(INDEX(Price_Update!$F:$F, MATCH(A50, Price_Update!$A:$A, 0)), 1394.3)</f>
        <v>1394.3</v>
      </c>
      <c r="N50" s="62">
        <f ca="1">IFERROR(INDEX(Price_Update!$I:$I, MATCH(A50, Price_Update!$A:$A, 0)), 1390.8)</f>
        <v>1390.8</v>
      </c>
      <c r="O50" s="62">
        <v>1394.3</v>
      </c>
      <c r="P50" s="62">
        <v>1292.3499999999999</v>
      </c>
      <c r="Q50" s="62">
        <v>1278.67</v>
      </c>
      <c r="R50" s="62">
        <v>1266.02</v>
      </c>
      <c r="S50" s="62">
        <v>1175.55</v>
      </c>
      <c r="T50" s="62">
        <f t="shared" ca="1" si="3"/>
        <v>199384.9</v>
      </c>
      <c r="U50" s="62">
        <f t="shared" ca="1" si="4"/>
        <v>-354.64000000001397</v>
      </c>
      <c r="V50" s="64">
        <f t="shared" ca="1" si="5"/>
        <v>-1.7755122496027275E-3</v>
      </c>
      <c r="W50" s="64">
        <v>-3.9584846671258313E-2</v>
      </c>
      <c r="X50" s="60">
        <v>30</v>
      </c>
      <c r="Y50" s="60"/>
      <c r="Z50" s="60" t="s">
        <v>107</v>
      </c>
      <c r="AA50" s="62">
        <v>1362</v>
      </c>
      <c r="AB50" s="60">
        <v>1446.8</v>
      </c>
    </row>
    <row r="51" spans="1:28">
      <c r="A51" s="78" t="s">
        <v>226</v>
      </c>
      <c r="B51" s="60" t="s">
        <v>64</v>
      </c>
      <c r="C51" s="60" t="s">
        <v>89</v>
      </c>
      <c r="D51" s="60" t="s">
        <v>75</v>
      </c>
      <c r="E51" s="60" t="s">
        <v>34</v>
      </c>
      <c r="F51" s="60">
        <v>11</v>
      </c>
      <c r="G51" s="62">
        <v>4599.12</v>
      </c>
      <c r="H51" s="63" t="str">
        <f t="shared" ca="1" si="0"/>
        <v>▲</v>
      </c>
      <c r="I51" s="62">
        <v>4139.21</v>
      </c>
      <c r="J51" s="62">
        <f t="shared" ca="1" si="1"/>
        <v>448.1899999999996</v>
      </c>
      <c r="K51" s="64">
        <f t="shared" ca="1" si="2"/>
        <v>9.7700222348170995E-2</v>
      </c>
      <c r="L51" s="62">
        <v>50590.32</v>
      </c>
      <c r="M51" s="62">
        <f ca="1">IFERROR(INDEX(Price_Update!$F:$F, MATCH(A51, Price_Update!$A:$A, 0)), 4587.4)</f>
        <v>4587.3999999999996</v>
      </c>
      <c r="N51" s="62">
        <f ca="1">IFERROR(INDEX(Price_Update!$I:$I, MATCH(A51, Price_Update!$A:$A, 0)), 4191.4)</f>
        <v>4191.3999999999996</v>
      </c>
      <c r="O51" s="62">
        <v>4587.3999999999996</v>
      </c>
      <c r="P51" s="62">
        <v>4201.84</v>
      </c>
      <c r="Q51" s="62">
        <v>4157.91</v>
      </c>
      <c r="R51" s="62">
        <v>4117.29</v>
      </c>
      <c r="S51" s="62">
        <v>3827.5</v>
      </c>
      <c r="T51" s="62">
        <f t="shared" ca="1" si="3"/>
        <v>50461.399999999994</v>
      </c>
      <c r="U51" s="62">
        <f t="shared" ca="1" si="4"/>
        <v>-128.92000000000553</v>
      </c>
      <c r="V51" s="64">
        <f t="shared" ca="1" si="5"/>
        <v>-2.5483135904261038E-3</v>
      </c>
      <c r="W51" s="64">
        <v>-6.9124507595548376E-2</v>
      </c>
      <c r="X51" s="60">
        <v>13</v>
      </c>
      <c r="Y51" s="60"/>
      <c r="Z51" s="60" t="s">
        <v>107</v>
      </c>
      <c r="AA51" s="62">
        <v>4670.7</v>
      </c>
      <c r="AB51" s="60">
        <v>4666</v>
      </c>
    </row>
    <row r="52" spans="1:28">
      <c r="A52" s="80" t="s">
        <v>236</v>
      </c>
      <c r="B52" s="60" t="s">
        <v>64</v>
      </c>
      <c r="C52" s="60" t="s">
        <v>86</v>
      </c>
      <c r="D52" s="60" t="s">
        <v>75</v>
      </c>
      <c r="E52" s="60" t="s">
        <v>46</v>
      </c>
      <c r="F52" s="60">
        <v>249</v>
      </c>
      <c r="G52" s="62">
        <v>403.77</v>
      </c>
      <c r="H52" s="63" t="str">
        <f t="shared" ca="1" si="0"/>
        <v>▼</v>
      </c>
      <c r="I52" s="62">
        <v>363.39</v>
      </c>
      <c r="J52" s="62">
        <f t="shared" ca="1" si="1"/>
        <v>62.460000000000036</v>
      </c>
      <c r="K52" s="64">
        <f t="shared" ca="1" si="2"/>
        <v>0.14667136315604093</v>
      </c>
      <c r="L52" s="62">
        <v>100538.73</v>
      </c>
      <c r="M52" s="62">
        <f ca="1">IFERROR(INDEX(Price_Update!$F:$F, MATCH(A52, Price_Update!$A:$A, 0)), 425.85)</f>
        <v>425.85</v>
      </c>
      <c r="N52" s="62">
        <f ca="1">IFERROR(INDEX(Price_Update!$I:$I, MATCH(A52, Price_Update!$A:$A, 0)), 435.7)</f>
        <v>435.7</v>
      </c>
      <c r="O52" s="62">
        <v>425.85</v>
      </c>
      <c r="P52" s="62">
        <v>351.55</v>
      </c>
      <c r="Q52" s="62">
        <v>346.17</v>
      </c>
      <c r="R52" s="62">
        <v>341.35</v>
      </c>
      <c r="S52" s="62">
        <v>312.27999999999997</v>
      </c>
      <c r="T52" s="62">
        <f t="shared" ca="1" si="3"/>
        <v>106036.65000000001</v>
      </c>
      <c r="U52" s="62">
        <f t="shared" ca="1" si="4"/>
        <v>5497.9200000000128</v>
      </c>
      <c r="V52" s="64">
        <f t="shared" ca="1" si="5"/>
        <v>5.4684597666988764E-2</v>
      </c>
      <c r="W52" s="64">
        <v>3.0617382317445192</v>
      </c>
      <c r="X52" s="60">
        <v>23</v>
      </c>
      <c r="Y52" s="60"/>
      <c r="Z52" s="60" t="s">
        <v>107</v>
      </c>
      <c r="AA52" s="62">
        <v>370</v>
      </c>
      <c r="AB52" s="60">
        <v>385.65</v>
      </c>
    </row>
    <row r="53" spans="1:28">
      <c r="A53" s="77" t="s">
        <v>119</v>
      </c>
      <c r="B53" s="60" t="s">
        <v>64</v>
      </c>
      <c r="C53" s="60" t="s">
        <v>86</v>
      </c>
      <c r="D53" s="60" t="s">
        <v>75</v>
      </c>
      <c r="E53" s="60" t="s">
        <v>43</v>
      </c>
      <c r="F53" s="60">
        <v>42</v>
      </c>
      <c r="G53" s="62">
        <v>1353.87</v>
      </c>
      <c r="H53" s="63" t="str">
        <f t="shared" ca="1" si="0"/>
        <v>▼</v>
      </c>
      <c r="I53" s="62">
        <v>1218.48</v>
      </c>
      <c r="J53" s="62">
        <f t="shared" ca="1" si="1"/>
        <v>365.02</v>
      </c>
      <c r="K53" s="64">
        <f t="shared" ca="1" si="2"/>
        <v>0.23051468266498262</v>
      </c>
      <c r="L53" s="62">
        <v>56862.54</v>
      </c>
      <c r="M53" s="62">
        <f ca="1">IFERROR(INDEX(Price_Update!$F:$F, MATCH(A53, Price_Update!$A:$A, 0)), 1583.5)</f>
        <v>1583.5</v>
      </c>
      <c r="N53" s="62">
        <f ca="1">IFERROR(INDEX(Price_Update!$I:$I, MATCH(A53, Price_Update!$A:$A, 0)), 1588.5)</f>
        <v>1588.5</v>
      </c>
      <c r="O53" s="62">
        <v>1583.5</v>
      </c>
      <c r="P53" s="62">
        <v>1549.65</v>
      </c>
      <c r="Q53" s="62">
        <v>1540.75</v>
      </c>
      <c r="R53" s="62">
        <v>1531.42</v>
      </c>
      <c r="S53" s="62">
        <v>1432.66</v>
      </c>
      <c r="T53" s="62">
        <f t="shared" ca="1" si="3"/>
        <v>66507</v>
      </c>
      <c r="U53" s="62">
        <f t="shared" ca="1" si="4"/>
        <v>9644.4599999999991</v>
      </c>
      <c r="V53" s="64">
        <f t="shared" ca="1" si="5"/>
        <v>0.16961008073153255</v>
      </c>
      <c r="W53" s="64">
        <v>0.62497597462021703</v>
      </c>
      <c r="X53" s="60">
        <v>135</v>
      </c>
      <c r="Y53" s="60"/>
      <c r="Z53" s="60" t="s">
        <v>107</v>
      </c>
      <c r="AA53" s="62">
        <v>1614.6</v>
      </c>
      <c r="AB53" s="60">
        <v>1586.1</v>
      </c>
    </row>
    <row r="54" spans="1:28">
      <c r="A54" s="79" t="s">
        <v>121</v>
      </c>
      <c r="B54" s="60" t="s">
        <v>64</v>
      </c>
      <c r="C54" s="60" t="s">
        <v>88</v>
      </c>
      <c r="D54" s="60" t="s">
        <v>75</v>
      </c>
      <c r="E54" s="60" t="s">
        <v>40</v>
      </c>
      <c r="F54" s="60">
        <v>111</v>
      </c>
      <c r="G54" s="62">
        <v>681.54</v>
      </c>
      <c r="H54" s="63" t="str">
        <f t="shared" ca="1" si="0"/>
        <v>▲</v>
      </c>
      <c r="I54" s="62">
        <v>613.39</v>
      </c>
      <c r="J54" s="62">
        <f t="shared" ca="1" si="1"/>
        <v>90.159999999999968</v>
      </c>
      <c r="K54" s="64">
        <f t="shared" ca="1" si="2"/>
        <v>0.12815009594200835</v>
      </c>
      <c r="L54" s="62">
        <v>75650.94</v>
      </c>
      <c r="M54" s="62">
        <f ca="1">IFERROR(INDEX(Price_Update!$F:$F, MATCH(A54, Price_Update!$A:$A, 0)), 703.55)</f>
        <v>703.55</v>
      </c>
      <c r="N54" s="62">
        <f ca="1">IFERROR(INDEX(Price_Update!$I:$I, MATCH(A54, Price_Update!$A:$A, 0)), 680.35)</f>
        <v>680.35</v>
      </c>
      <c r="O54" s="62">
        <v>703.55</v>
      </c>
      <c r="P54" s="62">
        <v>611.65</v>
      </c>
      <c r="Q54" s="62">
        <v>606.78</v>
      </c>
      <c r="R54" s="62">
        <v>602.67999999999995</v>
      </c>
      <c r="S54" s="62">
        <v>587.28</v>
      </c>
      <c r="T54" s="62">
        <f t="shared" ca="1" si="3"/>
        <v>78094.049999999988</v>
      </c>
      <c r="U54" s="62">
        <f t="shared" ca="1" si="4"/>
        <v>2443.109999999986</v>
      </c>
      <c r="V54" s="64">
        <f t="shared" ca="1" si="5"/>
        <v>3.2294509493206378E-2</v>
      </c>
      <c r="W54" s="64">
        <v>2.495667181119348</v>
      </c>
      <c r="X54" s="60">
        <v>23</v>
      </c>
      <c r="Y54" s="60"/>
      <c r="Z54" s="60" t="s">
        <v>107</v>
      </c>
      <c r="AA54" s="62">
        <v>605</v>
      </c>
      <c r="AB54" s="60">
        <v>642.75</v>
      </c>
    </row>
    <row r="55" spans="1:28">
      <c r="A55" s="79" t="s">
        <v>228</v>
      </c>
      <c r="B55" s="60" t="s">
        <v>64</v>
      </c>
      <c r="C55" s="60" t="s">
        <v>86</v>
      </c>
      <c r="D55" s="60" t="s">
        <v>75</v>
      </c>
      <c r="E55" s="60" t="s">
        <v>34</v>
      </c>
      <c r="F55" s="60">
        <v>92</v>
      </c>
      <c r="G55" s="62">
        <v>547</v>
      </c>
      <c r="H55" s="63" t="str">
        <f t="shared" ca="1" si="0"/>
        <v>▲</v>
      </c>
      <c r="I55" s="62">
        <v>492.3</v>
      </c>
      <c r="J55" s="62">
        <f t="shared" ca="1" si="1"/>
        <v>52.349999999999966</v>
      </c>
      <c r="K55" s="64">
        <f t="shared" ca="1" si="2"/>
        <v>9.6116772239052545E-2</v>
      </c>
      <c r="L55" s="62">
        <v>50324</v>
      </c>
      <c r="M55" s="62">
        <f ca="1">IFERROR(INDEX(Price_Update!$F:$F, MATCH(A55, Price_Update!$A:$A, 0)), 544.65)</f>
        <v>544.65</v>
      </c>
      <c r="N55" s="62">
        <f ca="1">IFERROR(INDEX(Price_Update!$I:$I, MATCH(A55, Price_Update!$A:$A, 0)), 520.8)</f>
        <v>520.79999999999995</v>
      </c>
      <c r="O55" s="62">
        <v>544.65</v>
      </c>
      <c r="P55" s="62">
        <v>491.47</v>
      </c>
      <c r="Q55" s="62">
        <v>485.71</v>
      </c>
      <c r="R55" s="62">
        <v>480.57</v>
      </c>
      <c r="S55" s="62">
        <v>454.16</v>
      </c>
      <c r="T55" s="62">
        <f t="shared" ca="1" si="3"/>
        <v>50107.799999999996</v>
      </c>
      <c r="U55" s="62">
        <f t="shared" ca="1" si="4"/>
        <v>-216.20000000000437</v>
      </c>
      <c r="V55" s="64">
        <f t="shared" ca="1" si="5"/>
        <v>-4.296160877513798E-3</v>
      </c>
      <c r="W55" s="64">
        <v>-0.113862218484918</v>
      </c>
      <c r="X55" s="60">
        <v>13</v>
      </c>
      <c r="Y55" s="60"/>
      <c r="Z55" s="60" t="s">
        <v>107</v>
      </c>
      <c r="AA55" s="62">
        <v>549.35</v>
      </c>
      <c r="AB55" s="60">
        <v>556.6</v>
      </c>
    </row>
    <row r="56" spans="1:28">
      <c r="A56" s="79" t="s">
        <v>178</v>
      </c>
      <c r="B56" s="60" t="s">
        <v>64</v>
      </c>
      <c r="C56" s="60" t="s">
        <v>89</v>
      </c>
      <c r="D56" s="60" t="s">
        <v>75</v>
      </c>
      <c r="E56" s="60" t="s">
        <v>48</v>
      </c>
      <c r="F56" s="60">
        <v>210</v>
      </c>
      <c r="G56" s="62">
        <v>714.63</v>
      </c>
      <c r="H56" s="63" t="str">
        <f t="shared" ca="1" si="0"/>
        <v>▲</v>
      </c>
      <c r="I56" s="62">
        <v>702.15</v>
      </c>
      <c r="J56" s="62">
        <f t="shared" ca="1" si="1"/>
        <v>58.850000000000023</v>
      </c>
      <c r="K56" s="64">
        <f t="shared" ca="1" si="2"/>
        <v>7.7332457293035506E-2</v>
      </c>
      <c r="L56" s="62">
        <v>150072.29999999999</v>
      </c>
      <c r="M56" s="62">
        <f ca="1">IFERROR(INDEX(Price_Update!$F:$F, MATCH(A56, Price_Update!$A:$A, 0)), 761)</f>
        <v>761</v>
      </c>
      <c r="N56" s="62">
        <f ca="1">IFERROR(INDEX(Price_Update!$I:$I, MATCH(A56, Price_Update!$A:$A, 0)), 731.45)</f>
        <v>731.45</v>
      </c>
      <c r="O56" s="62">
        <v>761</v>
      </c>
      <c r="P56" s="62">
        <v>677.36</v>
      </c>
      <c r="Q56" s="62">
        <v>671.19</v>
      </c>
      <c r="R56" s="62">
        <v>665.98</v>
      </c>
      <c r="S56" s="62">
        <v>644.1</v>
      </c>
      <c r="T56" s="62">
        <f t="shared" ca="1" si="3"/>
        <v>159810</v>
      </c>
      <c r="U56" s="62">
        <f t="shared" ca="1" si="4"/>
        <v>9737.7000000000116</v>
      </c>
      <c r="V56" s="64">
        <f t="shared" ca="1" si="5"/>
        <v>6.4886724598743492E-2</v>
      </c>
      <c r="W56" s="64">
        <v>2.8219273888430498</v>
      </c>
      <c r="X56" s="60">
        <v>26</v>
      </c>
      <c r="Y56" s="60"/>
      <c r="Z56" s="60" t="s">
        <v>107</v>
      </c>
      <c r="AA56" s="62">
        <v>705.3</v>
      </c>
      <c r="AB56" s="60">
        <v>771.2</v>
      </c>
    </row>
    <row r="57" spans="1:28">
      <c r="A57" s="79" t="s">
        <v>207</v>
      </c>
      <c r="B57" s="60" t="s">
        <v>63</v>
      </c>
      <c r="C57" s="60" t="s">
        <v>86</v>
      </c>
      <c r="D57" s="60" t="s">
        <v>75</v>
      </c>
      <c r="E57" s="60" t="s">
        <v>40</v>
      </c>
      <c r="F57" s="60">
        <v>11</v>
      </c>
      <c r="G57" s="62">
        <v>4962.78</v>
      </c>
      <c r="H57" s="63" t="str">
        <f t="shared" ca="1" si="0"/>
        <v>▲</v>
      </c>
      <c r="I57" s="62">
        <v>4466.5</v>
      </c>
      <c r="J57" s="62">
        <f t="shared" ca="1" si="1"/>
        <v>259.80000000000018</v>
      </c>
      <c r="K57" s="64">
        <f t="shared" ca="1" si="2"/>
        <v>5.4969003237204613E-2</v>
      </c>
      <c r="L57" s="62">
        <v>54590.58</v>
      </c>
      <c r="M57" s="62">
        <f ca="1">IFERROR(INDEX(Price_Update!$F:$F, MATCH(A57, Price_Update!$A:$A, 0)), 4726.3)</f>
        <v>4726.3</v>
      </c>
      <c r="N57" s="62">
        <f ca="1">IFERROR(INDEX(Price_Update!$I:$I, MATCH(A57, Price_Update!$A:$A, 0)), 4571.3)</f>
        <v>4571.3</v>
      </c>
      <c r="O57" s="62">
        <v>4726.3</v>
      </c>
      <c r="P57" s="62">
        <v>4445.09</v>
      </c>
      <c r="Q57" s="62">
        <v>4390.9799999999996</v>
      </c>
      <c r="R57" s="62">
        <v>4339.2299999999996</v>
      </c>
      <c r="S57" s="62">
        <v>3964.46</v>
      </c>
      <c r="T57" s="62">
        <f t="shared" ca="1" si="3"/>
        <v>51989.3</v>
      </c>
      <c r="U57" s="62">
        <f t="shared" ca="1" si="4"/>
        <v>-2601.2799999999988</v>
      </c>
      <c r="V57" s="64">
        <f t="shared" ca="1" si="5"/>
        <v>-4.7650711899378952E-2</v>
      </c>
      <c r="W57" s="64">
        <v>-0.69102080955449596</v>
      </c>
      <c r="X57" s="60">
        <v>16</v>
      </c>
      <c r="Y57" s="60"/>
      <c r="Z57" s="60" t="s">
        <v>107</v>
      </c>
      <c r="AA57" s="62">
        <v>4982.7</v>
      </c>
      <c r="AB57" s="60">
        <v>4832.1000000000004</v>
      </c>
    </row>
    <row r="58" spans="1:28">
      <c r="A58" s="79" t="s">
        <v>741</v>
      </c>
      <c r="B58" s="60" t="s">
        <v>64</v>
      </c>
      <c r="C58" s="60" t="s">
        <v>86</v>
      </c>
      <c r="D58" s="60" t="s">
        <v>75</v>
      </c>
      <c r="E58" s="60" t="s">
        <v>34</v>
      </c>
      <c r="F58" s="60">
        <v>14</v>
      </c>
      <c r="G58" s="62">
        <v>1817.62</v>
      </c>
      <c r="H58" s="63" t="str">
        <f t="shared" ca="1" si="0"/>
        <v>▲</v>
      </c>
      <c r="I58" s="62">
        <v>1635.86</v>
      </c>
      <c r="J58" s="62">
        <f t="shared" ca="1" si="1"/>
        <v>157.94000000000005</v>
      </c>
      <c r="K58" s="64">
        <f t="shared" ca="1" si="2"/>
        <v>8.8047719924183337E-2</v>
      </c>
      <c r="L58" s="62">
        <v>25446.68</v>
      </c>
      <c r="M58" s="62">
        <f ca="1">IFERROR(INDEX(Price_Update!$F:$F, MATCH(A58, Price_Update!$A:$A, 0)), 1793.8)</f>
        <v>1793.8</v>
      </c>
      <c r="N58" s="62">
        <f ca="1">IFERROR(INDEX(Price_Update!$I:$I, MATCH(A58, Price_Update!$A:$A, 0)), 1715.1)</f>
        <v>1715.1</v>
      </c>
      <c r="O58" s="62">
        <v>1793.8</v>
      </c>
      <c r="P58" s="62">
        <v>1659.73</v>
      </c>
      <c r="Q58" s="62">
        <v>1647.38</v>
      </c>
      <c r="R58" s="62">
        <v>1635.89</v>
      </c>
      <c r="S58" s="62">
        <v>1561.24</v>
      </c>
      <c r="T58" s="62">
        <f t="shared" ca="1" si="3"/>
        <v>25113.200000000001</v>
      </c>
      <c r="U58" s="62">
        <f t="shared" ca="1" si="4"/>
        <v>-333.47999999999956</v>
      </c>
      <c r="V58" s="64">
        <f t="shared" ca="1" si="5"/>
        <v>-1.310504946028321E-2</v>
      </c>
      <c r="W58" s="64">
        <v>-0.41434694275869172</v>
      </c>
      <c r="X58" s="60">
        <v>9</v>
      </c>
      <c r="Y58" s="60"/>
      <c r="Z58" s="60" t="s">
        <v>107</v>
      </c>
      <c r="AA58" s="62">
        <v>1664.7</v>
      </c>
      <c r="AB58" s="60">
        <v>1815.3</v>
      </c>
    </row>
    <row r="59" spans="1:28">
      <c r="A59" s="79" t="s">
        <v>648</v>
      </c>
      <c r="B59" s="60" t="s">
        <v>62</v>
      </c>
      <c r="C59" s="60" t="s">
        <v>87</v>
      </c>
      <c r="D59" s="60" t="s">
        <v>75</v>
      </c>
      <c r="E59" s="60" t="s">
        <v>34</v>
      </c>
      <c r="F59" s="60">
        <v>46</v>
      </c>
      <c r="G59" s="62">
        <v>1092.4000000000001</v>
      </c>
      <c r="H59" s="63" t="str">
        <f t="shared" ca="1" si="0"/>
        <v>▼</v>
      </c>
      <c r="I59" s="62">
        <v>983.16</v>
      </c>
      <c r="J59" s="62">
        <f t="shared" ca="1" si="1"/>
        <v>121.54000000000008</v>
      </c>
      <c r="K59" s="64">
        <f t="shared" ca="1" si="2"/>
        <v>0.11002082013216265</v>
      </c>
      <c r="L59" s="62">
        <v>50250.400000000001</v>
      </c>
      <c r="M59" s="62">
        <f ca="1">IFERROR(INDEX(Price_Update!$F:$F, MATCH(A59, Price_Update!$A:$A, 0)), 1104.7)</f>
        <v>1104.7</v>
      </c>
      <c r="N59" s="62">
        <f ca="1">IFERROR(INDEX(Price_Update!$I:$I, MATCH(A59, Price_Update!$A:$A, 0)), 1105.9)</f>
        <v>1105.9000000000001</v>
      </c>
      <c r="O59" s="62">
        <v>1104.7</v>
      </c>
      <c r="P59" s="62">
        <v>1021.95</v>
      </c>
      <c r="Q59" s="62">
        <v>1014.85</v>
      </c>
      <c r="R59" s="62">
        <v>1008.55</v>
      </c>
      <c r="S59" s="62">
        <v>973.32</v>
      </c>
      <c r="T59" s="62">
        <f t="shared" ca="1" si="3"/>
        <v>50816.200000000004</v>
      </c>
      <c r="U59" s="62">
        <f t="shared" ca="1" si="4"/>
        <v>565.80000000000291</v>
      </c>
      <c r="V59" s="64">
        <f t="shared" ca="1" si="5"/>
        <v>1.1259611863786217E-2</v>
      </c>
      <c r="W59" s="64">
        <v>0.36939457208366722</v>
      </c>
      <c r="X59" s="60">
        <v>13</v>
      </c>
      <c r="Y59" s="60"/>
      <c r="Z59" s="60" t="s">
        <v>107</v>
      </c>
      <c r="AA59" s="62">
        <v>1077.7</v>
      </c>
      <c r="AB59" s="60">
        <v>1089</v>
      </c>
    </row>
  </sheetData>
  <conditionalFormatting sqref="H2:H59">
    <cfRule type="cellIs" dxfId="17" priority="7" operator="equal">
      <formula>"▲"</formula>
    </cfRule>
    <cfRule type="cellIs" dxfId="16" priority="8" operator="equal">
      <formula>"▼"</formula>
    </cfRule>
  </conditionalFormatting>
  <conditionalFormatting sqref="N2:N59">
    <cfRule type="expression" dxfId="15" priority="1">
      <formula>$M2&gt;$N2</formula>
    </cfRule>
    <cfRule type="expression" dxfId="14" priority="2">
      <formula>$M2&lt;=$N2</formula>
    </cfRule>
  </conditionalFormatting>
  <conditionalFormatting sqref="O2:O59">
    <cfRule type="expression" dxfId="13" priority="3">
      <formula>$M2&gt;$O2</formula>
    </cfRule>
    <cfRule type="expression" dxfId="12" priority="4">
      <formula>$M2&lt;=$O2</formula>
    </cfRule>
  </conditionalFormatting>
  <conditionalFormatting sqref="AA2:AA59">
    <cfRule type="expression" dxfId="11" priority="5">
      <formula>$M2&gt;$AA2</formula>
    </cfRule>
    <cfRule type="expression" dxfId="10" priority="6">
      <formula>$M2&lt;=$AA2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2" activePane="bottomRight" state="frozen"/>
      <selection pane="topRight"/>
      <selection pane="bottomLeft"/>
      <selection pane="bottomRight" activeCell="C150" sqref="C150"/>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ustomHeight="1">
      <c r="A1" s="86" t="s">
        <v>810</v>
      </c>
      <c r="B1" s="86" t="s">
        <v>811</v>
      </c>
      <c r="C1" s="86" t="s">
        <v>812</v>
      </c>
      <c r="D1" s="86" t="s">
        <v>82</v>
      </c>
      <c r="E1" s="86" t="s">
        <v>813</v>
      </c>
      <c r="F1" s="86" t="s">
        <v>814</v>
      </c>
      <c r="G1" s="86" t="s">
        <v>815</v>
      </c>
      <c r="H1" s="86"/>
      <c r="I1" s="87"/>
      <c r="J1" s="72"/>
      <c r="K1" s="88"/>
      <c r="L1" s="88" t="s">
        <v>816</v>
      </c>
      <c r="P1">
        <v>3000000</v>
      </c>
    </row>
    <row r="2" spans="1:17">
      <c r="A2" s="37">
        <v>46143</v>
      </c>
      <c r="B2" s="38" t="s">
        <v>655</v>
      </c>
      <c r="C2" s="21" t="e" vm="1">
        <v>#VALUE!</v>
      </c>
      <c r="D2" s="21" t="str">
        <f t="array" aca="1" ref="D2" ca="1">_FV(C2,"Industry")</f>
        <v>Homebuilding &amp; Construction Supplies</v>
      </c>
      <c r="E2" s="21" t="s">
        <v>88</v>
      </c>
      <c r="F2" s="21" t="s">
        <v>817</v>
      </c>
      <c r="G2" s="21" t="s">
        <v>818</v>
      </c>
      <c r="H2" s="21"/>
      <c r="I2" s="43">
        <f t="array" aca="1" ref="I2" ca="1">_FV(C2,"Price")</f>
        <v>1178.9000000000001</v>
      </c>
      <c r="J2" s="46">
        <f t="shared" ref="J2:J32" si="0">$O$4/31</f>
        <v>29032.258064516129</v>
      </c>
      <c r="K2" s="44">
        <f t="shared" ref="K2:K32" ca="1" si="1">J2/I2</f>
        <v>24.626565497087224</v>
      </c>
      <c r="L2" s="45">
        <v>27.492668621700879</v>
      </c>
      <c r="P2">
        <v>100000</v>
      </c>
      <c r="Q2" s="45">
        <f t="shared" ref="Q2:Q32" ca="1" si="2">$P$2/I2</f>
        <v>84.824836712189324</v>
      </c>
    </row>
    <row r="3" spans="1:17">
      <c r="A3" s="37">
        <v>46143</v>
      </c>
      <c r="B3" s="21" t="s">
        <v>127</v>
      </c>
      <c r="C3" s="21" t="e" vm="2">
        <v>#VALUE!</v>
      </c>
      <c r="D3" s="21" t="str">
        <f t="array" aca="1" ref="D3" ca="1">_FV(C3,"Industry")</f>
        <v>Machinery, Equipment &amp; Components</v>
      </c>
      <c r="E3" s="21" t="s">
        <v>86</v>
      </c>
      <c r="F3" s="21" t="s">
        <v>817</v>
      </c>
      <c r="G3" s="21" t="s">
        <v>818</v>
      </c>
      <c r="H3" s="21"/>
      <c r="I3" s="43">
        <f t="array" aca="1" ref="I3" ca="1">_FV(C3,"Price")</f>
        <v>774.3</v>
      </c>
      <c r="J3" s="46">
        <f t="shared" si="0"/>
        <v>29032.258064516129</v>
      </c>
      <c r="K3" s="44">
        <f t="shared" ca="1" si="1"/>
        <v>37.494844458886902</v>
      </c>
      <c r="L3" s="45">
        <v>36.374438469606133</v>
      </c>
      <c r="M3">
        <v>7000000</v>
      </c>
      <c r="N3">
        <v>1600000</v>
      </c>
      <c r="Q3" s="45">
        <f t="shared" ca="1" si="2"/>
        <v>129.14890869172157</v>
      </c>
    </row>
    <row r="4" spans="1:17">
      <c r="A4" s="37">
        <v>46143</v>
      </c>
      <c r="B4" s="21" t="s">
        <v>745</v>
      </c>
      <c r="C4" s="21" t="e" vm="3">
        <v>#VALUE!</v>
      </c>
      <c r="D4" s="21" t="str">
        <f t="array" aca="1" ref="D4" ca="1">_FV(C4,"Industry")</f>
        <v>Pharmaceuticals</v>
      </c>
      <c r="E4" s="21" t="s">
        <v>87</v>
      </c>
      <c r="F4" s="21" t="s">
        <v>817</v>
      </c>
      <c r="G4" s="21" t="s">
        <v>818</v>
      </c>
      <c r="H4" s="21"/>
      <c r="I4" s="43">
        <f t="array" aca="1" ref="I4" ca="1">_FV(C4,"Price")</f>
        <v>17198</v>
      </c>
      <c r="J4" s="46">
        <f t="shared" si="0"/>
        <v>29032.258064516129</v>
      </c>
      <c r="K4" s="44">
        <f t="shared" ca="1" si="1"/>
        <v>1.6881182733176026</v>
      </c>
      <c r="L4" s="45">
        <v>1.688118273317603</v>
      </c>
      <c r="M4">
        <f>M3-N3</f>
        <v>5400000</v>
      </c>
      <c r="N4">
        <v>6</v>
      </c>
      <c r="O4">
        <f>M4/N4</f>
        <v>900000</v>
      </c>
      <c r="Q4" s="45">
        <f t="shared" ca="1" si="2"/>
        <v>5.8146296080939646</v>
      </c>
    </row>
    <row r="5" spans="1:17">
      <c r="A5" s="37">
        <v>46143</v>
      </c>
      <c r="B5" s="21" t="s">
        <v>660</v>
      </c>
      <c r="C5" s="21" t="e" vm="4">
        <v>#VALUE!</v>
      </c>
      <c r="D5" s="21" t="str">
        <f t="array" aca="1" ref="D5" ca="1">_FV(C5,"Industry")</f>
        <v>Machinery, Equipment &amp; Components</v>
      </c>
      <c r="E5" s="21" t="s">
        <v>86</v>
      </c>
      <c r="F5" s="21" t="s">
        <v>819</v>
      </c>
      <c r="G5" s="21" t="s">
        <v>818</v>
      </c>
      <c r="H5" s="21"/>
      <c r="I5" s="43">
        <f t="array" aca="1" ref="I5" ca="1">_FV(C5,"Price")</f>
        <v>34325</v>
      </c>
      <c r="J5" s="46">
        <f t="shared" si="0"/>
        <v>29032.258064516129</v>
      </c>
      <c r="K5" s="44">
        <f t="shared" ca="1" si="1"/>
        <v>0.84580504193783335</v>
      </c>
      <c r="L5" s="45">
        <v>0.79802798418131193</v>
      </c>
      <c r="Q5" s="45">
        <f t="shared" ca="1" si="2"/>
        <v>2.9133284777858703</v>
      </c>
    </row>
    <row r="6" spans="1:17">
      <c r="A6" s="37">
        <v>46143</v>
      </c>
      <c r="B6" s="21" t="s">
        <v>663</v>
      </c>
      <c r="C6" s="21" t="e" vm="5">
        <v>#VALUE!</v>
      </c>
      <c r="D6" s="21" t="str">
        <f t="array" aca="1" ref="D6" ca="1">_FV(C6,"Industry")</f>
        <v>Electronic Equipment &amp; Parts</v>
      </c>
      <c r="E6" s="21" t="s">
        <v>86</v>
      </c>
      <c r="F6" s="21" t="s">
        <v>817</v>
      </c>
      <c r="G6" s="21" t="s">
        <v>818</v>
      </c>
      <c r="H6" s="21"/>
      <c r="I6" s="43">
        <f t="array" aca="1" ref="I6" ca="1">_FV(C6,"Price")</f>
        <v>1266.7</v>
      </c>
      <c r="J6" s="46">
        <f t="shared" si="0"/>
        <v>29032.258064516129</v>
      </c>
      <c r="K6" s="44">
        <f t="shared" ca="1" si="1"/>
        <v>22.919600587760424</v>
      </c>
      <c r="L6" s="45">
        <v>26.218963302191032</v>
      </c>
      <c r="Q6" s="45">
        <f t="shared" ca="1" si="2"/>
        <v>78.945290913397017</v>
      </c>
    </row>
    <row r="7" spans="1:17">
      <c r="A7" s="37">
        <v>46143</v>
      </c>
      <c r="B7" s="21" t="s">
        <v>666</v>
      </c>
      <c r="C7" s="21" t="e" vm="6">
        <v>#VALUE!</v>
      </c>
      <c r="D7" s="21" t="str">
        <f t="array" aca="1" ref="D7" ca="1">_FV(C7,"Industry")</f>
        <v>Beverages</v>
      </c>
      <c r="E7" s="21" t="s">
        <v>88</v>
      </c>
      <c r="F7" s="21" t="s">
        <v>820</v>
      </c>
      <c r="G7" s="21" t="s">
        <v>818</v>
      </c>
      <c r="H7" s="21"/>
      <c r="I7" s="43">
        <f t="array" aca="1" ref="I7" ca="1">_FV(C7,"Price")</f>
        <v>522.20000000000005</v>
      </c>
      <c r="J7" s="46">
        <f t="shared" si="0"/>
        <v>29032.258064516129</v>
      </c>
      <c r="K7" s="44">
        <f t="shared" ca="1" si="1"/>
        <v>55.596051444879599</v>
      </c>
      <c r="L7" s="45">
        <v>55.246923053313282</v>
      </c>
      <c r="Q7" s="45">
        <f t="shared" ca="1" si="2"/>
        <v>191.49751053236307</v>
      </c>
    </row>
    <row r="8" spans="1:17">
      <c r="A8" s="37">
        <v>46143</v>
      </c>
      <c r="B8" s="21" t="s">
        <v>669</v>
      </c>
      <c r="C8" s="21" t="e" vm="7">
        <v>#VALUE!</v>
      </c>
      <c r="D8" s="21" t="str">
        <f t="array" aca="1" ref="D8" ca="1">_FV(C8,"Industry")</f>
        <v>Automobiles &amp; Auto Parts</v>
      </c>
      <c r="E8" s="21" t="s">
        <v>88</v>
      </c>
      <c r="F8" s="21" t="s">
        <v>820</v>
      </c>
      <c r="G8" s="21" t="s">
        <v>818</v>
      </c>
      <c r="H8" s="21"/>
      <c r="I8" s="43">
        <f t="array" aca="1" ref="I8" ca="1">_FV(C8,"Price")</f>
        <v>10063</v>
      </c>
      <c r="J8" s="46">
        <f t="shared" si="0"/>
        <v>29032.258064516129</v>
      </c>
      <c r="K8" s="44">
        <f t="shared" ca="1" si="1"/>
        <v>2.8850499915051304</v>
      </c>
      <c r="L8" s="45">
        <v>2.79802024523093</v>
      </c>
      <c r="Q8" s="45">
        <f t="shared" ca="1" si="2"/>
        <v>9.9373944151843379</v>
      </c>
    </row>
    <row r="9" spans="1:17">
      <c r="A9" s="37">
        <v>46143</v>
      </c>
      <c r="B9" s="21" t="s">
        <v>672</v>
      </c>
      <c r="C9" s="21" t="e" vm="8">
        <v>#VALUE!</v>
      </c>
      <c r="D9" s="21" t="str">
        <f t="array" aca="1" ref="D9" ca="1">_FV(C9,"Industry")</f>
        <v>Media &amp; Publishing</v>
      </c>
      <c r="E9" s="21" t="s">
        <v>821</v>
      </c>
      <c r="F9" s="21" t="s">
        <v>817</v>
      </c>
      <c r="G9" s="21" t="s">
        <v>818</v>
      </c>
      <c r="H9" s="21"/>
      <c r="I9" s="43">
        <f t="array" aca="1" ref="I9" ca="1">_FV(C9,"Price")</f>
        <v>640.25</v>
      </c>
      <c r="J9" s="46">
        <f t="shared" si="0"/>
        <v>29032.258064516129</v>
      </c>
      <c r="K9" s="44">
        <f t="shared" ca="1" si="1"/>
        <v>45.345190260860804</v>
      </c>
      <c r="L9" s="45">
        <v>44.310528181495918</v>
      </c>
      <c r="Q9" s="45">
        <f t="shared" ca="1" si="2"/>
        <v>156.18898867629832</v>
      </c>
    </row>
    <row r="10" spans="1:17">
      <c r="A10" s="37">
        <v>46143</v>
      </c>
      <c r="B10" s="21" t="s">
        <v>675</v>
      </c>
      <c r="C10" s="21" t="e" vm="9">
        <v>#VALUE!</v>
      </c>
      <c r="D10" s="21" t="str">
        <f t="array" aca="1" ref="D10" ca="1">_FV(C10,"Industry")</f>
        <v>Machinery, Equipment &amp; Components</v>
      </c>
      <c r="E10" s="21" t="s">
        <v>86</v>
      </c>
      <c r="F10" s="21" t="s">
        <v>817</v>
      </c>
      <c r="G10" s="21" t="s">
        <v>818</v>
      </c>
      <c r="H10" s="21"/>
      <c r="I10" s="43">
        <f t="array" aca="1" ref="I10" ca="1">_FV(C10,"Price")</f>
        <v>4333.7</v>
      </c>
      <c r="J10" s="46">
        <f t="shared" si="0"/>
        <v>29032.258064516129</v>
      </c>
      <c r="K10" s="44">
        <f t="shared" ca="1" si="1"/>
        <v>6.6991850069262133</v>
      </c>
      <c r="L10" s="45">
        <v>6.419231446816311</v>
      </c>
      <c r="Q10" s="45">
        <f t="shared" ca="1" si="2"/>
        <v>23.074970579412511</v>
      </c>
    </row>
    <row r="11" spans="1:17">
      <c r="A11" s="37">
        <v>46143</v>
      </c>
      <c r="B11" s="21" t="s">
        <v>595</v>
      </c>
      <c r="C11" s="21" t="e" vm="10">
        <v>#VALUE!</v>
      </c>
      <c r="D11" s="21" t="str">
        <f t="array" aca="1" ref="D11" ca="1">_FV(C11,"Industry")</f>
        <v>Chemicals</v>
      </c>
      <c r="E11" s="21" t="s">
        <v>87</v>
      </c>
      <c r="F11" s="21" t="s">
        <v>817</v>
      </c>
      <c r="G11" s="21" t="s">
        <v>818</v>
      </c>
      <c r="H11" s="21"/>
      <c r="I11" s="43">
        <f t="array" aca="1" ref="I11" ca="1">_FV(C11,"Price")</f>
        <v>3145.3</v>
      </c>
      <c r="J11" s="46">
        <f t="shared" si="0"/>
        <v>29032.258064516129</v>
      </c>
      <c r="K11" s="44">
        <f t="shared" ca="1" si="1"/>
        <v>9.2303621481309026</v>
      </c>
      <c r="L11" s="45">
        <v>9.6168333050171011</v>
      </c>
      <c r="Q11" s="45">
        <f t="shared" ca="1" si="2"/>
        <v>31.793469621339774</v>
      </c>
    </row>
    <row r="12" spans="1:17">
      <c r="A12" s="37">
        <v>46143</v>
      </c>
      <c r="B12" s="21" t="s">
        <v>679</v>
      </c>
      <c r="C12" s="21" t="e" vm="11">
        <v>#VALUE!</v>
      </c>
      <c r="D12" s="21" t="str">
        <f t="array" aca="1" ref="D12" ca="1">_FV(C12,"Industry")</f>
        <v>Software &amp; IT Services</v>
      </c>
      <c r="E12" s="21" t="s">
        <v>821</v>
      </c>
      <c r="F12" s="21" t="s">
        <v>819</v>
      </c>
      <c r="G12" s="21" t="s">
        <v>818</v>
      </c>
      <c r="H12" s="21"/>
      <c r="I12" s="43">
        <f t="array" aca="1" ref="I12" ca="1">_FV(C12,"Price")</f>
        <v>9327.5</v>
      </c>
      <c r="J12" s="46">
        <f t="shared" si="0"/>
        <v>29032.258064516129</v>
      </c>
      <c r="K12" s="44">
        <f t="shared" ca="1" si="1"/>
        <v>3.1125444186026403</v>
      </c>
      <c r="L12" s="45">
        <v>2.8488134691900822</v>
      </c>
      <c r="Q12" s="45">
        <f t="shared" ca="1" si="2"/>
        <v>10.720986330742429</v>
      </c>
    </row>
    <row r="13" spans="1:17">
      <c r="A13" s="37">
        <v>46143</v>
      </c>
      <c r="B13" s="21" t="s">
        <v>682</v>
      </c>
      <c r="C13" s="21" t="e" vm="12">
        <v>#VALUE!</v>
      </c>
      <c r="D13" s="21" t="str">
        <f t="array" aca="1" ref="D13" ca="1">_FV(C13,"Industry")</f>
        <v>Machinery, Equipment &amp; Components</v>
      </c>
      <c r="E13" s="21" t="s">
        <v>86</v>
      </c>
      <c r="F13" s="21" t="s">
        <v>819</v>
      </c>
      <c r="G13" s="21" t="s">
        <v>818</v>
      </c>
      <c r="H13" s="21"/>
      <c r="I13" s="43">
        <f t="array" aca="1" ref="I13" ca="1">_FV(C13,"Price")</f>
        <v>15221</v>
      </c>
      <c r="J13" s="46">
        <f t="shared" si="0"/>
        <v>29032.258064516129</v>
      </c>
      <c r="K13" s="44">
        <f t="shared" ca="1" si="1"/>
        <v>1.9073817794176551</v>
      </c>
      <c r="L13" s="45">
        <v>2.2679679762921752</v>
      </c>
      <c r="Q13" s="45">
        <f t="shared" ca="1" si="2"/>
        <v>6.5698705735497009</v>
      </c>
    </row>
    <row r="14" spans="1:17">
      <c r="A14" s="37">
        <v>46143</v>
      </c>
      <c r="B14" s="21" t="s">
        <v>685</v>
      </c>
      <c r="C14" s="21" t="e" vm="13">
        <v>#VALUE!</v>
      </c>
      <c r="D14" s="21" t="str">
        <f t="array" aca="1" ref="D14" ca="1">_FV(C14,"Industry")</f>
        <v>Machinery, Equipment &amp; Components</v>
      </c>
      <c r="E14" s="21" t="s">
        <v>86</v>
      </c>
      <c r="F14" s="21" t="s">
        <v>817</v>
      </c>
      <c r="G14" s="21" t="s">
        <v>818</v>
      </c>
      <c r="H14" s="21"/>
      <c r="I14" s="43">
        <f t="array" aca="1" ref="I14" ca="1">_FV(C14,"Price")</f>
        <v>8917.5</v>
      </c>
      <c r="J14" s="46">
        <f t="shared" si="0"/>
        <v>29032.258064516129</v>
      </c>
      <c r="K14" s="44">
        <f t="shared" ca="1" si="1"/>
        <v>3.2556499091131066</v>
      </c>
      <c r="L14" s="47">
        <v>3.309839601495312</v>
      </c>
      <c r="Q14" s="45">
        <f t="shared" ca="1" si="2"/>
        <v>11.213905242500701</v>
      </c>
    </row>
    <row r="15" spans="1:17">
      <c r="A15" s="37">
        <v>46143</v>
      </c>
      <c r="B15" s="21" t="s">
        <v>691</v>
      </c>
      <c r="C15" s="21" t="e" vm="14">
        <v>#VALUE!</v>
      </c>
      <c r="D15" s="21" t="str">
        <f t="array" aca="1" ref="D15" ca="1">_FV(C15,"Industry")</f>
        <v>Healthcare Providers &amp; Services</v>
      </c>
      <c r="E15" s="21" t="s">
        <v>87</v>
      </c>
      <c r="F15" s="21" t="s">
        <v>817</v>
      </c>
      <c r="G15" s="21" t="s">
        <v>818</v>
      </c>
      <c r="H15" s="21"/>
      <c r="I15" s="43">
        <f t="array" aca="1" ref="I15" ca="1">_FV(C15,"Price")</f>
        <v>1601.5</v>
      </c>
      <c r="J15" s="46">
        <f t="shared" si="0"/>
        <v>29032.258064516129</v>
      </c>
      <c r="K15" s="44">
        <f t="shared" ca="1" si="1"/>
        <v>18.128166134571419</v>
      </c>
      <c r="L15" s="47">
        <v>18.406300681237639</v>
      </c>
      <c r="Q15" s="45">
        <f t="shared" ca="1" si="2"/>
        <v>62.441461130190447</v>
      </c>
    </row>
    <row r="16" spans="1:17">
      <c r="A16" s="37">
        <v>46143</v>
      </c>
      <c r="B16" s="21" t="s">
        <v>126</v>
      </c>
      <c r="C16" s="21" t="e" vm="15">
        <v>#VALUE!</v>
      </c>
      <c r="D16" s="21" t="str">
        <f t="array" aca="1" ref="D16" ca="1">_FV(C16,"Industry")</f>
        <v>Chemicals</v>
      </c>
      <c r="E16" s="21" t="s">
        <v>87</v>
      </c>
      <c r="F16" s="21" t="s">
        <v>817</v>
      </c>
      <c r="G16" s="21" t="s">
        <v>818</v>
      </c>
      <c r="H16" s="21"/>
      <c r="I16" s="43">
        <f t="array" aca="1" ref="I16" ca="1">_FV(C16,"Price")</f>
        <v>39.17</v>
      </c>
      <c r="J16" s="46">
        <f t="shared" si="0"/>
        <v>29032.258064516129</v>
      </c>
      <c r="K16" s="44">
        <f t="shared" ca="1" si="1"/>
        <v>741.18606240786642</v>
      </c>
      <c r="L16" s="47">
        <v>710.00875677466684</v>
      </c>
      <c r="Q16" s="45">
        <f t="shared" ca="1" si="2"/>
        <v>2552.974214960429</v>
      </c>
    </row>
    <row r="17" spans="1:17">
      <c r="A17" s="37">
        <v>46143</v>
      </c>
      <c r="B17" s="21" t="s">
        <v>696</v>
      </c>
      <c r="C17" s="21" t="e" vm="16">
        <v>#VALUE!</v>
      </c>
      <c r="D17" s="21" t="str">
        <f t="array" aca="1" ref="D17" ca="1">_FV(C17,"Industry")</f>
        <v>Machinery, Equipment &amp; Components</v>
      </c>
      <c r="E17" s="21" t="s">
        <v>88</v>
      </c>
      <c r="F17" s="21" t="s">
        <v>819</v>
      </c>
      <c r="G17" s="21" t="s">
        <v>818</v>
      </c>
      <c r="H17" s="21"/>
      <c r="I17" s="43">
        <f t="array" aca="1" ref="I17" ca="1">_FV(C17,"Price")</f>
        <v>5369.5</v>
      </c>
      <c r="J17" s="46">
        <f t="shared" si="0"/>
        <v>29032.258064516129</v>
      </c>
      <c r="K17" s="44">
        <f t="shared" ca="1" si="1"/>
        <v>5.4068829620106396</v>
      </c>
      <c r="L17" s="47">
        <v>5.6111824631844076</v>
      </c>
      <c r="Q17" s="45">
        <f t="shared" ca="1" si="2"/>
        <v>18.623707980258871</v>
      </c>
    </row>
    <row r="18" spans="1:17">
      <c r="A18" s="37">
        <v>46143</v>
      </c>
      <c r="B18" s="21" t="s">
        <v>699</v>
      </c>
      <c r="C18" s="21" t="e" vm="17">
        <v>#VALUE!</v>
      </c>
      <c r="D18" s="21" t="str">
        <f t="array" aca="1" ref="D18" ca="1">_FV(C18,"Industry")</f>
        <v>Chemicals</v>
      </c>
      <c r="E18" s="21" t="s">
        <v>87</v>
      </c>
      <c r="F18" s="21" t="s">
        <v>817</v>
      </c>
      <c r="G18" s="21" t="s">
        <v>818</v>
      </c>
      <c r="H18" s="21"/>
      <c r="I18" s="43">
        <f t="array" aca="1" ref="I18" ca="1">_FV(C18,"Price")</f>
        <v>673.6</v>
      </c>
      <c r="J18" s="46">
        <f t="shared" si="0"/>
        <v>29032.258064516129</v>
      </c>
      <c r="K18" s="44">
        <f t="shared" ca="1" si="1"/>
        <v>43.100145582713964</v>
      </c>
      <c r="L18" s="47">
        <v>42.710199432903472</v>
      </c>
      <c r="Q18" s="45">
        <f t="shared" ca="1" si="2"/>
        <v>148.45605700712588</v>
      </c>
    </row>
    <row r="19" spans="1:17">
      <c r="A19" s="37">
        <v>46143</v>
      </c>
      <c r="B19" s="21" t="s">
        <v>702</v>
      </c>
      <c r="C19" s="21" t="e" vm="18">
        <v>#VALUE!</v>
      </c>
      <c r="D19" s="21" t="str">
        <f t="array" aca="1" ref="D19" ca="1">_FV(C19,"Industry")</f>
        <v>Healthcare Providers &amp; Services</v>
      </c>
      <c r="E19" s="21" t="s">
        <v>87</v>
      </c>
      <c r="F19" s="21" t="s">
        <v>819</v>
      </c>
      <c r="G19" s="21" t="s">
        <v>818</v>
      </c>
      <c r="H19" s="21"/>
      <c r="I19" s="43">
        <f t="array" aca="1" ref="I19" ca="1">_FV(C19,"Price")</f>
        <v>1893.9</v>
      </c>
      <c r="J19" s="46">
        <f t="shared" si="0"/>
        <v>29032.258064516129</v>
      </c>
      <c r="K19" s="44">
        <f t="shared" ca="1" si="1"/>
        <v>15.329351108567574</v>
      </c>
      <c r="L19" s="47">
        <v>15.244031538207469</v>
      </c>
      <c r="Q19" s="45">
        <f t="shared" ca="1" si="2"/>
        <v>52.801098262843865</v>
      </c>
    </row>
    <row r="20" spans="1:17">
      <c r="A20" s="37">
        <v>46143</v>
      </c>
      <c r="B20" s="21" t="s">
        <v>272</v>
      </c>
      <c r="C20" s="21" t="e" vm="19">
        <v>#VALUE!</v>
      </c>
      <c r="D20" s="21" t="str">
        <f t="array" aca="1" ref="D20" ca="1">_FV(C20,"Industry")</f>
        <v>Machinery, Equipment &amp; Components</v>
      </c>
      <c r="E20" s="21" t="s">
        <v>88</v>
      </c>
      <c r="F20" s="21" t="s">
        <v>820</v>
      </c>
      <c r="G20" s="21" t="s">
        <v>818</v>
      </c>
      <c r="H20" s="21"/>
      <c r="I20" s="43">
        <f t="array" aca="1" ref="I20" ca="1">_FV(C20,"Price")</f>
        <v>9554</v>
      </c>
      <c r="J20" s="46">
        <f t="shared" si="0"/>
        <v>29032.258064516129</v>
      </c>
      <c r="K20" s="44">
        <f t="shared" ca="1" si="1"/>
        <v>3.0387542458149599</v>
      </c>
      <c r="L20" s="47">
        <v>3.0623129649824512</v>
      </c>
      <c r="Q20" s="45">
        <f t="shared" ca="1" si="2"/>
        <v>10.466820180029307</v>
      </c>
    </row>
    <row r="21" spans="1:17">
      <c r="A21" s="37">
        <v>46143</v>
      </c>
      <c r="B21" s="21" t="s">
        <v>705</v>
      </c>
      <c r="C21" s="21" t="e" vm="20">
        <v>#VALUE!</v>
      </c>
      <c r="D21" s="21" t="str">
        <f t="array" aca="1" ref="D21" ca="1">_FV(C21,"Industry")</f>
        <v>Construction &amp; Engineering</v>
      </c>
      <c r="E21" s="21" t="s">
        <v>86</v>
      </c>
      <c r="F21" s="21" t="s">
        <v>817</v>
      </c>
      <c r="G21" s="21" t="s">
        <v>818</v>
      </c>
      <c r="H21" s="21"/>
      <c r="I21" s="43">
        <f t="array" aca="1" ref="I21" ca="1">_FV(C21,"Price")</f>
        <v>917.2</v>
      </c>
      <c r="J21" s="46">
        <f t="shared" si="0"/>
        <v>29032.258064516129</v>
      </c>
      <c r="K21" s="44">
        <f t="shared" ca="1" si="1"/>
        <v>31.653137881068609</v>
      </c>
      <c r="L21" s="47">
        <v>34.568384907443154</v>
      </c>
      <c r="Q21" s="45">
        <f t="shared" ca="1" si="2"/>
        <v>109.02747492368076</v>
      </c>
    </row>
    <row r="22" spans="1:17">
      <c r="A22" s="37">
        <v>46143</v>
      </c>
      <c r="B22" s="21" t="s">
        <v>708</v>
      </c>
      <c r="C22" s="21" t="e" vm="21">
        <v>#VALUE!</v>
      </c>
      <c r="D22" s="21" t="str">
        <f t="array" aca="1" ref="D22" ca="1">_FV(C22,"Industry")</f>
        <v>Healthcare Providers &amp; Services</v>
      </c>
      <c r="E22" s="21" t="s">
        <v>87</v>
      </c>
      <c r="F22" s="21" t="s">
        <v>817</v>
      </c>
      <c r="G22" s="21" t="s">
        <v>818</v>
      </c>
      <c r="H22" s="21"/>
      <c r="I22" s="43">
        <f t="array" aca="1" ref="I22" ca="1">_FV(C22,"Price")</f>
        <v>1365</v>
      </c>
      <c r="J22" s="46">
        <f t="shared" si="0"/>
        <v>29032.258064516129</v>
      </c>
      <c r="K22" s="44">
        <f t="shared" ca="1" si="1"/>
        <v>21.269053527118043</v>
      </c>
      <c r="L22" s="47">
        <v>21.197618329816098</v>
      </c>
      <c r="Q22" s="45">
        <f t="shared" ca="1" si="2"/>
        <v>73.260073260073256</v>
      </c>
    </row>
    <row r="23" spans="1:17">
      <c r="A23" s="37">
        <v>46143</v>
      </c>
      <c r="B23" s="21" t="s">
        <v>711</v>
      </c>
      <c r="C23" s="21" t="e" vm="22">
        <v>#VALUE!</v>
      </c>
      <c r="D23" s="21" t="str">
        <f t="array" aca="1" ref="D23" ca="1">_FV(C23,"Industry")</f>
        <v>Machinery, Equipment &amp; Components</v>
      </c>
      <c r="E23" s="21" t="s">
        <v>86</v>
      </c>
      <c r="F23" s="21" t="s">
        <v>817</v>
      </c>
      <c r="G23" s="21" t="s">
        <v>818</v>
      </c>
      <c r="H23" s="21"/>
      <c r="I23" s="43">
        <f t="array" aca="1" ref="I23" ca="1">_FV(C23,"Price")</f>
        <v>695.5</v>
      </c>
      <c r="J23" s="46">
        <f t="shared" si="0"/>
        <v>29032.258064516129</v>
      </c>
      <c r="K23" s="44">
        <f t="shared" ca="1" si="1"/>
        <v>41.743002249484007</v>
      </c>
      <c r="L23" s="47">
        <v>39.726680438582562</v>
      </c>
      <c r="Q23" s="45">
        <f t="shared" ca="1" si="2"/>
        <v>143.78145219266713</v>
      </c>
    </row>
    <row r="24" spans="1:17">
      <c r="A24" s="37">
        <v>46143</v>
      </c>
      <c r="B24" s="21" t="s">
        <v>714</v>
      </c>
      <c r="C24" s="21" t="e" vm="23">
        <v>#VALUE!</v>
      </c>
      <c r="D24" s="21" t="str">
        <f t="array" aca="1" ref="D24" ca="1">_FV(C24,"Industry")</f>
        <v>Machinery, Equipment &amp; Components</v>
      </c>
      <c r="E24" s="21" t="s">
        <v>86</v>
      </c>
      <c r="F24" s="21" t="s">
        <v>817</v>
      </c>
      <c r="G24" s="21" t="s">
        <v>818</v>
      </c>
      <c r="H24" s="21"/>
      <c r="I24" s="43">
        <f t="array" aca="1" ref="I24" ca="1">_FV(C24,"Price")</f>
        <v>3530.2</v>
      </c>
      <c r="J24" s="46">
        <f t="shared" si="0"/>
        <v>29032.258064516129</v>
      </c>
      <c r="K24" s="44">
        <f t="shared" ca="1" si="1"/>
        <v>8.2239697650320469</v>
      </c>
      <c r="L24" s="47">
        <v>8.1804052027377097</v>
      </c>
      <c r="Q24" s="45">
        <f t="shared" ca="1" si="2"/>
        <v>28.327006968443715</v>
      </c>
    </row>
    <row r="25" spans="1:17">
      <c r="A25" s="37">
        <v>46143</v>
      </c>
      <c r="B25" s="21" t="s">
        <v>553</v>
      </c>
      <c r="C25" s="21" t="e" vm="24">
        <v>#VALUE!</v>
      </c>
      <c r="D25" s="21" t="str">
        <f t="array" aca="1" ref="D25" ca="1">_FV(C25,"Industry")</f>
        <v>Chemicals</v>
      </c>
      <c r="E25" s="21" t="s">
        <v>86</v>
      </c>
      <c r="F25" s="21" t="s">
        <v>820</v>
      </c>
      <c r="G25" s="21" t="s">
        <v>818</v>
      </c>
      <c r="H25" s="21"/>
      <c r="I25" s="43">
        <f t="array" aca="1" ref="I25" ca="1">_FV(C25,"Price")</f>
        <v>17143</v>
      </c>
      <c r="J25" s="46">
        <f t="shared" si="0"/>
        <v>29032.258064516129</v>
      </c>
      <c r="K25" s="44">
        <f t="shared" ca="1" si="1"/>
        <v>1.693534274311155</v>
      </c>
      <c r="L25" s="47">
        <v>1.5949161162729291</v>
      </c>
      <c r="Q25" s="45">
        <f t="shared" ca="1" si="2"/>
        <v>5.8332847226273117</v>
      </c>
    </row>
    <row r="26" spans="1:17">
      <c r="A26" s="37">
        <v>46143</v>
      </c>
      <c r="B26" s="21" t="s">
        <v>108</v>
      </c>
      <c r="C26" s="21" t="e" vm="25">
        <v>#VALUE!</v>
      </c>
      <c r="D26" s="21" t="str">
        <f t="array" aca="1" ref="D26" ca="1">_FV(C26,"Industry")</f>
        <v>Healthcare Providers &amp; Services</v>
      </c>
      <c r="E26" s="21" t="s">
        <v>87</v>
      </c>
      <c r="F26" s="21" t="s">
        <v>817</v>
      </c>
      <c r="G26" s="21" t="s">
        <v>818</v>
      </c>
      <c r="H26" s="21"/>
      <c r="I26" s="43">
        <f t="array" aca="1" ref="I26" ca="1">_FV(C26,"Price")</f>
        <v>530.70000000000005</v>
      </c>
      <c r="J26" s="46">
        <f t="shared" si="0"/>
        <v>29032.258064516129</v>
      </c>
      <c r="K26" s="44">
        <f t="shared" ca="1" si="1"/>
        <v>54.705592735097277</v>
      </c>
      <c r="L26" s="47">
        <v>53.678946222642367</v>
      </c>
      <c r="Q26" s="45">
        <f t="shared" ca="1" si="2"/>
        <v>188.43037497644619</v>
      </c>
    </row>
    <row r="27" spans="1:17">
      <c r="A27" s="37">
        <v>46143</v>
      </c>
      <c r="B27" s="21" t="s">
        <v>719</v>
      </c>
      <c r="C27" s="21" t="e" vm="26">
        <v>#VALUE!</v>
      </c>
      <c r="D27" s="21" t="str">
        <f t="array" aca="1" ref="D27" ca="1">_FV(C27,"Industry")</f>
        <v>Chemicals</v>
      </c>
      <c r="E27" s="21" t="s">
        <v>87</v>
      </c>
      <c r="F27" s="21" t="s">
        <v>817</v>
      </c>
      <c r="G27" s="21" t="s">
        <v>818</v>
      </c>
      <c r="H27" s="21"/>
      <c r="I27" s="43">
        <f t="array" aca="1" ref="I27" ca="1">_FV(C27,"Price")</f>
        <v>7303</v>
      </c>
      <c r="J27" s="46">
        <f t="shared" si="0"/>
        <v>29032.258064516129</v>
      </c>
      <c r="K27" s="44">
        <f t="shared" ca="1" si="1"/>
        <v>3.9753879316056593</v>
      </c>
      <c r="L27" s="47">
        <v>4.1483543708674899</v>
      </c>
      <c r="Q27" s="45">
        <f t="shared" ca="1" si="2"/>
        <v>13.693002875530604</v>
      </c>
    </row>
    <row r="28" spans="1:17">
      <c r="A28" s="37">
        <v>46143</v>
      </c>
      <c r="B28" s="21" t="s">
        <v>197</v>
      </c>
      <c r="C28" s="21" t="e" vm="27">
        <v>#VALUE!</v>
      </c>
      <c r="D28" s="21" t="str">
        <f t="array" aca="1" ref="D28" ca="1">_FV(C28,"Industry")</f>
        <v>Pharmaceuticals</v>
      </c>
      <c r="E28" s="21" t="s">
        <v>87</v>
      </c>
      <c r="F28" s="21" t="s">
        <v>817</v>
      </c>
      <c r="G28" s="21" t="s">
        <v>818</v>
      </c>
      <c r="H28" s="21"/>
      <c r="I28" s="43">
        <f t="array" aca="1" ref="I28" ca="1">_FV(C28,"Price")</f>
        <v>3048.8</v>
      </c>
      <c r="J28" s="46">
        <f t="shared" si="0"/>
        <v>29032.258064516129</v>
      </c>
      <c r="K28" s="44">
        <f t="shared" ca="1" si="1"/>
        <v>9.5225197010352023</v>
      </c>
      <c r="L28" s="47">
        <v>10.595714622086181</v>
      </c>
      <c r="Q28" s="45">
        <f t="shared" ca="1" si="2"/>
        <v>32.799790081343474</v>
      </c>
    </row>
    <row r="29" spans="1:17">
      <c r="A29" s="37">
        <v>46143</v>
      </c>
      <c r="B29" s="21" t="s">
        <v>724</v>
      </c>
      <c r="C29" s="21" t="e" vm="28">
        <v>#VALUE!</v>
      </c>
      <c r="D29" s="21" t="str">
        <f t="array" aca="1" ref="D29" ca="1">_FV(C29,"Industry")</f>
        <v>Pharmaceuticals</v>
      </c>
      <c r="E29" s="21" t="s">
        <v>87</v>
      </c>
      <c r="F29" s="21" t="s">
        <v>817</v>
      </c>
      <c r="G29" s="21" t="s">
        <v>818</v>
      </c>
      <c r="H29" s="21"/>
      <c r="I29" s="43">
        <f t="array" aca="1" ref="I29" ca="1">_FV(C29,"Price")</f>
        <v>2407.8000000000002</v>
      </c>
      <c r="J29" s="46">
        <f t="shared" si="0"/>
        <v>29032.258064516129</v>
      </c>
      <c r="K29" s="44">
        <f t="shared" ca="1" si="1"/>
        <v>12.057587035682419</v>
      </c>
      <c r="L29" s="47">
        <v>14.524117296771291</v>
      </c>
      <c r="Q29" s="45">
        <f t="shared" ca="1" si="2"/>
        <v>41.531688678461663</v>
      </c>
    </row>
    <row r="30" spans="1:17">
      <c r="A30" s="37">
        <v>46143</v>
      </c>
      <c r="B30" s="21" t="s">
        <v>125</v>
      </c>
      <c r="C30" s="21" t="e" vm="29">
        <v>#VALUE!</v>
      </c>
      <c r="D30" s="21" t="str">
        <f t="array" aca="1" ref="D30" ca="1">_FV(C30,"Industry")</f>
        <v>Machinery, Equipment &amp; Components</v>
      </c>
      <c r="E30" s="21" t="s">
        <v>86</v>
      </c>
      <c r="F30" s="21" t="s">
        <v>817</v>
      </c>
      <c r="G30" s="21" t="s">
        <v>818</v>
      </c>
      <c r="H30" s="21"/>
      <c r="I30" s="43">
        <f t="array" aca="1" ref="I30" ca="1">_FV(C30,"Price")</f>
        <v>671.2</v>
      </c>
      <c r="J30" s="46">
        <f t="shared" si="0"/>
        <v>29032.258064516129</v>
      </c>
      <c r="K30" s="44">
        <f t="shared" ca="1" si="1"/>
        <v>43.254258141412585</v>
      </c>
      <c r="L30" s="47">
        <v>41.80310736431408</v>
      </c>
      <c r="Q30" s="45">
        <f t="shared" ca="1" si="2"/>
        <v>148.98688915375445</v>
      </c>
    </row>
    <row r="31" spans="1:17">
      <c r="A31" s="37">
        <v>46143</v>
      </c>
      <c r="B31" s="21" t="s">
        <v>505</v>
      </c>
      <c r="C31" s="21" t="e" vm="30">
        <v>#VALUE!</v>
      </c>
      <c r="D31" s="21" t="str">
        <f t="array" aca="1" ref="D31" ca="1">_FV(C31,"Industry")</f>
        <v>Machinery, Equipment &amp; Components</v>
      </c>
      <c r="E31" s="21" t="s">
        <v>86</v>
      </c>
      <c r="F31" s="21" t="s">
        <v>817</v>
      </c>
      <c r="G31" s="21" t="s">
        <v>818</v>
      </c>
      <c r="H31" s="21"/>
      <c r="I31" s="43">
        <f t="array" aca="1" ref="I31" ca="1">_FV(C31,"Price")</f>
        <v>1192.8</v>
      </c>
      <c r="J31" s="46">
        <f t="shared" si="0"/>
        <v>29032.258064516129</v>
      </c>
      <c r="K31" s="44">
        <f t="shared" ca="1" si="1"/>
        <v>24.339585902511846</v>
      </c>
      <c r="L31" s="45">
        <v>23.590036616979059</v>
      </c>
      <c r="Q31" s="45">
        <f t="shared" ca="1" si="2"/>
        <v>83.836351441985244</v>
      </c>
    </row>
    <row r="32" spans="1:17">
      <c r="A32" s="37">
        <v>46143</v>
      </c>
      <c r="B32" s="21" t="s">
        <v>543</v>
      </c>
      <c r="C32" s="21" t="e" vm="31">
        <v>#VALUE!</v>
      </c>
      <c r="D32" s="21" t="str">
        <f t="array" aca="1" ref="D32" ca="1">_FV(C32,"Industry")</f>
        <v>Machinery, Equipment &amp; Components</v>
      </c>
      <c r="E32" s="21" t="s">
        <v>86</v>
      </c>
      <c r="F32" s="21" t="s">
        <v>819</v>
      </c>
      <c r="G32" s="21" t="s">
        <v>818</v>
      </c>
      <c r="H32" s="21"/>
      <c r="I32" s="43">
        <f t="array" aca="1" ref="I32" ca="1">_FV(C32,"Price")</f>
        <v>4942.5</v>
      </c>
      <c r="J32" s="46">
        <f t="shared" si="0"/>
        <v>29032.258064516129</v>
      </c>
      <c r="K32" s="44">
        <f t="shared" ca="1" si="1"/>
        <v>5.8740026433011892</v>
      </c>
      <c r="L32" s="45">
        <v>6.1056273532105427</v>
      </c>
      <c r="Q32" s="45">
        <f t="shared" ca="1" si="2"/>
        <v>20.232675771370765</v>
      </c>
    </row>
    <row r="33" spans="1:8">
      <c r="A33" s="37">
        <v>46143</v>
      </c>
      <c r="B33" s="39" t="s">
        <v>822</v>
      </c>
      <c r="C33" s="21" t="e" vm="32">
        <v>#VALUE!</v>
      </c>
      <c r="D33" s="21" t="str">
        <f t="array" aca="1" ref="D33" ca="1">_FV(C33,"Industry")</f>
        <v>Electrical Utilities &amp; IPPs</v>
      </c>
      <c r="E33" s="21" t="s">
        <v>86</v>
      </c>
      <c r="F33" s="21" t="s">
        <v>820</v>
      </c>
      <c r="G33" s="21" t="s">
        <v>823</v>
      </c>
      <c r="H33" s="21"/>
    </row>
    <row r="34" spans="1:8">
      <c r="A34" s="37">
        <v>46143</v>
      </c>
      <c r="B34" s="21" t="s">
        <v>824</v>
      </c>
      <c r="C34" s="21" t="e" vm="33">
        <v>#VALUE!</v>
      </c>
      <c r="D34" s="21" t="str">
        <f t="array" aca="1" ref="D34" ca="1">_FV(C34,"Industry")</f>
        <v>Electrical Utilities &amp; IPPs</v>
      </c>
      <c r="E34" s="21" t="s">
        <v>86</v>
      </c>
      <c r="F34" s="21" t="s">
        <v>820</v>
      </c>
      <c r="G34" s="21" t="s">
        <v>823</v>
      </c>
      <c r="H34" s="21"/>
    </row>
    <row r="35" spans="1:8">
      <c r="A35" s="37">
        <v>46143</v>
      </c>
      <c r="B35" s="21" t="s">
        <v>825</v>
      </c>
      <c r="C35" s="21" t="e" vm="34">
        <v>#VALUE!</v>
      </c>
      <c r="D35" s="21" t="str">
        <f t="array" aca="1" ref="D35" ca="1">_FV(C35,"Industry")</f>
        <v>Machinery, Equipment &amp; Components</v>
      </c>
      <c r="E35" s="21" t="s">
        <v>86</v>
      </c>
      <c r="F35" s="21" t="s">
        <v>819</v>
      </c>
      <c r="G35" s="21" t="s">
        <v>823</v>
      </c>
      <c r="H35" s="21"/>
    </row>
    <row r="36" spans="1:8">
      <c r="A36" s="37">
        <v>46143</v>
      </c>
      <c r="B36" s="21" t="s">
        <v>153</v>
      </c>
      <c r="C36" s="21" t="e" vm="35">
        <v>#VALUE!</v>
      </c>
      <c r="D36" s="21" t="str">
        <f t="array" aca="1" ref="D36" ca="1">_FV(C36,"Industry")</f>
        <v>Pharmaceuticals</v>
      </c>
      <c r="E36" s="21" t="s">
        <v>87</v>
      </c>
      <c r="F36" s="21" t="s">
        <v>820</v>
      </c>
      <c r="G36" s="21" t="s">
        <v>823</v>
      </c>
      <c r="H36" s="21"/>
    </row>
    <row r="37" spans="1:8">
      <c r="A37" s="37">
        <v>46143</v>
      </c>
      <c r="B37" s="21" t="s">
        <v>501</v>
      </c>
      <c r="C37" s="21" t="e" vm="36">
        <v>#VALUE!</v>
      </c>
      <c r="D37" s="21" t="str">
        <f t="array" aca="1" ref="D37" ca="1">_FV(C37,"Industry")</f>
        <v>Metals &amp; Mining</v>
      </c>
      <c r="E37" s="21" t="s">
        <v>86</v>
      </c>
      <c r="F37" s="21" t="s">
        <v>819</v>
      </c>
      <c r="G37" s="21" t="s">
        <v>823</v>
      </c>
      <c r="H37" s="21"/>
    </row>
    <row r="38" spans="1:8">
      <c r="A38" s="37">
        <v>46143</v>
      </c>
      <c r="B38" s="21" t="s">
        <v>826</v>
      </c>
      <c r="C38" s="21" t="e" vm="37">
        <v>#VALUE!</v>
      </c>
      <c r="D38" s="21" t="str">
        <f t="array" aca="1" ref="D38" ca="1">_FV(C38,"Industry")</f>
        <v>Machinery, Equipment &amp; Components</v>
      </c>
      <c r="E38" s="21" t="s">
        <v>86</v>
      </c>
      <c r="F38" s="21" t="s">
        <v>817</v>
      </c>
      <c r="G38" s="21" t="s">
        <v>823</v>
      </c>
      <c r="H38" s="21"/>
    </row>
    <row r="39" spans="1:8">
      <c r="A39" s="37">
        <v>46143</v>
      </c>
      <c r="B39" s="21" t="s">
        <v>827</v>
      </c>
      <c r="C39" s="21" t="e" vm="38">
        <v>#VALUE!</v>
      </c>
      <c r="D39" s="21" t="str">
        <f t="array" aca="1" ref="D39" ca="1">_FV(C39,"Industry")</f>
        <v>Automobiles &amp; Auto Parts</v>
      </c>
      <c r="E39" s="21" t="s">
        <v>86</v>
      </c>
      <c r="F39" s="21" t="s">
        <v>817</v>
      </c>
      <c r="G39" s="21" t="s">
        <v>823</v>
      </c>
      <c r="H39" s="21"/>
    </row>
    <row r="40" spans="1:8">
      <c r="A40" s="37">
        <v>46143</v>
      </c>
      <c r="B40" s="21" t="s">
        <v>828</v>
      </c>
      <c r="C40" s="21" t="e" vm="39">
        <v>#VALUE!</v>
      </c>
      <c r="D40" s="21" t="str">
        <f t="array" aca="1" ref="D40" ca="1">_FV(C40,"Industry")</f>
        <v>Machinery, Equipment &amp; Components</v>
      </c>
      <c r="E40" s="21" t="s">
        <v>86</v>
      </c>
      <c r="F40" s="21" t="s">
        <v>820</v>
      </c>
      <c r="G40" s="21" t="s">
        <v>823</v>
      </c>
      <c r="H40" s="21"/>
    </row>
    <row r="41" spans="1:8">
      <c r="A41" s="37">
        <v>46143</v>
      </c>
      <c r="B41" s="21" t="s">
        <v>829</v>
      </c>
      <c r="C41" s="21" t="e" vm="40">
        <v>#VALUE!</v>
      </c>
      <c r="D41" s="21" t="str">
        <f t="array" aca="1" ref="D41" ca="1">_FV(C41,"Industry")</f>
        <v>Chemicals</v>
      </c>
      <c r="E41" s="21" t="s">
        <v>88</v>
      </c>
      <c r="F41" s="21" t="s">
        <v>817</v>
      </c>
      <c r="G41" s="21" t="s">
        <v>823</v>
      </c>
      <c r="H41" s="21"/>
    </row>
    <row r="42" spans="1:8">
      <c r="A42" s="37">
        <v>46143</v>
      </c>
      <c r="B42" s="21" t="s">
        <v>287</v>
      </c>
      <c r="C42" s="21" t="e" vm="41">
        <v>#VALUE!</v>
      </c>
      <c r="D42" s="21" t="str">
        <f t="array" aca="1" ref="D42" ca="1">_FV(C42,"Industry")</f>
        <v>Textiles &amp; Apparel</v>
      </c>
      <c r="E42" s="21" t="s">
        <v>88</v>
      </c>
      <c r="F42" s="21" t="s">
        <v>820</v>
      </c>
      <c r="G42" s="21" t="s">
        <v>823</v>
      </c>
      <c r="H42" s="21"/>
    </row>
    <row r="43" spans="1:8">
      <c r="A43" s="37">
        <v>46143</v>
      </c>
      <c r="B43" s="21" t="s">
        <v>830</v>
      </c>
      <c r="C43" s="21" t="e" vm="42">
        <v>#VALUE!</v>
      </c>
      <c r="D43" s="21" t="str">
        <f t="array" aca="1" ref="D43" ca="1">_FV(C43,"Industry")</f>
        <v>Aerospace &amp; Defense</v>
      </c>
      <c r="E43" s="21" t="s">
        <v>86</v>
      </c>
      <c r="F43" s="21" t="s">
        <v>817</v>
      </c>
      <c r="G43" s="21" t="s">
        <v>823</v>
      </c>
      <c r="H43" s="21"/>
    </row>
    <row r="44" spans="1:8">
      <c r="A44" s="37">
        <v>46143</v>
      </c>
      <c r="B44" s="21" t="s">
        <v>831</v>
      </c>
      <c r="C44" s="21" t="e" vm="43">
        <v>#VALUE!</v>
      </c>
      <c r="D44" s="21" t="str">
        <f t="array" aca="1" ref="D44" ca="1">_FV(C44,"Industry")</f>
        <v>Banking Services</v>
      </c>
      <c r="E44" s="21" t="s">
        <v>832</v>
      </c>
      <c r="F44" s="21" t="s">
        <v>817</v>
      </c>
      <c r="G44" s="21" t="s">
        <v>823</v>
      </c>
      <c r="H44" s="21"/>
    </row>
    <row r="45" spans="1:8">
      <c r="A45" s="37">
        <v>46143</v>
      </c>
      <c r="B45" s="21" t="s">
        <v>833</v>
      </c>
      <c r="C45" s="21" t="e" vm="44">
        <v>#VALUE!</v>
      </c>
      <c r="D45" s="21" t="str">
        <f t="array" aca="1" ref="D45" ca="1">_FV(C45,"Industry")</f>
        <v>Pharmaceuticals</v>
      </c>
      <c r="E45" s="21" t="s">
        <v>87</v>
      </c>
      <c r="F45" s="21" t="s">
        <v>820</v>
      </c>
      <c r="G45" s="21" t="s">
        <v>823</v>
      </c>
      <c r="H45" s="21"/>
    </row>
    <row r="46" spans="1:8">
      <c r="A46" s="37">
        <v>46143</v>
      </c>
      <c r="B46" s="21" t="s">
        <v>290</v>
      </c>
      <c r="C46" s="21" t="e" vm="45">
        <v>#VALUE!</v>
      </c>
      <c r="D46" s="21" t="str">
        <f t="array" aca="1" ref="D46" ca="1">_FV(C46,"Industry")</f>
        <v>Food &amp; Drug Retailing</v>
      </c>
      <c r="E46" s="21" t="s">
        <v>88</v>
      </c>
      <c r="F46" s="21" t="s">
        <v>820</v>
      </c>
      <c r="G46" s="21" t="s">
        <v>823</v>
      </c>
      <c r="H46" s="21"/>
    </row>
    <row r="47" spans="1:8">
      <c r="A47" s="37">
        <v>46143</v>
      </c>
      <c r="B47" s="21" t="s">
        <v>834</v>
      </c>
      <c r="C47" s="21" t="e" vm="46">
        <v>#VALUE!</v>
      </c>
      <c r="D47" s="21" t="str">
        <f t="array" aca="1" ref="D47" ca="1">_FV(C47,"Industry")</f>
        <v>Automobiles &amp; Auto Parts</v>
      </c>
      <c r="E47" s="21" t="s">
        <v>88</v>
      </c>
      <c r="F47" s="21" t="s">
        <v>820</v>
      </c>
      <c r="G47" s="21" t="s">
        <v>823</v>
      </c>
      <c r="H47" s="21"/>
    </row>
    <row r="48" spans="1:8">
      <c r="A48" s="37">
        <v>46143</v>
      </c>
      <c r="B48" s="21" t="s">
        <v>302</v>
      </c>
      <c r="C48" s="21" t="e" vm="47">
        <v>#VALUE!</v>
      </c>
      <c r="D48" s="21" t="str">
        <f t="array" aca="1" ref="D48" ca="1">_FV(C48,"Industry")</f>
        <v>Automobiles &amp; Auto Parts</v>
      </c>
      <c r="E48" s="21" t="s">
        <v>86</v>
      </c>
      <c r="F48" s="21" t="s">
        <v>819</v>
      </c>
      <c r="G48" s="21" t="s">
        <v>823</v>
      </c>
      <c r="H48" s="21"/>
    </row>
    <row r="49" spans="1:8">
      <c r="A49" s="37">
        <v>46143</v>
      </c>
      <c r="B49" s="21" t="s">
        <v>835</v>
      </c>
      <c r="C49" s="21" t="e" vm="48">
        <v>#VALUE!</v>
      </c>
      <c r="D49" s="21" t="str">
        <f t="array" aca="1" ref="D49" ca="1">_FV(C49,"Industry")</f>
        <v>Real Estate Operations</v>
      </c>
      <c r="E49" s="21" t="s">
        <v>86</v>
      </c>
      <c r="F49" s="21" t="s">
        <v>817</v>
      </c>
      <c r="G49" s="21" t="s">
        <v>823</v>
      </c>
      <c r="H49" s="21"/>
    </row>
    <row r="50" spans="1:8">
      <c r="A50" s="37">
        <v>46143</v>
      </c>
      <c r="B50" s="21" t="s">
        <v>836</v>
      </c>
      <c r="C50" s="21" t="e" vm="49">
        <v>#VALUE!</v>
      </c>
      <c r="D50" s="21" t="str">
        <f t="array" aca="1" ref="D50" ca="1">_FV(C50,"Industry")</f>
        <v>Food &amp; Tobacco</v>
      </c>
      <c r="E50" s="21" t="s">
        <v>88</v>
      </c>
      <c r="F50" s="21" t="s">
        <v>820</v>
      </c>
      <c r="G50" s="21" t="s">
        <v>823</v>
      </c>
      <c r="H50" s="21"/>
    </row>
    <row r="51" spans="1:8">
      <c r="A51" s="37">
        <v>46143</v>
      </c>
      <c r="B51" s="21" t="s">
        <v>837</v>
      </c>
      <c r="C51" s="21" t="e" vm="50">
        <v>#VALUE!</v>
      </c>
      <c r="D51" s="21" t="str">
        <f t="array" aca="1" ref="D51" ca="1">_FV(C51,"Industry")</f>
        <v>Chemicals</v>
      </c>
      <c r="E51" s="21" t="s">
        <v>87</v>
      </c>
      <c r="F51" s="21" t="s">
        <v>817</v>
      </c>
      <c r="G51" s="21" t="s">
        <v>823</v>
      </c>
      <c r="H51" s="21"/>
    </row>
    <row r="52" spans="1:8">
      <c r="A52" s="37">
        <v>46143</v>
      </c>
      <c r="B52" s="21" t="s">
        <v>838</v>
      </c>
      <c r="C52" s="21" t="e" vm="51">
        <v>#VALUE!</v>
      </c>
      <c r="D52" s="21" t="str">
        <f t="array" aca="1" ref="D52" ca="1">_FV(C52,"Industry")</f>
        <v>Food &amp; Tobacco</v>
      </c>
      <c r="E52" s="21" t="s">
        <v>88</v>
      </c>
      <c r="F52" s="21" t="s">
        <v>820</v>
      </c>
      <c r="G52" s="21" t="s">
        <v>823</v>
      </c>
      <c r="H52" s="21"/>
    </row>
    <row r="53" spans="1:8">
      <c r="A53" s="37">
        <v>46143</v>
      </c>
      <c r="B53" s="21" t="s">
        <v>839</v>
      </c>
      <c r="C53" s="21" t="e" vm="52">
        <v>#VALUE!</v>
      </c>
      <c r="D53" s="21" t="str">
        <f t="array" aca="1" ref="D53" ca="1">_FV(C53,"Industry")</f>
        <v>Pharmaceuticals</v>
      </c>
      <c r="E53" s="21" t="s">
        <v>87</v>
      </c>
      <c r="F53" s="21" t="s">
        <v>817</v>
      </c>
      <c r="G53" s="21" t="s">
        <v>823</v>
      </c>
      <c r="H53" s="21"/>
    </row>
    <row r="54" spans="1:8">
      <c r="A54" s="37">
        <v>46143</v>
      </c>
      <c r="B54" s="21" t="s">
        <v>840</v>
      </c>
      <c r="C54" s="21" t="e" vm="53">
        <v>#VALUE!</v>
      </c>
      <c r="D54" s="21" t="str">
        <f t="array" aca="1" ref="D54" ca="1">_FV(C54,"Industry")</f>
        <v>Pharmaceuticals</v>
      </c>
      <c r="E54" s="21" t="s">
        <v>87</v>
      </c>
      <c r="F54" s="21" t="s">
        <v>820</v>
      </c>
      <c r="G54" s="21" t="s">
        <v>823</v>
      </c>
      <c r="H54" s="21"/>
    </row>
    <row r="55" spans="1:8">
      <c r="A55" s="37">
        <v>46143</v>
      </c>
      <c r="B55" s="21" t="s">
        <v>123</v>
      </c>
      <c r="C55" s="21" t="e" vm="54">
        <v>#VALUE!</v>
      </c>
      <c r="D55" s="21" t="str">
        <f t="array" aca="1" ref="D55" ca="1">_FV(C55,"Industry")</f>
        <v>Food &amp; Tobacco</v>
      </c>
      <c r="E55" s="21" t="s">
        <v>88</v>
      </c>
      <c r="F55" s="21" t="s">
        <v>817</v>
      </c>
      <c r="G55" s="21" t="s">
        <v>823</v>
      </c>
      <c r="H55" s="21"/>
    </row>
    <row r="56" spans="1:8">
      <c r="A56" s="37">
        <v>46143</v>
      </c>
      <c r="B56" s="21" t="s">
        <v>841</v>
      </c>
      <c r="C56" s="21" t="e" vm="55">
        <v>#VALUE!</v>
      </c>
      <c r="D56" s="21" t="str">
        <f t="array" aca="1" ref="D56" ca="1">_FV(C56,"Industry")</f>
        <v>Food &amp; Tobacco</v>
      </c>
      <c r="E56" s="21" t="s">
        <v>88</v>
      </c>
      <c r="F56" s="21" t="s">
        <v>817</v>
      </c>
      <c r="G56" s="21" t="s">
        <v>823</v>
      </c>
      <c r="H56" s="21"/>
    </row>
    <row r="57" spans="1:8">
      <c r="A57" s="37">
        <v>46143</v>
      </c>
      <c r="B57" s="21" t="s">
        <v>484</v>
      </c>
      <c r="C57" s="21" t="e" vm="56">
        <v>#VALUE!</v>
      </c>
      <c r="D57" s="21" t="str">
        <f t="array" aca="1" ref="D57" ca="1">_FV(C57,"Industry")</f>
        <v>Aerospace &amp; Defense</v>
      </c>
      <c r="E57" s="21" t="s">
        <v>86</v>
      </c>
      <c r="F57" s="21" t="s">
        <v>820</v>
      </c>
      <c r="G57" s="21" t="s">
        <v>823</v>
      </c>
      <c r="H57" s="21"/>
    </row>
    <row r="58" spans="1:8">
      <c r="A58" s="37">
        <v>46143</v>
      </c>
      <c r="B58" s="21" t="s">
        <v>124</v>
      </c>
      <c r="C58" s="21" t="e" vm="57">
        <v>#VALUE!</v>
      </c>
      <c r="D58" s="21" t="str">
        <f t="array" aca="1" ref="D58" ca="1">_FV(C58,"Industry")</f>
        <v>Automobiles &amp; Auto Parts</v>
      </c>
      <c r="E58" s="21" t="s">
        <v>86</v>
      </c>
      <c r="F58" s="21" t="s">
        <v>820</v>
      </c>
      <c r="G58" s="21" t="s">
        <v>823</v>
      </c>
      <c r="H58" s="21"/>
    </row>
    <row r="59" spans="1:8">
      <c r="A59" s="37">
        <v>46143</v>
      </c>
      <c r="B59" s="21" t="s">
        <v>394</v>
      </c>
      <c r="C59" s="21" t="e" vm="58">
        <v>#VALUE!</v>
      </c>
      <c r="D59" s="21" t="str">
        <f t="array" aca="1" ref="D59" ca="1">_FV(C59,"Industry")</f>
        <v>Banking Services</v>
      </c>
      <c r="E59" s="21" t="s">
        <v>832</v>
      </c>
      <c r="F59" s="21" t="s">
        <v>819</v>
      </c>
      <c r="G59" s="21" t="s">
        <v>823</v>
      </c>
      <c r="H59" s="21"/>
    </row>
    <row r="60" spans="1:8">
      <c r="A60" s="37">
        <v>46143</v>
      </c>
      <c r="B60" s="21" t="s">
        <v>842</v>
      </c>
      <c r="C60" s="21" t="e" vm="59">
        <v>#VALUE!</v>
      </c>
      <c r="D60" s="21" t="str">
        <f t="array" aca="1" ref="D60" ca="1">_FV(C60,"Industry")</f>
        <v>Automobiles &amp; Auto Parts</v>
      </c>
      <c r="E60" s="21" t="s">
        <v>88</v>
      </c>
      <c r="F60" s="21" t="s">
        <v>820</v>
      </c>
      <c r="G60" s="21" t="s">
        <v>823</v>
      </c>
      <c r="H60" s="21"/>
    </row>
    <row r="61" spans="1:8">
      <c r="A61" s="37">
        <v>46143</v>
      </c>
      <c r="B61" s="21" t="s">
        <v>843</v>
      </c>
      <c r="C61" s="21" t="e" vm="60">
        <v>#VALUE!</v>
      </c>
      <c r="D61" s="21" t="str">
        <f t="array" aca="1" ref="D61" ca="1">_FV(C61,"Industry")</f>
        <v>Automobiles &amp; Auto Parts</v>
      </c>
      <c r="E61" s="21" t="s">
        <v>86</v>
      </c>
      <c r="F61" s="21" t="s">
        <v>817</v>
      </c>
      <c r="G61" s="21" t="s">
        <v>823</v>
      </c>
      <c r="H61" s="21"/>
    </row>
    <row r="62" spans="1:8">
      <c r="A62" s="37">
        <v>46143</v>
      </c>
      <c r="B62" s="21" t="s">
        <v>844</v>
      </c>
      <c r="C62" s="21" t="e" vm="61">
        <v>#VALUE!</v>
      </c>
      <c r="D62" s="21" t="str">
        <f t="array" aca="1" ref="D62" ca="1">_FV(C62,"Industry")</f>
        <v>Pharmaceuticals</v>
      </c>
      <c r="E62" s="21" t="s">
        <v>87</v>
      </c>
      <c r="F62" s="21" t="s">
        <v>819</v>
      </c>
      <c r="G62" s="21" t="s">
        <v>823</v>
      </c>
      <c r="H62" s="21"/>
    </row>
    <row r="63" spans="1:8">
      <c r="A63" s="37">
        <v>46143</v>
      </c>
      <c r="B63" s="40" t="s">
        <v>845</v>
      </c>
      <c r="C63" s="21" t="e" vm="62">
        <v>#VALUE!</v>
      </c>
      <c r="D63" s="21" t="str">
        <f t="array" aca="1" ref="D63" ca="1">_FV(C63,"Industry")</f>
        <v>Machinery, Equipment &amp; Components</v>
      </c>
      <c r="E63" s="21" t="s">
        <v>821</v>
      </c>
      <c r="F63" s="21" t="s">
        <v>817</v>
      </c>
      <c r="G63" s="21" t="s">
        <v>846</v>
      </c>
      <c r="H63" s="21"/>
    </row>
    <row r="64" spans="1:8">
      <c r="A64" s="37">
        <v>46143</v>
      </c>
      <c r="B64" s="21" t="s">
        <v>847</v>
      </c>
      <c r="C64" s="21" t="e" vm="63">
        <v>#VALUE!</v>
      </c>
      <c r="D64" s="21" t="str">
        <f t="array" aca="1" ref="D64" ca="1">_FV(C64,"Industry")</f>
        <v>Software &amp; IT Services</v>
      </c>
      <c r="E64" s="21" t="s">
        <v>821</v>
      </c>
      <c r="F64" s="21" t="s">
        <v>817</v>
      </c>
      <c r="G64" s="21" t="s">
        <v>846</v>
      </c>
      <c r="H64" s="21"/>
    </row>
    <row r="65" spans="1:8">
      <c r="A65" s="37">
        <v>46143</v>
      </c>
      <c r="B65" s="21" t="s">
        <v>848</v>
      </c>
      <c r="C65" s="21" t="e" vm="64">
        <v>#VALUE!</v>
      </c>
      <c r="D65" s="21" t="str">
        <f t="array" aca="1" ref="D65" ca="1">_FV(C65,"Industry")</f>
        <v>Diversified Retail</v>
      </c>
      <c r="E65" s="21" t="s">
        <v>88</v>
      </c>
      <c r="F65" s="21" t="s">
        <v>820</v>
      </c>
      <c r="G65" s="21" t="s">
        <v>846</v>
      </c>
      <c r="H65" s="21"/>
    </row>
    <row r="66" spans="1:8">
      <c r="A66" s="37">
        <v>46143</v>
      </c>
      <c r="B66" s="21" t="s">
        <v>849</v>
      </c>
      <c r="C66" s="21" t="e" vm="65">
        <v>#VALUE!</v>
      </c>
      <c r="D66" s="21" t="str">
        <f t="array" aca="1" ref="D66" ca="1">_FV(C66,"Industry")</f>
        <v>Machinery, Equipment &amp; Components</v>
      </c>
      <c r="E66" s="21" t="s">
        <v>88</v>
      </c>
      <c r="F66" s="21" t="s">
        <v>817</v>
      </c>
      <c r="G66" s="21" t="s">
        <v>846</v>
      </c>
      <c r="H66" s="21"/>
    </row>
    <row r="67" spans="1:8">
      <c r="A67" s="37">
        <v>46143</v>
      </c>
      <c r="B67" s="21" t="s">
        <v>850</v>
      </c>
      <c r="C67" s="21" t="e" vm="66">
        <v>#VALUE!</v>
      </c>
      <c r="D67" s="21" t="str">
        <f t="array" aca="1" ref="D67" ca="1">_FV(C67,"Industry")</f>
        <v>Healthcare Equipment &amp; Supplies</v>
      </c>
      <c r="E67" s="21" t="s">
        <v>87</v>
      </c>
      <c r="F67" s="21" t="s">
        <v>817</v>
      </c>
      <c r="G67" s="21" t="s">
        <v>846</v>
      </c>
      <c r="H67" s="21"/>
    </row>
    <row r="68" spans="1:8">
      <c r="A68" s="37">
        <v>46143</v>
      </c>
      <c r="B68" s="21" t="s">
        <v>851</v>
      </c>
      <c r="C68" s="21" t="e" vm="67">
        <v>#VALUE!</v>
      </c>
      <c r="D68" s="21" t="str">
        <f t="array" aca="1" ref="D68" ca="1">_FV(C68,"Industry")</f>
        <v>Machinery, Equipment &amp; Components</v>
      </c>
      <c r="E68" s="21" t="s">
        <v>86</v>
      </c>
      <c r="F68" s="21" t="s">
        <v>817</v>
      </c>
      <c r="G68" s="21" t="s">
        <v>846</v>
      </c>
      <c r="H68" s="21"/>
    </row>
    <row r="69" spans="1:8">
      <c r="A69" s="37">
        <v>46143</v>
      </c>
      <c r="B69" s="21" t="s">
        <v>852</v>
      </c>
      <c r="C69" s="21" t="e" vm="68">
        <v>#VALUE!</v>
      </c>
      <c r="D69" s="21" t="str">
        <f t="array" aca="1" ref="D69" ca="1">_FV(C69,"Industry")</f>
        <v>Personal &amp; Household Products &amp; Services</v>
      </c>
      <c r="E69" s="21" t="s">
        <v>88</v>
      </c>
      <c r="F69" s="21" t="s">
        <v>819</v>
      </c>
      <c r="G69" s="21" t="s">
        <v>846</v>
      </c>
      <c r="H69" s="21"/>
    </row>
    <row r="70" spans="1:8">
      <c r="A70" s="37">
        <v>46143</v>
      </c>
      <c r="B70" s="21" t="s">
        <v>853</v>
      </c>
      <c r="C70" s="21" t="e" vm="69">
        <v>#VALUE!</v>
      </c>
      <c r="D70" s="21" t="str">
        <f t="array" aca="1" ref="D70" ca="1">_FV(C70,"Industry")</f>
        <v>Chemicals</v>
      </c>
      <c r="E70" s="21" t="s">
        <v>87</v>
      </c>
      <c r="F70" s="21" t="s">
        <v>817</v>
      </c>
      <c r="G70" s="21" t="s">
        <v>846</v>
      </c>
      <c r="H70" s="21"/>
    </row>
    <row r="71" spans="1:8">
      <c r="A71" s="37">
        <v>46143</v>
      </c>
      <c r="B71" s="21" t="s">
        <v>854</v>
      </c>
      <c r="C71" s="21" t="e" vm="70">
        <v>#VALUE!</v>
      </c>
      <c r="D71" s="21" t="str">
        <f t="array" aca="1" ref="D71" ca="1">_FV(C71,"Industry")</f>
        <v>Pharmaceuticals</v>
      </c>
      <c r="E71" s="21" t="s">
        <v>87</v>
      </c>
      <c r="F71" s="21" t="s">
        <v>819</v>
      </c>
      <c r="G71" s="21" t="s">
        <v>846</v>
      </c>
      <c r="H71" s="21"/>
    </row>
    <row r="72" spans="1:8">
      <c r="A72" s="37">
        <v>46143</v>
      </c>
      <c r="B72" s="21" t="s">
        <v>855</v>
      </c>
      <c r="C72" s="21" t="e" vm="71">
        <v>#VALUE!</v>
      </c>
      <c r="D72" s="21" t="str">
        <f t="array" aca="1" ref="D72" ca="1">_FV(C72,"Industry")</f>
        <v>Software &amp; IT Services</v>
      </c>
      <c r="E72" s="21" t="s">
        <v>821</v>
      </c>
      <c r="F72" s="21" t="s">
        <v>817</v>
      </c>
      <c r="G72" s="21" t="s">
        <v>846</v>
      </c>
      <c r="H72" s="21"/>
    </row>
    <row r="73" spans="1:8">
      <c r="A73" s="37">
        <v>46143</v>
      </c>
      <c r="B73" s="21" t="s">
        <v>856</v>
      </c>
      <c r="C73" s="21" t="e" vm="72">
        <v>#VALUE!</v>
      </c>
      <c r="D73" s="21" t="str">
        <f t="array" aca="1" ref="D73" ca="1">_FV(C73,"Industry")</f>
        <v>Software &amp; IT Services</v>
      </c>
      <c r="E73" s="21" t="s">
        <v>821</v>
      </c>
      <c r="F73" s="21" t="s">
        <v>817</v>
      </c>
      <c r="G73" s="21" t="s">
        <v>846</v>
      </c>
      <c r="H73" s="21"/>
    </row>
    <row r="74" spans="1:8">
      <c r="A74" s="37">
        <v>46143</v>
      </c>
      <c r="B74" s="21" t="s">
        <v>182</v>
      </c>
      <c r="C74" s="21" t="e" vm="73">
        <v>#VALUE!</v>
      </c>
      <c r="D74" s="21" t="str">
        <f t="array" aca="1" ref="D74" ca="1">_FV(C74,"Industry")</f>
        <v>Chemicals</v>
      </c>
      <c r="E74" s="21" t="s">
        <v>87</v>
      </c>
      <c r="F74" s="21" t="s">
        <v>817</v>
      </c>
      <c r="G74" s="21" t="s">
        <v>846</v>
      </c>
      <c r="H74" s="21"/>
    </row>
    <row r="75" spans="1:8">
      <c r="A75" s="37">
        <v>46143</v>
      </c>
      <c r="B75" s="21" t="s">
        <v>857</v>
      </c>
      <c r="C75" s="21" t="e" vm="74">
        <v>#VALUE!</v>
      </c>
      <c r="D75" s="21" t="str">
        <f t="array" aca="1" ref="D75" ca="1">_FV(C75,"Industry")</f>
        <v>Machinery, Equipment &amp; Components</v>
      </c>
      <c r="E75" s="21" t="s">
        <v>86</v>
      </c>
      <c r="F75" s="21" t="s">
        <v>817</v>
      </c>
      <c r="G75" s="21" t="s">
        <v>846</v>
      </c>
      <c r="H75" s="21"/>
    </row>
    <row r="76" spans="1:8">
      <c r="A76" s="37">
        <v>46143</v>
      </c>
      <c r="B76" s="21" t="s">
        <v>858</v>
      </c>
      <c r="C76" s="21" t="e" vm="75">
        <v>#VALUE!</v>
      </c>
      <c r="D76" s="21" t="str">
        <f t="array" aca="1" ref="D76" ca="1">_FV(C76,"Industry")</f>
        <v>Software &amp; IT Services</v>
      </c>
      <c r="E76" s="21" t="s">
        <v>821</v>
      </c>
      <c r="F76" s="21" t="s">
        <v>819</v>
      </c>
      <c r="G76" s="21" t="s">
        <v>846</v>
      </c>
      <c r="H76" s="21"/>
    </row>
    <row r="77" spans="1:8">
      <c r="A77" s="37">
        <v>46143</v>
      </c>
      <c r="B77" s="21" t="s">
        <v>859</v>
      </c>
      <c r="C77" s="21" t="e" vm="76">
        <v>#VALUE!</v>
      </c>
      <c r="D77" s="21" t="str">
        <f t="array" aca="1" ref="D77" ca="1">_FV(C77,"Industry")</f>
        <v>Machinery, Equipment &amp; Components</v>
      </c>
      <c r="E77" s="21" t="s">
        <v>86</v>
      </c>
      <c r="F77" s="21" t="s">
        <v>817</v>
      </c>
      <c r="G77" s="21" t="s">
        <v>846</v>
      </c>
      <c r="H77" s="21"/>
    </row>
    <row r="78" spans="1:8">
      <c r="A78" s="37">
        <v>46143</v>
      </c>
      <c r="B78" s="21" t="s">
        <v>860</v>
      </c>
      <c r="C78" s="21" t="e" vm="77">
        <v>#VALUE!</v>
      </c>
      <c r="D78" s="21" t="str">
        <f t="array" aca="1" ref="D78" ca="1">_FV(C78,"Industry")</f>
        <v>Food &amp; Tobacco</v>
      </c>
      <c r="E78" s="21" t="s">
        <v>88</v>
      </c>
      <c r="F78" s="21" t="s">
        <v>817</v>
      </c>
      <c r="G78" s="21" t="s">
        <v>846</v>
      </c>
      <c r="H78" s="21"/>
    </row>
    <row r="79" spans="1:8">
      <c r="A79" s="37">
        <v>46143</v>
      </c>
      <c r="B79" s="21" t="s">
        <v>279</v>
      </c>
      <c r="C79" s="21" t="e" vm="78">
        <v>#VALUE!</v>
      </c>
      <c r="D79" s="21" t="str">
        <f t="array" aca="1" ref="D79" ca="1">_FV(C79,"Industry")</f>
        <v>Pharmaceuticals</v>
      </c>
      <c r="E79" s="21" t="s">
        <v>87</v>
      </c>
      <c r="F79" s="21" t="s">
        <v>820</v>
      </c>
      <c r="G79" s="21" t="s">
        <v>846</v>
      </c>
      <c r="H79" s="21"/>
    </row>
    <row r="80" spans="1:8">
      <c r="A80" s="37">
        <v>46143</v>
      </c>
      <c r="B80" s="21" t="s">
        <v>861</v>
      </c>
      <c r="C80" s="21" t="e" vm="79">
        <v>#VALUE!</v>
      </c>
      <c r="D80" s="21" t="str">
        <f t="array" aca="1" ref="D80" ca="1">_FV(C80,"Industry")</f>
        <v>Food &amp; Tobacco</v>
      </c>
      <c r="E80" s="21" t="s">
        <v>88</v>
      </c>
      <c r="F80" s="21" t="s">
        <v>820</v>
      </c>
      <c r="G80" s="21" t="s">
        <v>846</v>
      </c>
      <c r="H80" s="21"/>
    </row>
    <row r="81" spans="1:8">
      <c r="A81" s="37">
        <v>46143</v>
      </c>
      <c r="B81" s="21" t="s">
        <v>862</v>
      </c>
      <c r="C81" s="21" t="e" vm="80">
        <v>#VALUE!</v>
      </c>
      <c r="D81" s="21" t="str">
        <f t="array" aca="1" ref="D81" ca="1">_FV(C81,"Industry")</f>
        <v>Personal &amp; Household Products &amp; Services</v>
      </c>
      <c r="E81" s="21" t="s">
        <v>88</v>
      </c>
      <c r="F81" s="21" t="s">
        <v>817</v>
      </c>
      <c r="G81" s="21" t="s">
        <v>846</v>
      </c>
      <c r="H81" s="21"/>
    </row>
    <row r="82" spans="1:8">
      <c r="A82" s="37">
        <v>46143</v>
      </c>
      <c r="B82" s="21" t="s">
        <v>863</v>
      </c>
      <c r="C82" s="21" t="e" vm="81">
        <v>#VALUE!</v>
      </c>
      <c r="D82" s="21" t="str">
        <f t="array" aca="1" ref="D82" ca="1">_FV(C82,"Industry")</f>
        <v>Media &amp; Publishing</v>
      </c>
      <c r="E82" s="21" t="s">
        <v>821</v>
      </c>
      <c r="F82" s="21" t="s">
        <v>817</v>
      </c>
      <c r="G82" s="21" t="s">
        <v>846</v>
      </c>
      <c r="H82" s="21"/>
    </row>
    <row r="83" spans="1:8">
      <c r="A83" s="37">
        <v>46143</v>
      </c>
      <c r="B83" s="21" t="s">
        <v>864</v>
      </c>
      <c r="C83" s="21" t="e" vm="82">
        <v>#VALUE!</v>
      </c>
      <c r="D83" s="21" t="str">
        <f t="array" aca="1" ref="D83" ca="1">_FV(C83,"Industry")</f>
        <v>Chemicals</v>
      </c>
      <c r="E83" s="21" t="s">
        <v>88</v>
      </c>
      <c r="F83" s="21" t="s">
        <v>820</v>
      </c>
      <c r="G83" s="21" t="s">
        <v>846</v>
      </c>
      <c r="H83" s="21"/>
    </row>
    <row r="84" spans="1:8">
      <c r="A84" s="37">
        <v>46143</v>
      </c>
      <c r="B84" s="21" t="s">
        <v>865</v>
      </c>
      <c r="C84" s="21" t="e" vm="83">
        <v>#VALUE!</v>
      </c>
      <c r="D84" s="21" t="str">
        <f t="array" aca="1" ref="D84" ca="1">_FV(C84,"Industry")</f>
        <v>Chemicals</v>
      </c>
      <c r="E84" s="21" t="s">
        <v>87</v>
      </c>
      <c r="F84" s="21" t="s">
        <v>817</v>
      </c>
      <c r="G84" s="21" t="s">
        <v>846</v>
      </c>
      <c r="H84" s="21"/>
    </row>
    <row r="85" spans="1:8">
      <c r="A85" s="37">
        <v>46143</v>
      </c>
      <c r="B85" s="21" t="s">
        <v>866</v>
      </c>
      <c r="C85" s="21" t="e" vm="84">
        <v>#VALUE!</v>
      </c>
      <c r="D85" s="21" t="str">
        <f t="array" aca="1" ref="D85" ca="1">_FV(C85,"Industry")</f>
        <v>Homebuilding &amp; Construction Supplies</v>
      </c>
      <c r="E85" s="21" t="s">
        <v>88</v>
      </c>
      <c r="F85" s="21" t="s">
        <v>819</v>
      </c>
      <c r="G85" s="21" t="s">
        <v>846</v>
      </c>
      <c r="H85" s="21"/>
    </row>
    <row r="86" spans="1:8">
      <c r="A86" s="37">
        <v>46143</v>
      </c>
      <c r="B86" s="21" t="s">
        <v>867</v>
      </c>
      <c r="C86" s="21" t="e" vm="85">
        <v>#VALUE!</v>
      </c>
      <c r="D86" s="21" t="str">
        <f t="array" aca="1" ref="D86" ca="1">_FV(C86,"Industry")</f>
        <v>Automobiles &amp; Auto Parts</v>
      </c>
      <c r="E86" s="21" t="s">
        <v>86</v>
      </c>
      <c r="F86" s="21" t="s">
        <v>819</v>
      </c>
      <c r="G86" s="21" t="s">
        <v>846</v>
      </c>
      <c r="H86" s="21"/>
    </row>
    <row r="87" spans="1:8">
      <c r="A87" s="37">
        <v>46143</v>
      </c>
      <c r="B87" s="21" t="s">
        <v>868</v>
      </c>
      <c r="C87" s="21" t="e" vm="86">
        <v>#VALUE!</v>
      </c>
      <c r="D87" s="21" t="str">
        <f t="array" aca="1" ref="D87" ca="1">_FV(C87,"Industry")</f>
        <v>Banking Services</v>
      </c>
      <c r="E87" s="21" t="s">
        <v>832</v>
      </c>
      <c r="F87" s="21" t="s">
        <v>820</v>
      </c>
      <c r="G87" s="21" t="s">
        <v>846</v>
      </c>
      <c r="H87" s="21"/>
    </row>
    <row r="88" spans="1:8">
      <c r="A88" s="37">
        <v>46143</v>
      </c>
      <c r="B88" s="21" t="s">
        <v>869</v>
      </c>
      <c r="C88" s="21" t="e" vm="87">
        <v>#VALUE!</v>
      </c>
      <c r="D88" s="21" t="str">
        <f t="array" aca="1" ref="D88" ca="1">_FV(C88,"Industry")</f>
        <v>Chemicals</v>
      </c>
      <c r="E88" s="21" t="s">
        <v>87</v>
      </c>
      <c r="F88" s="21" t="s">
        <v>817</v>
      </c>
      <c r="G88" s="21" t="s">
        <v>846</v>
      </c>
      <c r="H88" s="21"/>
    </row>
    <row r="89" spans="1:8">
      <c r="A89" s="37">
        <v>46143</v>
      </c>
      <c r="B89" s="21" t="s">
        <v>870</v>
      </c>
      <c r="C89" s="21" t="e" vm="88">
        <v>#VALUE!</v>
      </c>
      <c r="D89" s="21" t="str">
        <f t="array" aca="1" ref="D89" ca="1">_FV(C89,"Industry")</f>
        <v>Machinery, Equipment &amp; Components</v>
      </c>
      <c r="E89" s="21" t="s">
        <v>86</v>
      </c>
      <c r="F89" s="21" t="s">
        <v>817</v>
      </c>
      <c r="G89" s="21" t="s">
        <v>846</v>
      </c>
      <c r="H89" s="21"/>
    </row>
    <row r="90" spans="1:8">
      <c r="A90" s="37">
        <v>46143</v>
      </c>
      <c r="B90" s="21" t="s">
        <v>871</v>
      </c>
      <c r="C90" s="21" t="e" vm="89">
        <v>#VALUE!</v>
      </c>
      <c r="D90" s="21" t="str">
        <f t="array" aca="1" ref="D90" ca="1">_FV(C90,"Industry")</f>
        <v>Pharmaceuticals</v>
      </c>
      <c r="E90" s="21" t="s">
        <v>87</v>
      </c>
      <c r="F90" s="21" t="s">
        <v>817</v>
      </c>
      <c r="G90" s="21" t="s">
        <v>846</v>
      </c>
      <c r="H90" s="21"/>
    </row>
    <row r="91" spans="1:8">
      <c r="A91" s="37">
        <v>46143</v>
      </c>
      <c r="B91" s="21" t="s">
        <v>872</v>
      </c>
      <c r="C91" s="21" t="e" vm="90">
        <v>#VALUE!</v>
      </c>
      <c r="D91" s="21" t="str">
        <f t="array" aca="1" ref="D91" ca="1">_FV(C91,"Industry")</f>
        <v>Aerospace &amp; Defense</v>
      </c>
      <c r="E91" s="21" t="s">
        <v>86</v>
      </c>
      <c r="F91" s="21" t="s">
        <v>820</v>
      </c>
      <c r="G91" s="21" t="s">
        <v>846</v>
      </c>
      <c r="H91" s="21"/>
    </row>
    <row r="92" spans="1:8">
      <c r="A92" s="37">
        <v>46143</v>
      </c>
      <c r="B92" s="21" t="s">
        <v>873</v>
      </c>
      <c r="C92" s="21" t="e" vm="91">
        <v>#VALUE!</v>
      </c>
      <c r="D92" s="21" t="str">
        <f t="array" aca="1" ref="D92" ca="1">_FV(C92,"Industry")</f>
        <v>Food &amp; Tobacco</v>
      </c>
      <c r="E92" s="21" t="s">
        <v>88</v>
      </c>
      <c r="F92" s="21" t="s">
        <v>817</v>
      </c>
      <c r="G92" s="21" t="s">
        <v>846</v>
      </c>
      <c r="H92" s="21"/>
    </row>
    <row r="93" spans="1:8">
      <c r="A93" s="37">
        <v>46143</v>
      </c>
      <c r="B93" s="21" t="s">
        <v>874</v>
      </c>
      <c r="C93" s="21" t="e" vm="92">
        <v>#VALUE!</v>
      </c>
      <c r="D93" s="21" t="str">
        <f t="array" aca="1" ref="D93" ca="1">_FV(C93,"Industry")</f>
        <v>Professional &amp; Commercial Services</v>
      </c>
      <c r="E93" s="21" t="s">
        <v>86</v>
      </c>
      <c r="F93" s="21" t="s">
        <v>817</v>
      </c>
      <c r="G93" s="21" t="s">
        <v>846</v>
      </c>
      <c r="H93" s="21"/>
    </row>
    <row r="94" spans="1:8">
      <c r="A94" s="37">
        <v>46143</v>
      </c>
      <c r="B94" s="21" t="s">
        <v>875</v>
      </c>
      <c r="C94" s="21" t="e" vm="93">
        <v>#VALUE!</v>
      </c>
      <c r="D94" s="21" t="str">
        <f t="array" aca="1" ref="D94" ca="1">_FV(C94,"Industry")</f>
        <v>Software &amp; IT Services</v>
      </c>
      <c r="E94" s="21" t="s">
        <v>821</v>
      </c>
      <c r="F94" s="21" t="s">
        <v>817</v>
      </c>
      <c r="G94" s="21" t="s">
        <v>846</v>
      </c>
      <c r="H94" s="21"/>
    </row>
    <row r="95" spans="1:8">
      <c r="A95" s="37">
        <v>46143</v>
      </c>
      <c r="B95" s="21" t="s">
        <v>876</v>
      </c>
      <c r="C95" s="21" t="e" vm="94">
        <v>#VALUE!</v>
      </c>
      <c r="D95" s="21" t="str">
        <f t="array" aca="1" ref="D95" ca="1">_FV(C95,"Industry")</f>
        <v>Software &amp; IT Services</v>
      </c>
      <c r="E95" s="21" t="s">
        <v>821</v>
      </c>
      <c r="F95" s="21" t="s">
        <v>820</v>
      </c>
      <c r="G95" s="21" t="s">
        <v>846</v>
      </c>
      <c r="H95" s="21"/>
    </row>
    <row r="96" spans="1:8">
      <c r="A96" s="37">
        <v>46143</v>
      </c>
      <c r="B96" s="21" t="s">
        <v>224</v>
      </c>
      <c r="C96" s="21" t="e" vm="95">
        <v>#VALUE!</v>
      </c>
      <c r="D96" s="21" t="str">
        <f t="array" aca="1" ref="D96" ca="1">_FV(C96,"Industry")</f>
        <v>Containers &amp; Packaging</v>
      </c>
      <c r="E96" s="21" t="s">
        <v>88</v>
      </c>
      <c r="F96" s="21" t="s">
        <v>817</v>
      </c>
      <c r="G96" s="21" t="s">
        <v>846</v>
      </c>
      <c r="H96" s="21"/>
    </row>
    <row r="97" spans="1:8">
      <c r="A97" s="37">
        <v>46143</v>
      </c>
      <c r="B97" s="21" t="s">
        <v>877</v>
      </c>
      <c r="C97" s="21" t="e" vm="96">
        <v>#VALUE!</v>
      </c>
      <c r="D97" s="21" t="str">
        <f t="array" aca="1" ref="D97" ca="1">_FV(C97,"Industry")</f>
        <v>Textiles &amp; Apparel</v>
      </c>
      <c r="E97" s="21" t="s">
        <v>88</v>
      </c>
      <c r="F97" s="21" t="s">
        <v>819</v>
      </c>
      <c r="G97" s="21" t="s">
        <v>846</v>
      </c>
      <c r="H97" s="21"/>
    </row>
    <row r="98" spans="1:8">
      <c r="A98" s="37">
        <v>46143</v>
      </c>
      <c r="B98" s="21" t="s">
        <v>878</v>
      </c>
      <c r="C98" s="21" t="e" vm="97">
        <v>#VALUE!</v>
      </c>
      <c r="D98" s="21" t="str">
        <f t="array" aca="1" ref="D98" ca="1">_FV(C98,"Industry")</f>
        <v>Software &amp; IT Services</v>
      </c>
      <c r="E98" s="21" t="s">
        <v>821</v>
      </c>
      <c r="F98" s="21" t="s">
        <v>819</v>
      </c>
      <c r="G98" s="21" t="s">
        <v>846</v>
      </c>
      <c r="H98" s="21"/>
    </row>
    <row r="99" spans="1:8">
      <c r="A99" s="37">
        <v>46143</v>
      </c>
      <c r="B99" s="21" t="s">
        <v>879</v>
      </c>
      <c r="C99" s="21" t="e" vm="98">
        <v>#VALUE!</v>
      </c>
      <c r="D99" s="21" t="str">
        <f t="array" aca="1" ref="D99" ca="1">_FV(C99,"Industry")</f>
        <v>Chemicals</v>
      </c>
      <c r="E99" s="21" t="s">
        <v>87</v>
      </c>
      <c r="F99" s="21" t="s">
        <v>819</v>
      </c>
      <c r="G99" s="21" t="s">
        <v>846</v>
      </c>
      <c r="H99" s="21"/>
    </row>
    <row r="100" spans="1:8">
      <c r="A100" s="37">
        <v>46143</v>
      </c>
      <c r="B100" s="21" t="s">
        <v>305</v>
      </c>
      <c r="C100" s="21" t="e" vm="99">
        <v>#VALUE!</v>
      </c>
      <c r="D100" s="21" t="str">
        <f t="array" aca="1" ref="D100" ca="1">_FV(C100,"Industry")</f>
        <v>Chemicals</v>
      </c>
      <c r="E100" s="21" t="s">
        <v>87</v>
      </c>
      <c r="F100" s="21" t="s">
        <v>820</v>
      </c>
      <c r="G100" s="21" t="s">
        <v>846</v>
      </c>
      <c r="H100" s="21"/>
    </row>
    <row r="101" spans="1:8">
      <c r="A101" s="37">
        <v>46143</v>
      </c>
      <c r="B101" s="21" t="s">
        <v>510</v>
      </c>
      <c r="C101" s="21" t="e" vm="100">
        <v>#VALUE!</v>
      </c>
      <c r="D101" s="21" t="str">
        <f t="array" aca="1" ref="D101" ca="1">_FV(C101,"Industry")</f>
        <v>Metals &amp; Mining</v>
      </c>
      <c r="E101" s="21" t="s">
        <v>86</v>
      </c>
      <c r="F101" s="21" t="s">
        <v>817</v>
      </c>
      <c r="G101" s="21" t="s">
        <v>846</v>
      </c>
      <c r="H101" s="21"/>
    </row>
    <row r="102" spans="1:8">
      <c r="A102" s="37">
        <v>46143</v>
      </c>
      <c r="B102" s="21" t="s">
        <v>880</v>
      </c>
      <c r="C102" s="21" t="e" vm="101">
        <v>#VALUE!</v>
      </c>
      <c r="D102" s="21" t="str">
        <f t="array" aca="1" ref="D102" ca="1">_FV(C102,"Industry")</f>
        <v>Construction Materials</v>
      </c>
      <c r="E102" s="21" t="s">
        <v>86</v>
      </c>
      <c r="F102" s="21" t="s">
        <v>817</v>
      </c>
      <c r="G102" s="21" t="s">
        <v>846</v>
      </c>
      <c r="H102" s="21"/>
    </row>
    <row r="103" spans="1:8">
      <c r="A103" s="37">
        <v>46143</v>
      </c>
      <c r="B103" s="21" t="s">
        <v>881</v>
      </c>
      <c r="C103" s="21" t="e" vm="102">
        <v>#VALUE!</v>
      </c>
      <c r="D103" s="21" t="str">
        <f t="array" aca="1" ref="D103" ca="1">_FV(C103,"Industry")</f>
        <v>Software &amp; IT Services</v>
      </c>
      <c r="E103" s="21" t="s">
        <v>821</v>
      </c>
      <c r="F103" s="21" t="s">
        <v>817</v>
      </c>
      <c r="G103" s="21" t="s">
        <v>846</v>
      </c>
      <c r="H103" s="21"/>
    </row>
    <row r="104" spans="1:8">
      <c r="A104" s="37">
        <v>46143</v>
      </c>
      <c r="B104" s="21" t="s">
        <v>882</v>
      </c>
      <c r="C104" s="21" t="e" vm="103">
        <v>#VALUE!</v>
      </c>
      <c r="D104" s="21" t="str">
        <f t="array" aca="1" ref="D104" ca="1">_FV(C104,"Industry")</f>
        <v>Chemicals</v>
      </c>
      <c r="E104" s="21" t="s">
        <v>87</v>
      </c>
      <c r="F104" s="21" t="s">
        <v>819</v>
      </c>
      <c r="G104" s="21" t="s">
        <v>846</v>
      </c>
      <c r="H104" s="21"/>
    </row>
    <row r="105" spans="1:8">
      <c r="A105" s="37">
        <v>46143</v>
      </c>
      <c r="B105" s="21" t="s">
        <v>883</v>
      </c>
      <c r="C105" s="21" t="e" vm="104">
        <v>#VALUE!</v>
      </c>
      <c r="D105" s="21" t="str">
        <f t="array" aca="1" ref="D105" ca="1">_FV(C105,"Industry")</f>
        <v>Chemicals</v>
      </c>
      <c r="E105" s="21" t="s">
        <v>87</v>
      </c>
      <c r="F105" s="21" t="s">
        <v>817</v>
      </c>
      <c r="G105" s="21" t="s">
        <v>846</v>
      </c>
      <c r="H105" s="21"/>
    </row>
    <row r="106" spans="1:8">
      <c r="A106" s="37">
        <v>46143</v>
      </c>
      <c r="B106" s="21" t="s">
        <v>284</v>
      </c>
      <c r="C106" s="21" t="e" vm="105">
        <v>#VALUE!</v>
      </c>
      <c r="D106" s="21" t="str">
        <f t="array" aca="1" ref="D106" ca="1">_FV(C106,"Industry")</f>
        <v>Chemicals</v>
      </c>
      <c r="E106" s="21" t="s">
        <v>86</v>
      </c>
      <c r="F106" s="21" t="s">
        <v>819</v>
      </c>
      <c r="G106" s="21" t="s">
        <v>846</v>
      </c>
      <c r="H106" s="21"/>
    </row>
    <row r="107" spans="1:8">
      <c r="A107" s="37">
        <v>46143</v>
      </c>
      <c r="B107" s="21" t="s">
        <v>884</v>
      </c>
      <c r="C107" s="21" t="e" vm="106">
        <v>#VALUE!</v>
      </c>
      <c r="D107" s="21" t="str">
        <f t="array" aca="1" ref="D107" ca="1">_FV(C107,"Industry")</f>
        <v>Software &amp; IT Services</v>
      </c>
      <c r="E107" s="21" t="s">
        <v>821</v>
      </c>
      <c r="F107" s="21" t="s">
        <v>817</v>
      </c>
      <c r="G107" s="21" t="s">
        <v>846</v>
      </c>
      <c r="H107" s="21"/>
    </row>
    <row r="108" spans="1:8">
      <c r="A108" s="37">
        <v>46143</v>
      </c>
      <c r="B108" s="21" t="s">
        <v>885</v>
      </c>
      <c r="C108" s="21" t="e" vm="107">
        <v>#VALUE!</v>
      </c>
      <c r="D108" s="21" t="str">
        <f t="array" aca="1" ref="D108" ca="1">_FV(C108,"Industry")</f>
        <v>Freight &amp; Logistics Services</v>
      </c>
      <c r="E108" s="21" t="s">
        <v>88</v>
      </c>
      <c r="F108" s="21" t="s">
        <v>817</v>
      </c>
      <c r="G108" s="21" t="s">
        <v>846</v>
      </c>
      <c r="H108" s="21"/>
    </row>
    <row r="109" spans="1:8">
      <c r="A109" s="37">
        <v>46143</v>
      </c>
      <c r="B109" s="21" t="s">
        <v>886</v>
      </c>
      <c r="C109" s="21" t="e" vm="108">
        <v>#VALUE!</v>
      </c>
      <c r="D109" s="21" t="str">
        <f t="array" aca="1" ref="D109" ca="1">_FV(C109,"Industry")</f>
        <v>Automobiles &amp; Auto Parts</v>
      </c>
      <c r="E109" s="21" t="s">
        <v>86</v>
      </c>
      <c r="F109" s="21" t="s">
        <v>819</v>
      </c>
      <c r="G109" s="21" t="s">
        <v>846</v>
      </c>
      <c r="H109" s="21"/>
    </row>
    <row r="110" spans="1:8">
      <c r="A110" s="37">
        <v>46143</v>
      </c>
      <c r="B110" s="21" t="s">
        <v>887</v>
      </c>
      <c r="C110" s="21" t="e" vm="109">
        <v>#VALUE!</v>
      </c>
      <c r="D110" s="21" t="str">
        <f t="array" aca="1" ref="D110" ca="1">_FV(C110,"Industry")</f>
        <v>Machinery, Equipment &amp; Components</v>
      </c>
      <c r="E110" s="21" t="s">
        <v>88</v>
      </c>
      <c r="F110" s="21" t="s">
        <v>817</v>
      </c>
      <c r="G110" s="21" t="s">
        <v>846</v>
      </c>
      <c r="H110" s="21"/>
    </row>
    <row r="111" spans="1:8">
      <c r="A111" s="37">
        <v>46143</v>
      </c>
      <c r="B111" s="21" t="s">
        <v>888</v>
      </c>
      <c r="C111" s="21" t="e" vm="110">
        <v>#VALUE!</v>
      </c>
      <c r="D111" s="21" t="str">
        <f t="array" aca="1" ref="D111" ca="1">_FV(C111,"Industry")</f>
        <v>Chemicals</v>
      </c>
      <c r="E111" s="21" t="s">
        <v>87</v>
      </c>
      <c r="F111" s="21" t="s">
        <v>817</v>
      </c>
      <c r="G111" s="21" t="s">
        <v>846</v>
      </c>
      <c r="H111" s="21"/>
    </row>
    <row r="112" spans="1:8">
      <c r="A112" s="37">
        <v>46143</v>
      </c>
      <c r="B112" s="21" t="s">
        <v>889</v>
      </c>
      <c r="C112" s="21" t="e" vm="111">
        <v>#VALUE!</v>
      </c>
      <c r="D112" s="21" t="str">
        <f t="array" aca="1" ref="D112" ca="1">_FV(C112,"Industry")</f>
        <v>Media &amp; Publishing</v>
      </c>
      <c r="E112" s="21" t="s">
        <v>821</v>
      </c>
      <c r="F112" s="21" t="s">
        <v>817</v>
      </c>
      <c r="G112" s="21" t="s">
        <v>846</v>
      </c>
      <c r="H112" s="21"/>
    </row>
    <row r="113" spans="1:8">
      <c r="A113" s="37">
        <v>46143</v>
      </c>
      <c r="B113" s="21" t="s">
        <v>890</v>
      </c>
      <c r="C113" s="21" t="e" vm="112">
        <v>#VALUE!</v>
      </c>
      <c r="D113" s="21" t="str">
        <f t="array" aca="1" ref="D113" ca="1">_FV(C113,"Industry")</f>
        <v>Construction &amp; Engineering</v>
      </c>
      <c r="E113" s="21" t="s">
        <v>86</v>
      </c>
      <c r="F113" s="21" t="s">
        <v>817</v>
      </c>
      <c r="G113" s="21" t="s">
        <v>846</v>
      </c>
      <c r="H113" s="21"/>
    </row>
    <row r="114" spans="1:8">
      <c r="A114" s="37">
        <v>46143</v>
      </c>
      <c r="B114" s="21" t="s">
        <v>891</v>
      </c>
      <c r="C114" s="21" t="e" vm="113">
        <v>#VALUE!</v>
      </c>
      <c r="D114" s="21" t="str">
        <f t="array" aca="1" ref="D114" ca="1">_FV(C114,"Industry")</f>
        <v>Banking Services</v>
      </c>
      <c r="E114" s="21" t="s">
        <v>832</v>
      </c>
      <c r="F114" s="21" t="s">
        <v>820</v>
      </c>
      <c r="G114" s="21" t="s">
        <v>846</v>
      </c>
      <c r="H114" s="21"/>
    </row>
    <row r="115" spans="1:8">
      <c r="A115" s="37">
        <v>46143</v>
      </c>
      <c r="B115" s="21" t="s">
        <v>892</v>
      </c>
      <c r="C115" s="21" t="e" vm="114">
        <v>#VALUE!</v>
      </c>
      <c r="D115" s="21" t="str">
        <f t="array" aca="1" ref="D115" ca="1">_FV(C115,"Industry")</f>
        <v>Consumer Goods Conglomerates</v>
      </c>
      <c r="E115" s="21" t="s">
        <v>86</v>
      </c>
      <c r="F115" s="21" t="s">
        <v>819</v>
      </c>
      <c r="G115" s="21" t="s">
        <v>846</v>
      </c>
      <c r="H115" s="21"/>
    </row>
    <row r="116" spans="1:8">
      <c r="A116" s="37">
        <v>46143</v>
      </c>
      <c r="B116" s="21" t="s">
        <v>893</v>
      </c>
      <c r="C116" s="21" t="e" vm="115">
        <v>#VALUE!</v>
      </c>
      <c r="D116" s="21" t="str">
        <f t="array" aca="1" ref="D116" ca="1">_FV(C116,"Industry")</f>
        <v>Chemicals</v>
      </c>
      <c r="E116" s="21" t="s">
        <v>87</v>
      </c>
      <c r="F116" s="21" t="s">
        <v>817</v>
      </c>
      <c r="G116" s="21" t="s">
        <v>846</v>
      </c>
      <c r="H116" s="21"/>
    </row>
    <row r="117" spans="1:8">
      <c r="A117" s="37">
        <v>46143</v>
      </c>
      <c r="B117" s="21" t="s">
        <v>894</v>
      </c>
      <c r="C117" s="21" t="e" vm="116">
        <v>#VALUE!</v>
      </c>
      <c r="D117" s="21" t="str">
        <f t="array" aca="1" ref="D117" ca="1">_FV(C117,"Industry")</f>
        <v>Chemicals</v>
      </c>
      <c r="E117" s="21" t="s">
        <v>87</v>
      </c>
      <c r="F117" s="21" t="s">
        <v>817</v>
      </c>
      <c r="G117" s="21" t="s">
        <v>846</v>
      </c>
      <c r="H117" s="21"/>
    </row>
    <row r="118" spans="1:8">
      <c r="A118" s="37">
        <v>46143</v>
      </c>
      <c r="B118" s="21" t="s">
        <v>351</v>
      </c>
      <c r="C118" s="21" t="e" vm="117">
        <v>#VALUE!</v>
      </c>
      <c r="D118" s="21" t="str">
        <f t="array" aca="1" ref="D118" ca="1">_FV(C118,"Industry")</f>
        <v>Banking Services</v>
      </c>
      <c r="E118" s="21" t="s">
        <v>832</v>
      </c>
      <c r="F118" s="21" t="s">
        <v>820</v>
      </c>
      <c r="G118" s="21" t="s">
        <v>846</v>
      </c>
      <c r="H118" s="21"/>
    </row>
    <row r="119" spans="1:8">
      <c r="A119" s="37">
        <v>46143</v>
      </c>
      <c r="B119" s="21" t="s">
        <v>895</v>
      </c>
      <c r="C119" s="21" t="e" vm="118">
        <v>#VALUE!</v>
      </c>
      <c r="D119" s="21" t="str">
        <f t="array" aca="1" ref="D119" ca="1">_FV(C119,"Industry")</f>
        <v>Chemicals</v>
      </c>
      <c r="E119" s="21" t="s">
        <v>87</v>
      </c>
      <c r="F119" s="21" t="s">
        <v>817</v>
      </c>
      <c r="G119" s="21" t="s">
        <v>846</v>
      </c>
      <c r="H119" s="21"/>
    </row>
    <row r="120" spans="1:8">
      <c r="A120" s="37">
        <v>46143</v>
      </c>
      <c r="B120" s="21" t="s">
        <v>896</v>
      </c>
      <c r="C120" s="21" t="e" vm="119">
        <v>#VALUE!</v>
      </c>
      <c r="D120" s="21" t="str">
        <f t="array" aca="1" ref="D120" ca="1">_FV(C120,"Industry")</f>
        <v>Homebuilding &amp; Construction Supplies</v>
      </c>
      <c r="E120" s="21" t="s">
        <v>88</v>
      </c>
      <c r="F120" s="21" t="s">
        <v>817</v>
      </c>
      <c r="G120" s="21" t="s">
        <v>846</v>
      </c>
      <c r="H120" s="21"/>
    </row>
    <row r="121" spans="1:8">
      <c r="A121" s="37">
        <v>46143</v>
      </c>
      <c r="B121" s="21" t="s">
        <v>897</v>
      </c>
      <c r="C121" s="21" t="e" vm="120">
        <v>#VALUE!</v>
      </c>
      <c r="D121" s="21" t="str">
        <f t="array" aca="1" ref="D121" ca="1">_FV(C121,"Industry")</f>
        <v>Professional &amp; Commercial Services</v>
      </c>
      <c r="E121" s="21" t="s">
        <v>832</v>
      </c>
      <c r="F121" s="21" t="s">
        <v>819</v>
      </c>
      <c r="G121" s="21" t="s">
        <v>846</v>
      </c>
      <c r="H121" s="21"/>
    </row>
    <row r="122" spans="1:8">
      <c r="A122" s="37">
        <v>46143</v>
      </c>
      <c r="B122" s="21" t="s">
        <v>898</v>
      </c>
      <c r="C122" s="21" t="e" vm="121">
        <v>#VALUE!</v>
      </c>
      <c r="D122" s="21" t="str">
        <f t="array" aca="1" ref="D122" ca="1">_FV(C122,"Industry")</f>
        <v>Computers, Phones &amp; Household Electronics</v>
      </c>
      <c r="E122" s="21" t="s">
        <v>88</v>
      </c>
      <c r="F122" s="21" t="s">
        <v>819</v>
      </c>
      <c r="G122" s="21" t="s">
        <v>846</v>
      </c>
      <c r="H122" s="21"/>
    </row>
    <row r="123" spans="1:8">
      <c r="A123" s="37">
        <v>46143</v>
      </c>
      <c r="B123" s="21" t="s">
        <v>899</v>
      </c>
      <c r="C123" s="21" t="e" vm="122">
        <v>#VALUE!</v>
      </c>
      <c r="D123" s="21" t="str">
        <f t="array" aca="1" ref="D123" ca="1">_FV(C123,"Industry")</f>
        <v>Chemicals</v>
      </c>
      <c r="E123" s="21" t="s">
        <v>87</v>
      </c>
      <c r="F123" s="21" t="s">
        <v>817</v>
      </c>
      <c r="G123" s="21" t="s">
        <v>846</v>
      </c>
      <c r="H123" s="21"/>
    </row>
    <row r="124" spans="1:8">
      <c r="A124" s="37">
        <v>46143</v>
      </c>
      <c r="B124" s="21" t="s">
        <v>900</v>
      </c>
      <c r="C124" s="21" t="e" vm="123">
        <v>#VALUE!</v>
      </c>
      <c r="D124" s="21" t="str">
        <f t="array" aca="1" ref="D124" ca="1">_FV(C124,"Industry")</f>
        <v>Chemicals</v>
      </c>
      <c r="E124" s="21" t="s">
        <v>87</v>
      </c>
      <c r="F124" s="21" t="s">
        <v>817</v>
      </c>
      <c r="G124" s="21" t="s">
        <v>846</v>
      </c>
      <c r="H124" s="21"/>
    </row>
    <row r="125" spans="1:8">
      <c r="A125" s="37">
        <v>46143</v>
      </c>
      <c r="B125" s="21" t="s">
        <v>901</v>
      </c>
      <c r="C125" s="21" t="e" vm="124">
        <v>#VALUE!</v>
      </c>
      <c r="D125" s="21" t="str">
        <f t="array" aca="1" ref="D125" ca="1">_FV(C125,"Industry")</f>
        <v>Natural Gas Utilities</v>
      </c>
      <c r="E125" s="21" t="s">
        <v>86</v>
      </c>
      <c r="F125" s="21" t="s">
        <v>817</v>
      </c>
      <c r="G125" s="21" t="s">
        <v>846</v>
      </c>
      <c r="H125" s="21"/>
    </row>
    <row r="126" spans="1:8">
      <c r="A126" s="37">
        <v>46143</v>
      </c>
      <c r="B126" s="21" t="s">
        <v>902</v>
      </c>
      <c r="C126" s="21" t="e" vm="125">
        <v>#VALUE!</v>
      </c>
      <c r="D126" s="21" t="str">
        <f t="array" aca="1" ref="D126" ca="1">_FV(C126,"Industry")</f>
        <v>Machinery, Equipment &amp; Components</v>
      </c>
      <c r="E126" s="21" t="s">
        <v>88</v>
      </c>
      <c r="F126" s="21" t="s">
        <v>819</v>
      </c>
      <c r="G126" s="21" t="s">
        <v>846</v>
      </c>
      <c r="H126" s="21"/>
    </row>
    <row r="127" spans="1:8">
      <c r="A127" s="37">
        <v>46143</v>
      </c>
      <c r="B127" s="21" t="s">
        <v>903</v>
      </c>
      <c r="C127" s="21" t="e" vm="126">
        <v>#VALUE!</v>
      </c>
      <c r="D127" s="21" t="str">
        <f t="array" aca="1" ref="D127" ca="1">_FV(C127,"Industry")</f>
        <v>Banking Services</v>
      </c>
      <c r="E127" s="21" t="s">
        <v>832</v>
      </c>
      <c r="F127" s="21" t="s">
        <v>820</v>
      </c>
      <c r="G127" s="21" t="s">
        <v>846</v>
      </c>
      <c r="H127" s="21"/>
    </row>
    <row r="128" spans="1:8">
      <c r="A128" s="37">
        <v>46143</v>
      </c>
      <c r="B128" s="21" t="s">
        <v>904</v>
      </c>
      <c r="C128" s="21" t="e" vm="127">
        <v>#VALUE!</v>
      </c>
      <c r="D128" s="21" t="str">
        <f t="array" aca="1" ref="D128" ca="1">_FV(C128,"Industry")</f>
        <v>Insurance</v>
      </c>
      <c r="E128" s="21" t="s">
        <v>832</v>
      </c>
      <c r="F128" s="21" t="s">
        <v>820</v>
      </c>
      <c r="G128" s="21" t="s">
        <v>846</v>
      </c>
      <c r="H128" s="21"/>
    </row>
    <row r="129" spans="1:8">
      <c r="A129" s="37">
        <v>46143</v>
      </c>
      <c r="B129" s="21" t="s">
        <v>904</v>
      </c>
      <c r="C129" s="21" t="e" vm="127">
        <v>#VALUE!</v>
      </c>
      <c r="D129" s="21" t="str">
        <f t="array" aca="1" ref="D129" ca="1">_FV(C129,"Industry")</f>
        <v>Insurance</v>
      </c>
      <c r="E129" s="21" t="s">
        <v>86</v>
      </c>
      <c r="F129" s="21" t="s">
        <v>817</v>
      </c>
      <c r="G129" s="21" t="s">
        <v>846</v>
      </c>
      <c r="H129" s="21"/>
    </row>
    <row r="130" spans="1:8">
      <c r="A130" s="37">
        <v>46143</v>
      </c>
      <c r="B130" s="21" t="s">
        <v>905</v>
      </c>
      <c r="C130" s="21" t="e" vm="128">
        <v>#VALUE!</v>
      </c>
      <c r="D130" s="21" t="str">
        <f t="array" aca="1" ref="D130" ca="1">_FV(C130,"Industry")</f>
        <v>Insurance</v>
      </c>
      <c r="E130" s="21" t="s">
        <v>832</v>
      </c>
      <c r="F130" s="21" t="s">
        <v>819</v>
      </c>
      <c r="G130" s="21" t="s">
        <v>846</v>
      </c>
      <c r="H130" s="21"/>
    </row>
    <row r="131" spans="1:8">
      <c r="A131" s="37">
        <v>46143</v>
      </c>
      <c r="B131" s="21" t="s">
        <v>906</v>
      </c>
      <c r="C131" s="21" t="e" vm="129">
        <v>#VALUE!</v>
      </c>
      <c r="D131" s="21" t="str">
        <f t="array" aca="1" ref="D131" ca="1">_FV(C131,"Industry")</f>
        <v>Investment Banking &amp; Investment Services</v>
      </c>
      <c r="E131" s="21" t="s">
        <v>821</v>
      </c>
      <c r="F131" s="21" t="s">
        <v>817</v>
      </c>
      <c r="G131" s="21" t="s">
        <v>846</v>
      </c>
      <c r="H131" s="21"/>
    </row>
    <row r="132" spans="1:8">
      <c r="A132" s="37">
        <v>46143</v>
      </c>
      <c r="B132" s="21" t="s">
        <v>907</v>
      </c>
      <c r="C132" s="21" t="e" vm="130">
        <v>#VALUE!</v>
      </c>
      <c r="D132" s="21" t="str">
        <f t="array" aca="1" ref="D132" ca="1">_FV(C132,"Industry")</f>
        <v>Natural Gas Utilities</v>
      </c>
      <c r="E132" s="21" t="s">
        <v>86</v>
      </c>
      <c r="F132" s="21" t="s">
        <v>817</v>
      </c>
      <c r="G132" s="21" t="s">
        <v>846</v>
      </c>
      <c r="H132" s="21"/>
    </row>
    <row r="133" spans="1:8">
      <c r="A133" s="37">
        <v>46143</v>
      </c>
      <c r="B133" s="21" t="s">
        <v>908</v>
      </c>
      <c r="C133" s="21" t="e" vm="131">
        <v>#VALUE!</v>
      </c>
      <c r="D133" s="21" t="str">
        <f t="array" aca="1" ref="D133" ca="1">_FV(C133,"Industry")</f>
        <v>Software &amp; IT Services</v>
      </c>
      <c r="E133" s="21" t="s">
        <v>821</v>
      </c>
      <c r="F133" s="21" t="s">
        <v>819</v>
      </c>
      <c r="G133" s="21" t="s">
        <v>846</v>
      </c>
      <c r="H133" s="21"/>
    </row>
    <row r="134" spans="1:8">
      <c r="A134" s="37">
        <v>46143</v>
      </c>
      <c r="B134" s="21" t="s">
        <v>909</v>
      </c>
      <c r="C134" s="21" t="e" vm="132">
        <v>#VALUE!</v>
      </c>
      <c r="D134" s="21" t="str">
        <f t="array" aca="1" ref="D134" ca="1">_FV(C134,"Industry")</f>
        <v>Passenger Transportation Services</v>
      </c>
      <c r="E134" s="21" t="s">
        <v>821</v>
      </c>
      <c r="F134" s="21" t="s">
        <v>819</v>
      </c>
      <c r="G134" s="21" t="s">
        <v>846</v>
      </c>
      <c r="H134" s="21"/>
    </row>
    <row r="135" spans="1:8">
      <c r="A135" s="37">
        <v>46143</v>
      </c>
      <c r="B135" s="21" t="s">
        <v>910</v>
      </c>
      <c r="C135" s="21" t="e" vm="133">
        <v>#VALUE!</v>
      </c>
      <c r="D135" s="21" t="str">
        <f t="array" aca="1" ref="D135" ca="1">_FV(C135,"Industry")</f>
        <v>Homebuilding &amp; Construction Supplies</v>
      </c>
      <c r="E135" s="21" t="s">
        <v>88</v>
      </c>
      <c r="F135" s="21" t="s">
        <v>817</v>
      </c>
      <c r="G135" s="21" t="s">
        <v>846</v>
      </c>
      <c r="H135" s="21"/>
    </row>
    <row r="136" spans="1:8">
      <c r="A136" s="37">
        <v>46143</v>
      </c>
      <c r="B136" s="21" t="s">
        <v>911</v>
      </c>
      <c r="C136" s="21" t="e" vm="134">
        <v>#VALUE!</v>
      </c>
      <c r="D136" s="21" t="str">
        <f t="array" aca="1" ref="D136" ca="1">_FV(C136,"Industry")</f>
        <v>Banking Services</v>
      </c>
      <c r="E136" s="21" t="s">
        <v>832</v>
      </c>
      <c r="F136" s="21" t="s">
        <v>820</v>
      </c>
      <c r="G136" s="21" t="s">
        <v>846</v>
      </c>
      <c r="H136" s="21"/>
    </row>
    <row r="137" spans="1:8">
      <c r="A137" s="37">
        <v>46143</v>
      </c>
      <c r="B137" s="21" t="s">
        <v>912</v>
      </c>
      <c r="C137" s="21" t="e" vm="135">
        <v>#VALUE!</v>
      </c>
      <c r="D137" s="21" t="str">
        <f t="array" aca="1" ref="D137" ca="1">_FV(C137,"Industry")</f>
        <v>Software &amp; IT Services</v>
      </c>
      <c r="E137" s="21" t="s">
        <v>821</v>
      </c>
      <c r="F137" s="21" t="s">
        <v>817</v>
      </c>
      <c r="G137" s="21" t="s">
        <v>846</v>
      </c>
      <c r="H137" s="21"/>
    </row>
    <row r="138" spans="1:8">
      <c r="A138" s="37">
        <v>46143</v>
      </c>
      <c r="B138" s="21" t="s">
        <v>913</v>
      </c>
      <c r="C138" s="21" t="e" vm="136">
        <v>#VALUE!</v>
      </c>
      <c r="D138" s="21" t="str">
        <f t="array" aca="1" ref="D138" ca="1">_FV(C138,"Industry")</f>
        <v>Natural Gas Utilities</v>
      </c>
      <c r="E138" s="21" t="s">
        <v>86</v>
      </c>
      <c r="F138" s="21" t="s">
        <v>817</v>
      </c>
      <c r="G138" s="21" t="s">
        <v>846</v>
      </c>
      <c r="H138" s="21"/>
    </row>
    <row r="139" spans="1:8">
      <c r="A139" s="37">
        <v>46143</v>
      </c>
      <c r="B139" s="21" t="s">
        <v>914</v>
      </c>
      <c r="C139" s="21" t="e" vm="137">
        <v>#VALUE!</v>
      </c>
      <c r="D139" s="21" t="str">
        <f t="array" aca="1" ref="D139" ca="1">_FV(C139,"Industry")</f>
        <v>Automobiles &amp; Auto Parts</v>
      </c>
      <c r="E139" s="21" t="s">
        <v>86</v>
      </c>
      <c r="F139" s="21" t="s">
        <v>819</v>
      </c>
      <c r="G139" s="21" t="s">
        <v>846</v>
      </c>
      <c r="H139" s="21"/>
    </row>
    <row r="140" spans="1:8">
      <c r="A140" s="37">
        <v>46143</v>
      </c>
      <c r="B140" s="21" t="s">
        <v>915</v>
      </c>
      <c r="C140" s="21" t="e" vm="138">
        <v>#VALUE!</v>
      </c>
      <c r="D140" s="21" t="str">
        <f t="array" aca="1" ref="D140" ca="1">_FV(C140,"Industry")</f>
        <v>Textiles &amp; Apparel</v>
      </c>
      <c r="E140" s="21" t="s">
        <v>88</v>
      </c>
      <c r="F140" s="21" t="s">
        <v>817</v>
      </c>
      <c r="G140" s="21" t="s">
        <v>846</v>
      </c>
      <c r="H140" s="21"/>
    </row>
    <row r="141" spans="1:8">
      <c r="A141" s="37">
        <v>46143</v>
      </c>
      <c r="B141" s="21" t="s">
        <v>916</v>
      </c>
      <c r="C141" s="21" t="e" vm="139">
        <v>#VALUE!</v>
      </c>
      <c r="D141" s="21" t="str">
        <f t="array" aca="1" ref="D141" ca="1">_FV(C141,"Industry")</f>
        <v>Software &amp; IT Services</v>
      </c>
      <c r="E141" s="21" t="s">
        <v>821</v>
      </c>
      <c r="F141" s="21" t="s">
        <v>820</v>
      </c>
      <c r="G141" s="21" t="s">
        <v>846</v>
      </c>
      <c r="H141" s="21"/>
    </row>
    <row r="142" spans="1:8">
      <c r="A142" s="37">
        <v>46143</v>
      </c>
      <c r="B142" s="21" t="s">
        <v>917</v>
      </c>
      <c r="C142" s="21" t="e" vm="140">
        <v>#VALUE!</v>
      </c>
      <c r="D142" s="21" t="str">
        <f t="array" aca="1" ref="D142" ca="1">_FV(C142,"Industry")</f>
        <v>Software &amp; IT Services</v>
      </c>
      <c r="E142" s="21" t="s">
        <v>821</v>
      </c>
      <c r="F142" s="21" t="s">
        <v>817</v>
      </c>
      <c r="G142" s="21" t="s">
        <v>846</v>
      </c>
      <c r="H142" s="21"/>
    </row>
    <row r="143" spans="1:8">
      <c r="A143" s="37">
        <v>46143</v>
      </c>
      <c r="B143" s="21" t="s">
        <v>918</v>
      </c>
      <c r="C143" s="21" t="e" vm="141">
        <v>#VALUE!</v>
      </c>
      <c r="D143" s="21" t="str">
        <f t="array" aca="1" ref="D143" ca="1">_FV(C143,"Industry")</f>
        <v>Textiles &amp; Apparel</v>
      </c>
      <c r="E143" s="21" t="s">
        <v>88</v>
      </c>
      <c r="F143" s="21" t="s">
        <v>817</v>
      </c>
      <c r="G143" s="21" t="s">
        <v>846</v>
      </c>
      <c r="H143" s="21"/>
    </row>
    <row r="144" spans="1:8">
      <c r="A144" s="37">
        <v>46143</v>
      </c>
      <c r="B144" s="21" t="s">
        <v>919</v>
      </c>
      <c r="C144" s="21" t="e" vm="142">
        <v>#VALUE!</v>
      </c>
      <c r="D144" s="21" t="str">
        <f t="array" aca="1" ref="D144" ca="1">_FV(C144,"Industry")</f>
        <v>Textiles &amp; Apparel</v>
      </c>
      <c r="E144" s="21" t="s">
        <v>88</v>
      </c>
      <c r="F144" s="21" t="s">
        <v>817</v>
      </c>
      <c r="G144" s="21" t="s">
        <v>846</v>
      </c>
      <c r="H144" s="21"/>
    </row>
    <row r="145" spans="1:8">
      <c r="A145" s="37">
        <v>46143</v>
      </c>
      <c r="B145" s="21" t="s">
        <v>920</v>
      </c>
      <c r="C145" s="21" t="e" vm="143">
        <v>#VALUE!</v>
      </c>
      <c r="D145" s="21" t="str">
        <f t="array" aca="1" ref="D145" ca="1">_FV(C145,"Industry")</f>
        <v>Machinery, Equipment &amp; Components</v>
      </c>
      <c r="E145" s="21" t="s">
        <v>86</v>
      </c>
      <c r="F145" s="21" t="s">
        <v>817</v>
      </c>
      <c r="G145" s="21" t="s">
        <v>846</v>
      </c>
      <c r="H145" s="21"/>
    </row>
    <row r="146" spans="1:8">
      <c r="A146" s="37">
        <v>46143</v>
      </c>
      <c r="B146" s="21" t="s">
        <v>921</v>
      </c>
      <c r="C146" s="21" t="e" vm="144">
        <v>#VALUE!</v>
      </c>
      <c r="D146" s="21" t="str">
        <f t="array" aca="1" ref="D146" ca="1">_FV(C146,"Industry")</f>
        <v>Construction Materials</v>
      </c>
      <c r="E146" s="21" t="s">
        <v>86</v>
      </c>
      <c r="F146" s="21" t="s">
        <v>817</v>
      </c>
      <c r="G146" s="21" t="s">
        <v>846</v>
      </c>
      <c r="H146" s="21"/>
    </row>
    <row r="147" spans="1:8">
      <c r="A147" s="37">
        <v>46143</v>
      </c>
      <c r="B147" s="21" t="s">
        <v>922</v>
      </c>
      <c r="C147" s="21" t="e" vm="145">
        <v>#VALUE!</v>
      </c>
      <c r="D147" s="21" t="str">
        <f t="array" aca="1" ref="D147" ca="1">_FV(C147,"Industry")</f>
        <v>Banking Services</v>
      </c>
      <c r="E147" s="21" t="s">
        <v>832</v>
      </c>
      <c r="F147" s="21" t="s">
        <v>820</v>
      </c>
      <c r="G147" s="21" t="s">
        <v>846</v>
      </c>
      <c r="H147" s="21"/>
    </row>
    <row r="148" spans="1:8">
      <c r="A148" s="37">
        <v>46143</v>
      </c>
      <c r="B148" s="21" t="s">
        <v>923</v>
      </c>
      <c r="C148" s="21" t="e" vm="146">
        <v>#VALUE!</v>
      </c>
      <c r="D148" s="21" t="str">
        <f t="array" aca="1" ref="D148" ca="1">_FV(C148,"Industry")</f>
        <v>Professional &amp; Commercial Services</v>
      </c>
      <c r="E148" s="21" t="s">
        <v>821</v>
      </c>
      <c r="F148" s="21" t="s">
        <v>817</v>
      </c>
      <c r="G148" s="21" t="s">
        <v>846</v>
      </c>
      <c r="H148" s="21"/>
    </row>
    <row r="149" spans="1:8">
      <c r="A149" s="37">
        <v>46143</v>
      </c>
      <c r="B149" s="21" t="s">
        <v>924</v>
      </c>
      <c r="C149" s="21" t="e" vm="147">
        <v>#VALUE!</v>
      </c>
      <c r="D149" s="21" t="str">
        <f t="array" aca="1" ref="D149" ca="1">_FV(C149,"Industry")</f>
        <v>Machinery, Equipment &amp; Components</v>
      </c>
      <c r="E149" s="21" t="s">
        <v>88</v>
      </c>
      <c r="F149" s="21" t="s">
        <v>819</v>
      </c>
      <c r="G149" s="21" t="s">
        <v>846</v>
      </c>
      <c r="H149" s="21"/>
    </row>
    <row r="150" spans="1:8">
      <c r="A150" s="37">
        <v>46143</v>
      </c>
      <c r="B150" s="21" t="s">
        <v>925</v>
      </c>
      <c r="C150" s="21" t="s">
        <v>1194</v>
      </c>
      <c r="D150" s="21" t="e" vm="148">
        <f t="array" ref="D150">_FV(C150,"Industry")</f>
        <v>#VALUE!</v>
      </c>
      <c r="E150" s="21" t="s">
        <v>87</v>
      </c>
      <c r="F150" s="21" t="s">
        <v>817</v>
      </c>
      <c r="G150" s="21" t="s">
        <v>846</v>
      </c>
      <c r="H150" s="21"/>
    </row>
    <row r="151" spans="1:8">
      <c r="A151" s="37">
        <v>46143</v>
      </c>
      <c r="B151" s="21" t="s">
        <v>926</v>
      </c>
      <c r="C151" s="21" t="e" vm="149">
        <v>#VALUE!</v>
      </c>
      <c r="D151" s="21" t="str">
        <f t="array" aca="1" ref="D151" ca="1">_FV(C151,"Industry")</f>
        <v>Machinery, Equipment &amp; Components</v>
      </c>
      <c r="E151" s="21" t="s">
        <v>86</v>
      </c>
      <c r="F151" s="21" t="s">
        <v>817</v>
      </c>
      <c r="G151" s="21" t="s">
        <v>846</v>
      </c>
      <c r="H151" s="21"/>
    </row>
    <row r="152" spans="1:8">
      <c r="A152" s="37">
        <v>46143</v>
      </c>
      <c r="B152" s="21" t="s">
        <v>927</v>
      </c>
      <c r="C152" s="21" t="e" vm="150">
        <v>#VALUE!</v>
      </c>
      <c r="D152" s="21" t="str">
        <f t="array" aca="1" ref="D152" ca="1">_FV(C152,"Industry")</f>
        <v>Food &amp; Tobacco</v>
      </c>
      <c r="E152" s="21" t="s">
        <v>88</v>
      </c>
      <c r="F152" s="21" t="s">
        <v>817</v>
      </c>
      <c r="G152" s="21" t="s">
        <v>846</v>
      </c>
      <c r="H152" s="21"/>
    </row>
    <row r="153" spans="1:8">
      <c r="A153" s="37">
        <v>46143</v>
      </c>
      <c r="B153" s="41" t="s">
        <v>928</v>
      </c>
      <c r="C153" s="21" t="e" vm="151">
        <v>#VALUE!</v>
      </c>
      <c r="D153" s="21" t="str">
        <f t="array" aca="1" ref="D153" ca="1">_FV(C153,"Industry")</f>
        <v>Investment Banking &amp; Investment Services</v>
      </c>
      <c r="E153" s="21" t="s">
        <v>832</v>
      </c>
      <c r="F153" s="21" t="s">
        <v>817</v>
      </c>
      <c r="G153" s="21" t="s">
        <v>929</v>
      </c>
      <c r="H153" s="21"/>
    </row>
    <row r="154" spans="1:8">
      <c r="A154" s="37">
        <v>46143</v>
      </c>
      <c r="B154" s="21" t="s">
        <v>930</v>
      </c>
      <c r="C154" s="21" t="e" vm="152">
        <v>#VALUE!</v>
      </c>
      <c r="D154" s="21" t="str">
        <f t="array" aca="1" ref="D154" ca="1">_FV(C154,"Industry")</f>
        <v>Investment Banking &amp; Investment Services</v>
      </c>
      <c r="E154" s="21" t="s">
        <v>821</v>
      </c>
      <c r="F154" s="21" t="s">
        <v>817</v>
      </c>
      <c r="G154" s="21" t="s">
        <v>929</v>
      </c>
      <c r="H154" s="21"/>
    </row>
    <row r="155" spans="1:8">
      <c r="A155" s="37">
        <v>46143</v>
      </c>
      <c r="B155" s="21" t="s">
        <v>931</v>
      </c>
      <c r="C155" s="21" t="e" vm="153">
        <v>#VALUE!</v>
      </c>
      <c r="D155" s="21" t="str">
        <f t="array" aca="1" ref="D155" ca="1">_FV(C155,"Industry")</f>
        <v>Professional &amp; Commercial Services</v>
      </c>
      <c r="E155" s="21" t="s">
        <v>821</v>
      </c>
      <c r="F155" s="21" t="s">
        <v>817</v>
      </c>
      <c r="G155" s="21" t="s">
        <v>929</v>
      </c>
      <c r="H155" s="21"/>
    </row>
    <row r="156" spans="1:8">
      <c r="A156" s="37">
        <v>46143</v>
      </c>
      <c r="B156" s="21" t="s">
        <v>332</v>
      </c>
      <c r="C156" s="21" t="e" vm="154">
        <v>#VALUE!</v>
      </c>
      <c r="D156" s="21" t="str">
        <f t="array" aca="1" ref="D156" ca="1">_FV(C156,"Industry")</f>
        <v>Investment Banking &amp; Investment Services</v>
      </c>
      <c r="E156" s="21" t="s">
        <v>821</v>
      </c>
      <c r="F156" s="21" t="s">
        <v>819</v>
      </c>
      <c r="G156" s="21" t="s">
        <v>929</v>
      </c>
      <c r="H156" s="21"/>
    </row>
    <row r="157" spans="1:8">
      <c r="A157" s="37">
        <v>46143</v>
      </c>
      <c r="B157" s="21" t="s">
        <v>932</v>
      </c>
      <c r="C157" s="21" t="e" vm="155">
        <v>#VALUE!</v>
      </c>
      <c r="D157" s="21" t="str">
        <f t="array" aca="1" ref="D157" ca="1">_FV(C157,"Industry")</f>
        <v>Investment Banking &amp; Investment Services</v>
      </c>
      <c r="E157" s="21" t="s">
        <v>832</v>
      </c>
      <c r="F157" s="21" t="s">
        <v>819</v>
      </c>
      <c r="G157" s="21" t="s">
        <v>929</v>
      </c>
      <c r="H157" s="21"/>
    </row>
    <row r="158" spans="1:8">
      <c r="A158" s="37">
        <v>46143</v>
      </c>
      <c r="B158" s="21" t="s">
        <v>933</v>
      </c>
      <c r="C158" s="21" t="e" vm="156">
        <v>#VALUE!</v>
      </c>
      <c r="D158" s="21" t="str">
        <f t="array" aca="1" ref="D158" ca="1">_FV(C158,"Industry")</f>
        <v>Financial Technology (Fintech) &amp; Infrastructure</v>
      </c>
      <c r="E158" s="21" t="s">
        <v>821</v>
      </c>
      <c r="F158" s="21" t="s">
        <v>817</v>
      </c>
      <c r="G158" s="21" t="s">
        <v>929</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61"/>
  <sheetViews>
    <sheetView workbookViewId="0">
      <pane ySplit="1" topLeftCell="A444" activePane="bottomLeft" state="frozen"/>
      <selection pane="bottomLeft" activeCell="E375" sqref="E375"/>
    </sheetView>
  </sheetViews>
  <sheetFormatPr defaultRowHeight="15"/>
  <cols>
    <col min="1" max="1" width="10.42578125" bestFit="1" customWidth="1"/>
    <col min="2" max="2" width="16.42578125" bestFit="1" customWidth="1"/>
    <col min="3" max="3" width="10.28515625" bestFit="1" customWidth="1"/>
    <col min="4" max="4" width="39"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2" width="10" customWidth="1"/>
    <col min="13" max="13" width="14.42578125" bestFit="1" customWidth="1"/>
    <col min="14" max="14" width="6.85546875" bestFit="1" customWidth="1"/>
    <col min="15" max="15" width="9.7109375" bestFit="1" customWidth="1"/>
    <col min="16" max="16" width="13.42578125" bestFit="1" customWidth="1"/>
    <col min="17" max="17" width="9.5703125" bestFit="1" customWidth="1"/>
  </cols>
  <sheetData>
    <row r="1" spans="1:17">
      <c r="A1" s="72" t="s">
        <v>135</v>
      </c>
      <c r="B1" s="72" t="s">
        <v>934</v>
      </c>
      <c r="C1" s="72" t="s">
        <v>935</v>
      </c>
      <c r="D1" s="72" t="s">
        <v>812</v>
      </c>
      <c r="E1" s="72" t="s">
        <v>96</v>
      </c>
      <c r="F1" s="72" t="s">
        <v>936</v>
      </c>
      <c r="G1" s="72" t="s">
        <v>937</v>
      </c>
      <c r="H1" s="72" t="s">
        <v>938</v>
      </c>
      <c r="I1" s="72" t="s">
        <v>939</v>
      </c>
      <c r="J1" s="72" t="s">
        <v>940</v>
      </c>
      <c r="K1" s="72"/>
      <c r="L1" s="72"/>
      <c r="M1" s="94" t="s">
        <v>941</v>
      </c>
      <c r="N1" s="92"/>
      <c r="O1" s="92"/>
      <c r="P1" s="92"/>
      <c r="Q1" s="92"/>
    </row>
    <row r="2" spans="1:17">
      <c r="A2" s="65">
        <v>46158</v>
      </c>
      <c r="B2" s="66" t="s">
        <v>182</v>
      </c>
      <c r="C2" s="66" t="s">
        <v>942</v>
      </c>
      <c r="D2" s="66" t="e" vm="73">
        <v>#VALUE!</v>
      </c>
      <c r="E2" s="67">
        <f t="array" aca="1" ref="E2" ca="1">_FV(D2,"Price")</f>
        <v>2133</v>
      </c>
      <c r="F2" s="68">
        <f t="array" aca="1" ref="F2" ca="1">_FV(D2,"Previous close",TRUE)</f>
        <v>2054</v>
      </c>
      <c r="G2" s="62">
        <v>2133</v>
      </c>
      <c r="H2" s="62">
        <v>1709.22</v>
      </c>
      <c r="I2" s="62">
        <v>1643.59</v>
      </c>
      <c r="J2" s="62">
        <v>1467.54</v>
      </c>
      <c r="K2" s="60"/>
      <c r="L2" s="60"/>
      <c r="M2" s="69" t="s">
        <v>77</v>
      </c>
      <c r="N2" s="55" t="s">
        <v>935</v>
      </c>
      <c r="O2" s="55" t="s">
        <v>943</v>
      </c>
      <c r="P2" s="55" t="s">
        <v>944</v>
      </c>
      <c r="Q2" s="55" t="s">
        <v>80</v>
      </c>
    </row>
    <row r="3" spans="1:17">
      <c r="A3" s="65">
        <v>46158</v>
      </c>
      <c r="B3" s="66" t="s">
        <v>945</v>
      </c>
      <c r="C3" s="66" t="s">
        <v>942</v>
      </c>
      <c r="D3" s="66" t="e" vm="157">
        <v>#VALUE!</v>
      </c>
      <c r="E3" s="67">
        <f t="array" aca="1" ref="E3" ca="1">_FV(D3,"Price")</f>
        <v>869.1</v>
      </c>
      <c r="F3" s="68">
        <f t="array" aca="1" ref="F3" ca="1">_FV(D3,"Previous close",TRUE)</f>
        <v>870.9</v>
      </c>
      <c r="G3" s="62">
        <v>869.1</v>
      </c>
      <c r="H3" s="62">
        <v>758.68</v>
      </c>
      <c r="I3" s="62">
        <v>726.97</v>
      </c>
      <c r="J3" s="62">
        <v>629.77</v>
      </c>
      <c r="K3" s="60"/>
      <c r="L3" s="60"/>
      <c r="M3" s="60" t="s">
        <v>946</v>
      </c>
      <c r="N3" s="56" t="s">
        <v>947</v>
      </c>
      <c r="O3" s="53">
        <v>539.5</v>
      </c>
      <c r="P3" s="53">
        <v>506</v>
      </c>
      <c r="Q3" s="54">
        <v>6.6199999999999995E-2</v>
      </c>
    </row>
    <row r="4" spans="1:17">
      <c r="A4" s="65">
        <v>46158</v>
      </c>
      <c r="B4" s="66" t="s">
        <v>948</v>
      </c>
      <c r="C4" s="66" t="s">
        <v>942</v>
      </c>
      <c r="D4" s="66" t="e" vm="158">
        <v>#VALUE!</v>
      </c>
      <c r="E4" s="67">
        <f t="array" aca="1" ref="E4" ca="1">_FV(D4,"Price")</f>
        <v>417.8</v>
      </c>
      <c r="F4" s="68">
        <f t="array" aca="1" ref="F4" ca="1">_FV(D4,"Previous close",TRUE)</f>
        <v>429.35</v>
      </c>
      <c r="G4" s="62">
        <v>417.8</v>
      </c>
      <c r="H4" s="62">
        <v>469.9</v>
      </c>
      <c r="I4" s="62">
        <v>470.64</v>
      </c>
      <c r="J4" s="62">
        <v>465.84</v>
      </c>
      <c r="K4" s="60"/>
      <c r="L4" s="60"/>
      <c r="M4" s="60" t="s">
        <v>871</v>
      </c>
      <c r="N4" s="56" t="s">
        <v>947</v>
      </c>
      <c r="O4" s="53">
        <v>388.9</v>
      </c>
      <c r="P4" s="53">
        <v>369.95</v>
      </c>
      <c r="Q4" s="54">
        <v>5.1200000000000002E-2</v>
      </c>
    </row>
    <row r="5" spans="1:17">
      <c r="A5" s="65">
        <v>46158</v>
      </c>
      <c r="B5" s="66" t="s">
        <v>949</v>
      </c>
      <c r="C5" s="66" t="s">
        <v>942</v>
      </c>
      <c r="D5" s="66" t="e" vm="159">
        <v>#VALUE!</v>
      </c>
      <c r="E5" s="67">
        <f t="array" aca="1" ref="E5" ca="1">_FV(D5,"Price")</f>
        <v>1921</v>
      </c>
      <c r="F5" s="68">
        <f t="array" aca="1" ref="F5" ca="1">_FV(D5,"Previous close",TRUE)</f>
        <v>1895.2</v>
      </c>
      <c r="G5" s="62">
        <v>1921</v>
      </c>
      <c r="H5" s="62">
        <v>1798.24</v>
      </c>
      <c r="I5" s="62">
        <v>1770.25</v>
      </c>
      <c r="J5" s="62">
        <v>1693.73</v>
      </c>
      <c r="K5" s="60"/>
      <c r="L5" s="60"/>
      <c r="M5" s="60" t="s">
        <v>945</v>
      </c>
      <c r="N5" s="56" t="s">
        <v>947</v>
      </c>
      <c r="O5" s="53">
        <v>991</v>
      </c>
      <c r="P5" s="53">
        <v>945</v>
      </c>
      <c r="Q5" s="54">
        <v>4.87E-2</v>
      </c>
    </row>
    <row r="6" spans="1:17">
      <c r="A6" s="65">
        <v>46158</v>
      </c>
      <c r="B6" s="66" t="s">
        <v>950</v>
      </c>
      <c r="C6" s="66" t="s">
        <v>942</v>
      </c>
      <c r="D6" s="66" t="e" vm="160">
        <v>#VALUE!</v>
      </c>
      <c r="E6" s="67">
        <f t="array" aca="1" ref="E6" ca="1">_FV(D6,"Price")</f>
        <v>246.2</v>
      </c>
      <c r="F6" s="68">
        <f t="array" aca="1" ref="F6" ca="1">_FV(D6,"Previous close",TRUE)</f>
        <v>252.6</v>
      </c>
      <c r="G6" s="62">
        <v>246.2</v>
      </c>
      <c r="H6" s="62">
        <v>272.11</v>
      </c>
      <c r="I6" s="62">
        <v>272.89</v>
      </c>
      <c r="J6" s="62">
        <v>269.81</v>
      </c>
      <c r="K6" s="60"/>
      <c r="L6" s="60"/>
      <c r="M6" s="60" t="s">
        <v>951</v>
      </c>
      <c r="N6" s="56" t="s">
        <v>947</v>
      </c>
      <c r="O6" s="53">
        <v>59.93</v>
      </c>
      <c r="P6" s="53">
        <v>57.87</v>
      </c>
      <c r="Q6" s="54">
        <v>3.56E-2</v>
      </c>
    </row>
    <row r="7" spans="1:17">
      <c r="A7" s="65">
        <v>46158</v>
      </c>
      <c r="B7" s="66" t="s">
        <v>921</v>
      </c>
      <c r="C7" s="66" t="s">
        <v>942</v>
      </c>
      <c r="D7" s="66" t="e" vm="144">
        <v>#VALUE!</v>
      </c>
      <c r="E7" s="67">
        <f t="array" aca="1" ref="E7" ca="1">_FV(D7,"Price")</f>
        <v>1053.0999999999999</v>
      </c>
      <c r="F7" s="68">
        <f t="array" aca="1" ref="F7" ca="1">_FV(D7,"Previous close",TRUE)</f>
        <v>997.8</v>
      </c>
      <c r="G7" s="62">
        <v>1053.0999999999999</v>
      </c>
      <c r="H7" s="62">
        <v>1005.22</v>
      </c>
      <c r="I7" s="62">
        <v>990.26</v>
      </c>
      <c r="J7" s="62">
        <v>943.23</v>
      </c>
      <c r="K7" s="60"/>
      <c r="L7" s="60"/>
      <c r="M7" s="60" t="s">
        <v>952</v>
      </c>
      <c r="N7" s="56" t="s">
        <v>947</v>
      </c>
      <c r="O7" s="53">
        <v>1210</v>
      </c>
      <c r="P7" s="53">
        <v>1170.7</v>
      </c>
      <c r="Q7" s="54">
        <v>3.3599999999999998E-2</v>
      </c>
    </row>
    <row r="8" spans="1:17">
      <c r="A8" s="65">
        <v>46158</v>
      </c>
      <c r="B8" s="66" t="s">
        <v>953</v>
      </c>
      <c r="C8" s="66" t="s">
        <v>942</v>
      </c>
      <c r="D8" s="66" t="e" vm="161">
        <v>#VALUE!</v>
      </c>
      <c r="E8" s="67">
        <f t="array" aca="1" ref="E8" ca="1">_FV(D8,"Price")</f>
        <v>495</v>
      </c>
      <c r="F8" s="68">
        <f t="array" aca="1" ref="F8" ca="1">_FV(D8,"Previous close",TRUE)</f>
        <v>478.65</v>
      </c>
      <c r="G8" s="62">
        <v>495</v>
      </c>
      <c r="H8" s="62">
        <v>482.47</v>
      </c>
      <c r="I8" s="62">
        <v>473.6</v>
      </c>
      <c r="J8" s="62">
        <v>436.64</v>
      </c>
      <c r="K8" s="60"/>
      <c r="L8" s="60"/>
      <c r="M8" s="60" t="s">
        <v>199</v>
      </c>
      <c r="N8" s="57" t="s">
        <v>954</v>
      </c>
      <c r="O8" s="53">
        <v>549.35</v>
      </c>
      <c r="P8" s="53">
        <v>538.04999999999995</v>
      </c>
      <c r="Q8" s="54">
        <v>2.1000000000000001E-2</v>
      </c>
    </row>
    <row r="9" spans="1:17">
      <c r="A9" s="65">
        <v>46158</v>
      </c>
      <c r="B9" s="66" t="s">
        <v>955</v>
      </c>
      <c r="C9" s="66" t="s">
        <v>942</v>
      </c>
      <c r="D9" s="66" t="e" vm="162">
        <v>#VALUE!</v>
      </c>
      <c r="E9" s="67">
        <f t="array" aca="1" ref="E9" ca="1">_FV(D9,"Price")</f>
        <v>510</v>
      </c>
      <c r="F9" s="68">
        <f t="array" aca="1" ref="F9" ca="1">_FV(D9,"Previous close",TRUE)</f>
        <v>499.25</v>
      </c>
      <c r="G9" s="62">
        <v>510</v>
      </c>
      <c r="H9" s="62">
        <v>534.74</v>
      </c>
      <c r="I9" s="62">
        <v>534.61</v>
      </c>
      <c r="J9" s="62">
        <v>519.34</v>
      </c>
      <c r="K9" s="60"/>
      <c r="L9" s="60"/>
      <c r="M9" s="60" t="s">
        <v>956</v>
      </c>
      <c r="N9" s="56" t="s">
        <v>947</v>
      </c>
      <c r="O9" s="53">
        <v>914.95</v>
      </c>
      <c r="P9" s="53">
        <v>899.35</v>
      </c>
      <c r="Q9" s="54">
        <v>1.7299999999999999E-2</v>
      </c>
    </row>
    <row r="10" spans="1:17">
      <c r="A10" s="65">
        <v>46158</v>
      </c>
      <c r="B10" s="66" t="s">
        <v>180</v>
      </c>
      <c r="C10" s="66" t="s">
        <v>942</v>
      </c>
      <c r="D10" s="66" t="e" vm="163">
        <v>#VALUE!</v>
      </c>
      <c r="E10" s="67">
        <f t="array" aca="1" ref="E10" ca="1">_FV(D10,"Price")</f>
        <v>409.4</v>
      </c>
      <c r="F10" s="68">
        <f t="array" aca="1" ref="F10" ca="1">_FV(D10,"Previous close",TRUE)</f>
        <v>381.75</v>
      </c>
      <c r="G10" s="62">
        <v>409.4</v>
      </c>
      <c r="H10" s="62">
        <v>349.68</v>
      </c>
      <c r="I10" s="62">
        <v>337.34</v>
      </c>
      <c r="J10" s="62">
        <v>301.93</v>
      </c>
      <c r="K10" s="60"/>
      <c r="L10" s="60"/>
      <c r="M10" s="60" t="s">
        <v>957</v>
      </c>
      <c r="N10" s="56" t="s">
        <v>947</v>
      </c>
      <c r="O10" s="53">
        <v>113.99</v>
      </c>
      <c r="P10" s="53">
        <v>112.27</v>
      </c>
      <c r="Q10" s="54">
        <v>1.5299999999999999E-2</v>
      </c>
    </row>
    <row r="11" spans="1:17">
      <c r="A11" s="65">
        <v>46158</v>
      </c>
      <c r="B11" s="66" t="s">
        <v>193</v>
      </c>
      <c r="C11" s="66" t="s">
        <v>942</v>
      </c>
      <c r="D11" s="66" t="e" vm="164">
        <v>#VALUE!</v>
      </c>
      <c r="E11" s="67">
        <f t="array" aca="1" ref="E11" ca="1">_FV(D11,"Price")</f>
        <v>171.86</v>
      </c>
      <c r="F11" s="68">
        <f t="array" aca="1" ref="F11" ca="1">_FV(D11,"Previous close",TRUE)</f>
        <v>163.68</v>
      </c>
      <c r="G11" s="62">
        <v>171.86</v>
      </c>
      <c r="H11" s="62">
        <v>147.21</v>
      </c>
      <c r="I11" s="62">
        <v>140.01</v>
      </c>
      <c r="J11" s="62">
        <v>116.98</v>
      </c>
      <c r="K11" s="60"/>
      <c r="L11" s="60"/>
      <c r="M11" s="60" t="s">
        <v>958</v>
      </c>
      <c r="N11" s="56" t="s">
        <v>947</v>
      </c>
      <c r="O11" s="53">
        <v>1613.5</v>
      </c>
      <c r="P11" s="53">
        <v>1590.4</v>
      </c>
      <c r="Q11" s="54">
        <v>1.4500000000000001E-2</v>
      </c>
    </row>
    <row r="12" spans="1:17">
      <c r="A12" s="65">
        <v>46158</v>
      </c>
      <c r="B12" s="66" t="s">
        <v>869</v>
      </c>
      <c r="C12" s="66" t="s">
        <v>942</v>
      </c>
      <c r="D12" s="66" t="e" vm="87">
        <v>#VALUE!</v>
      </c>
      <c r="E12" s="67">
        <f t="array" aca="1" ref="E12" ca="1">_FV(D12,"Price")</f>
        <v>1669.9</v>
      </c>
      <c r="F12" s="68">
        <f t="array" aca="1" ref="F12" ca="1">_FV(D12,"Previous close",TRUE)</f>
        <v>1612.4</v>
      </c>
      <c r="G12" s="62">
        <v>1669.9</v>
      </c>
      <c r="H12" s="62">
        <v>1679.62</v>
      </c>
      <c r="I12" s="62">
        <v>1669.92</v>
      </c>
      <c r="J12" s="62">
        <v>1649.65</v>
      </c>
      <c r="K12" s="60"/>
      <c r="L12" s="60"/>
      <c r="M12" s="60" t="s">
        <v>213</v>
      </c>
      <c r="N12" s="56" t="s">
        <v>947</v>
      </c>
      <c r="O12" s="53">
        <v>78.72</v>
      </c>
      <c r="P12" s="53">
        <v>77.61</v>
      </c>
      <c r="Q12" s="54">
        <v>1.43E-2</v>
      </c>
    </row>
    <row r="13" spans="1:17">
      <c r="A13" s="65">
        <v>46158</v>
      </c>
      <c r="B13" s="66" t="s">
        <v>120</v>
      </c>
      <c r="C13" s="66" t="s">
        <v>942</v>
      </c>
      <c r="D13" s="66" t="e" vm="165">
        <v>#VALUE!</v>
      </c>
      <c r="E13" s="67">
        <f t="array" aca="1" ref="E13" ca="1">_FV(D13,"Price")</f>
        <v>1472.8</v>
      </c>
      <c r="F13" s="68">
        <f t="array" aca="1" ref="F13" ca="1">_FV(D13,"Previous close",TRUE)</f>
        <v>1464.1</v>
      </c>
      <c r="G13" s="62">
        <v>1472.8</v>
      </c>
      <c r="H13" s="62">
        <v>1432.87</v>
      </c>
      <c r="I13" s="62">
        <v>1419.02</v>
      </c>
      <c r="J13" s="62">
        <v>1358.2</v>
      </c>
      <c r="K13" s="60"/>
      <c r="L13" s="60"/>
      <c r="M13" s="60" t="s">
        <v>126</v>
      </c>
      <c r="N13" s="56" t="s">
        <v>947</v>
      </c>
      <c r="O13" s="53">
        <v>41.26</v>
      </c>
      <c r="P13" s="53">
        <v>40.729999999999997</v>
      </c>
      <c r="Q13" s="54">
        <v>1.2999999999999999E-2</v>
      </c>
    </row>
    <row r="14" spans="1:17">
      <c r="A14" s="65">
        <v>46158</v>
      </c>
      <c r="B14" s="66" t="s">
        <v>956</v>
      </c>
      <c r="C14" s="66" t="s">
        <v>942</v>
      </c>
      <c r="D14" s="66" t="e" vm="166">
        <v>#VALUE!</v>
      </c>
      <c r="E14" s="67">
        <f t="array" aca="1" ref="E14" ca="1">_FV(D14,"Price")</f>
        <v>836.55</v>
      </c>
      <c r="F14" s="68">
        <f t="array" aca="1" ref="F14" ca="1">_FV(D14,"Previous close",TRUE)</f>
        <v>859.65</v>
      </c>
      <c r="G14" s="62">
        <v>836.55</v>
      </c>
      <c r="H14" s="62">
        <v>744.3</v>
      </c>
      <c r="I14" s="62">
        <v>723.93</v>
      </c>
      <c r="J14" s="62">
        <v>657.63</v>
      </c>
      <c r="K14" s="60"/>
      <c r="L14" s="60"/>
      <c r="M14" s="60" t="s">
        <v>959</v>
      </c>
      <c r="N14" s="56" t="s">
        <v>947</v>
      </c>
      <c r="O14" s="53">
        <v>74.8</v>
      </c>
      <c r="P14" s="53">
        <v>73.95</v>
      </c>
      <c r="Q14" s="54">
        <v>1.15E-2</v>
      </c>
    </row>
    <row r="15" spans="1:17">
      <c r="A15" s="65">
        <v>46158</v>
      </c>
      <c r="B15" s="66" t="s">
        <v>960</v>
      </c>
      <c r="C15" s="66" t="s">
        <v>942</v>
      </c>
      <c r="D15" s="66" t="e" vm="167">
        <v>#VALUE!</v>
      </c>
      <c r="E15" s="67">
        <f t="array" aca="1" ref="E15" ca="1">_FV(D15,"Price")</f>
        <v>1626</v>
      </c>
      <c r="F15" s="68">
        <f t="array" aca="1" ref="F15" ca="1">_FV(D15,"Previous close",TRUE)</f>
        <v>1598.9</v>
      </c>
      <c r="G15" s="62">
        <v>1626</v>
      </c>
      <c r="H15" s="62">
        <v>1638.81</v>
      </c>
      <c r="I15" s="62">
        <v>1635.2</v>
      </c>
      <c r="J15" s="62">
        <v>1619.72</v>
      </c>
      <c r="K15" s="60"/>
      <c r="L15" s="60"/>
      <c r="M15" s="60" t="s">
        <v>394</v>
      </c>
      <c r="N15" s="57" t="s">
        <v>954</v>
      </c>
      <c r="O15" s="53">
        <v>305.45</v>
      </c>
      <c r="P15" s="53">
        <v>304.14999999999998</v>
      </c>
      <c r="Q15" s="54">
        <v>4.3E-3</v>
      </c>
    </row>
    <row r="16" spans="1:17">
      <c r="A16" s="65">
        <v>46158</v>
      </c>
      <c r="B16" s="66" t="s">
        <v>894</v>
      </c>
      <c r="C16" s="66" t="s">
        <v>942</v>
      </c>
      <c r="D16" s="66" t="e" vm="116">
        <v>#VALUE!</v>
      </c>
      <c r="E16" s="67">
        <f t="array" aca="1" ref="E16" ca="1">_FV(D16,"Price")</f>
        <v>1831.8</v>
      </c>
      <c r="F16" s="68">
        <f t="array" aca="1" ref="F16" ca="1">_FV(D16,"Previous close",TRUE)</f>
        <v>1808.9</v>
      </c>
      <c r="G16" s="62">
        <v>1831.8</v>
      </c>
      <c r="H16" s="62">
        <v>1667.1</v>
      </c>
      <c r="I16" s="62">
        <v>1644.14</v>
      </c>
      <c r="J16" s="62">
        <v>1607.17</v>
      </c>
      <c r="K16" s="60"/>
      <c r="L16" s="60"/>
      <c r="M16" s="60" t="s">
        <v>189</v>
      </c>
      <c r="N16" s="56" t="s">
        <v>947</v>
      </c>
      <c r="O16" s="53">
        <v>1584.3</v>
      </c>
      <c r="P16" s="53">
        <v>1579</v>
      </c>
      <c r="Q16" s="54">
        <v>3.3999999999999998E-3</v>
      </c>
    </row>
    <row r="17" spans="1:17">
      <c r="A17" s="65">
        <v>46158</v>
      </c>
      <c r="B17" s="66" t="s">
        <v>648</v>
      </c>
      <c r="C17" s="66" t="s">
        <v>942</v>
      </c>
      <c r="D17" s="66" t="e" vm="168">
        <v>#VALUE!</v>
      </c>
      <c r="E17" s="67">
        <f t="array" aca="1" ref="E17" ca="1">_FV(D17,"Price")</f>
        <v>1104.7</v>
      </c>
      <c r="F17" s="68">
        <f t="array" aca="1" ref="F17" ca="1">_FV(D17,"Previous close",TRUE)</f>
        <v>1105.9000000000001</v>
      </c>
      <c r="G17" s="62">
        <v>1104.7</v>
      </c>
      <c r="H17" s="62">
        <v>1021.95</v>
      </c>
      <c r="I17" s="62">
        <v>1008.55</v>
      </c>
      <c r="J17" s="62">
        <v>973.32</v>
      </c>
      <c r="K17" s="60"/>
      <c r="L17" s="60"/>
      <c r="M17" s="60" t="s">
        <v>961</v>
      </c>
      <c r="N17" s="56" t="s">
        <v>947</v>
      </c>
      <c r="O17" s="53">
        <v>534</v>
      </c>
      <c r="P17" s="53">
        <v>532.29999999999995</v>
      </c>
      <c r="Q17" s="54">
        <v>3.2000000000000002E-3</v>
      </c>
    </row>
    <row r="18" spans="1:17">
      <c r="A18" s="65">
        <v>46158</v>
      </c>
      <c r="B18" s="66" t="s">
        <v>962</v>
      </c>
      <c r="C18" s="66" t="s">
        <v>942</v>
      </c>
      <c r="D18" s="66" t="e" vm="169">
        <v>#VALUE!</v>
      </c>
      <c r="E18" s="67">
        <f t="array" aca="1" ref="E18" ca="1">_FV(D18,"Price")</f>
        <v>64.12</v>
      </c>
      <c r="F18" s="68">
        <f t="array" aca="1" ref="F18" ca="1">_FV(D18,"Previous close",TRUE)</f>
        <v>65.42</v>
      </c>
      <c r="G18" s="62">
        <v>64.12</v>
      </c>
      <c r="H18" s="62">
        <v>62.7</v>
      </c>
      <c r="I18" s="62">
        <v>60.79</v>
      </c>
      <c r="J18" s="62">
        <v>54.86</v>
      </c>
      <c r="K18" s="60"/>
      <c r="L18" s="60"/>
      <c r="M18" s="60" t="s">
        <v>963</v>
      </c>
      <c r="N18" s="56" t="s">
        <v>947</v>
      </c>
      <c r="O18" s="53">
        <v>184.64</v>
      </c>
      <c r="P18" s="53">
        <v>184.28</v>
      </c>
      <c r="Q18" s="54">
        <v>2E-3</v>
      </c>
    </row>
    <row r="19" spans="1:17">
      <c r="A19" s="65">
        <v>46158</v>
      </c>
      <c r="B19" s="66" t="s">
        <v>153</v>
      </c>
      <c r="C19" s="66" t="s">
        <v>942</v>
      </c>
      <c r="D19" s="66" t="e" vm="35">
        <v>#VALUE!</v>
      </c>
      <c r="E19" s="67">
        <f t="array" aca="1" ref="E19" ca="1">_FV(D19,"Price")</f>
        <v>1807.7</v>
      </c>
      <c r="F19" s="68">
        <f t="array" aca="1" ref="F19" ca="1">_FV(D19,"Previous close",TRUE)</f>
        <v>1794.2</v>
      </c>
      <c r="G19" s="62">
        <v>1807.7</v>
      </c>
      <c r="H19" s="62">
        <v>1791.31</v>
      </c>
      <c r="I19" s="62">
        <v>1785.14</v>
      </c>
      <c r="J19" s="62">
        <v>1761.3</v>
      </c>
      <c r="K19" s="60"/>
      <c r="L19" s="60"/>
      <c r="M19" s="60"/>
    </row>
    <row r="20" spans="1:17">
      <c r="A20" s="65">
        <v>46158</v>
      </c>
      <c r="B20" s="66" t="s">
        <v>118</v>
      </c>
      <c r="C20" s="66" t="s">
        <v>942</v>
      </c>
      <c r="D20" s="66" t="e" vm="170">
        <v>#VALUE!</v>
      </c>
      <c r="E20" s="67">
        <f t="array" aca="1" ref="E20" ca="1">_FV(D20,"Price")</f>
        <v>3131</v>
      </c>
      <c r="F20" s="68">
        <f t="array" aca="1" ref="F20" ca="1">_FV(D20,"Previous close",TRUE)</f>
        <v>3143.4</v>
      </c>
      <c r="G20" s="62">
        <v>3131</v>
      </c>
      <c r="H20" s="62">
        <v>2995.41</v>
      </c>
      <c r="I20" s="62">
        <v>2978.86</v>
      </c>
      <c r="J20" s="62">
        <v>2908.68</v>
      </c>
      <c r="K20" s="60"/>
      <c r="L20" s="60"/>
      <c r="M20" s="60"/>
    </row>
    <row r="21" spans="1:17">
      <c r="A21" s="65">
        <v>46158</v>
      </c>
      <c r="B21" s="66" t="s">
        <v>964</v>
      </c>
      <c r="C21" s="66" t="s">
        <v>942</v>
      </c>
      <c r="D21" s="66" t="e" vm="171">
        <v>#VALUE!</v>
      </c>
      <c r="E21" s="67">
        <f t="array" aca="1" ref="E21" ca="1">_FV(D21,"Price")</f>
        <v>167.15</v>
      </c>
      <c r="F21" s="68">
        <f t="array" aca="1" ref="F21" ca="1">_FV(D21,"Previous close",TRUE)</f>
        <v>166.26</v>
      </c>
      <c r="G21" s="62">
        <v>167.15</v>
      </c>
      <c r="H21" s="62">
        <v>142.02000000000001</v>
      </c>
      <c r="I21" s="62">
        <v>139.38999999999999</v>
      </c>
      <c r="J21" s="62">
        <v>131.49</v>
      </c>
      <c r="K21" s="60"/>
      <c r="L21" s="60"/>
      <c r="M21" s="60"/>
    </row>
    <row r="22" spans="1:17">
      <c r="A22" s="65">
        <v>46158</v>
      </c>
      <c r="B22" s="66" t="s">
        <v>121</v>
      </c>
      <c r="C22" s="66" t="s">
        <v>942</v>
      </c>
      <c r="D22" s="66" t="e" vm="172">
        <v>#VALUE!</v>
      </c>
      <c r="E22" s="67">
        <f t="array" aca="1" ref="E22" ca="1">_FV(D22,"Price")</f>
        <v>703.55</v>
      </c>
      <c r="F22" s="68">
        <f t="array" aca="1" ref="F22" ca="1">_FV(D22,"Previous close",TRUE)</f>
        <v>680.35</v>
      </c>
      <c r="G22" s="62">
        <v>703.55</v>
      </c>
      <c r="H22" s="62">
        <v>611.65</v>
      </c>
      <c r="I22" s="62">
        <v>602.67999999999995</v>
      </c>
      <c r="J22" s="62">
        <v>587.28</v>
      </c>
      <c r="K22" s="60"/>
      <c r="L22" s="60"/>
      <c r="M22" s="60"/>
    </row>
    <row r="23" spans="1:17">
      <c r="A23" s="65">
        <v>46158</v>
      </c>
      <c r="B23" s="66" t="s">
        <v>965</v>
      </c>
      <c r="C23" s="66" t="s">
        <v>942</v>
      </c>
      <c r="D23" s="66" t="e" vm="173">
        <v>#VALUE!</v>
      </c>
      <c r="E23" s="67">
        <f t="array" aca="1" ref="E23" ca="1">_FV(D23,"Price")</f>
        <v>1235.0999999999999</v>
      </c>
      <c r="F23" s="68">
        <f t="array" aca="1" ref="F23" ca="1">_FV(D23,"Previous close",TRUE)</f>
        <v>1229.0999999999999</v>
      </c>
      <c r="G23" s="62">
        <v>1235.0999999999999</v>
      </c>
      <c r="H23" s="62">
        <v>1188.8</v>
      </c>
      <c r="I23" s="62">
        <v>1179.08</v>
      </c>
      <c r="J23" s="62">
        <v>1162.29</v>
      </c>
      <c r="K23" s="60"/>
      <c r="L23" s="60"/>
      <c r="M23" s="60"/>
    </row>
    <row r="24" spans="1:17">
      <c r="A24" s="65">
        <v>46158</v>
      </c>
      <c r="B24" s="66" t="s">
        <v>966</v>
      </c>
      <c r="C24" s="66" t="s">
        <v>942</v>
      </c>
      <c r="D24" s="66" t="e" vm="174">
        <v>#VALUE!</v>
      </c>
      <c r="E24" s="67">
        <f t="array" aca="1" ref="E24" ca="1">_FV(D24,"Price")</f>
        <v>2381.1</v>
      </c>
      <c r="F24" s="68">
        <f t="array" aca="1" ref="F24" ca="1">_FV(D24,"Previous close",TRUE)</f>
        <v>2372.6999999999998</v>
      </c>
      <c r="G24" s="62">
        <v>2381.1</v>
      </c>
      <c r="H24" s="62">
        <v>2335.89</v>
      </c>
      <c r="I24" s="62">
        <v>2318.2199999999998</v>
      </c>
      <c r="J24" s="62">
        <v>2273.9899999999998</v>
      </c>
      <c r="K24" s="60"/>
      <c r="L24" s="60"/>
      <c r="M24" s="60"/>
    </row>
    <row r="25" spans="1:17">
      <c r="A25" s="65">
        <v>46158</v>
      </c>
      <c r="B25" s="66" t="s">
        <v>967</v>
      </c>
      <c r="C25" s="66" t="s">
        <v>942</v>
      </c>
      <c r="D25" s="66" t="e" vm="175">
        <v>#VALUE!</v>
      </c>
      <c r="E25" s="67">
        <f t="array" aca="1" ref="E25" ca="1">_FV(D25,"Price")</f>
        <v>1583</v>
      </c>
      <c r="F25" s="68">
        <f t="array" aca="1" ref="F25" ca="1">_FV(D25,"Previous close",TRUE)</f>
        <v>1613.6</v>
      </c>
      <c r="G25" s="62">
        <v>1583</v>
      </c>
      <c r="H25" s="62">
        <v>1568.15</v>
      </c>
      <c r="I25" s="62">
        <v>1561.05</v>
      </c>
      <c r="J25" s="62">
        <v>1530.87</v>
      </c>
      <c r="K25" s="60"/>
      <c r="L25" s="60"/>
      <c r="M25" s="60"/>
    </row>
    <row r="26" spans="1:17">
      <c r="A26" s="65">
        <v>46158</v>
      </c>
      <c r="B26" s="66" t="s">
        <v>968</v>
      </c>
      <c r="C26" s="66" t="s">
        <v>942</v>
      </c>
      <c r="D26" s="66" t="e" vm="176">
        <v>#VALUE!</v>
      </c>
      <c r="E26" s="67">
        <f t="array" aca="1" ref="E26" ca="1">_FV(D26,"Price")</f>
        <v>316.3</v>
      </c>
      <c r="F26" s="68">
        <f t="array" aca="1" ref="F26" ca="1">_FV(D26,"Previous close",TRUE)</f>
        <v>310.35000000000002</v>
      </c>
      <c r="G26" s="62">
        <v>316.3</v>
      </c>
      <c r="H26" s="62">
        <v>322.13</v>
      </c>
      <c r="I26" s="62">
        <v>317.64999999999998</v>
      </c>
      <c r="J26" s="62">
        <v>299.35000000000002</v>
      </c>
      <c r="K26" s="60"/>
      <c r="L26" s="60"/>
      <c r="M26" s="60"/>
    </row>
    <row r="27" spans="1:17">
      <c r="A27" s="65">
        <v>46158</v>
      </c>
      <c r="B27" s="66" t="s">
        <v>672</v>
      </c>
      <c r="C27" s="66" t="s">
        <v>942</v>
      </c>
      <c r="D27" s="66" t="e" vm="8">
        <v>#VALUE!</v>
      </c>
      <c r="E27" s="67">
        <f t="array" aca="1" ref="E27" ca="1">_FV(D27,"Price")</f>
        <v>640.25</v>
      </c>
      <c r="F27" s="68">
        <f t="array" aca="1" ref="F27" ca="1">_FV(D27,"Previous close",TRUE)</f>
        <v>635.5</v>
      </c>
      <c r="G27" s="62">
        <v>640.25</v>
      </c>
      <c r="H27" s="62">
        <v>640.79</v>
      </c>
      <c r="I27" s="62">
        <v>632.41999999999996</v>
      </c>
      <c r="J27" s="62">
        <v>603.61</v>
      </c>
      <c r="K27" s="60"/>
      <c r="L27" s="60"/>
      <c r="M27" s="60"/>
    </row>
    <row r="28" spans="1:17">
      <c r="A28" s="65">
        <v>46158</v>
      </c>
      <c r="B28" s="66" t="s">
        <v>224</v>
      </c>
      <c r="C28" s="66" t="s">
        <v>942</v>
      </c>
      <c r="D28" s="66" t="e" vm="95">
        <v>#VALUE!</v>
      </c>
      <c r="E28" s="67">
        <f t="array" aca="1" ref="E28" ca="1">_FV(D28,"Price")</f>
        <v>676.1</v>
      </c>
      <c r="F28" s="68">
        <f t="array" aca="1" ref="F28" ca="1">_FV(D28,"Previous close",TRUE)</f>
        <v>672.1</v>
      </c>
      <c r="G28" s="62">
        <v>676.1</v>
      </c>
      <c r="H28" s="62">
        <v>649.35</v>
      </c>
      <c r="I28" s="62">
        <v>639.4</v>
      </c>
      <c r="J28" s="62">
        <v>618</v>
      </c>
      <c r="K28" s="60"/>
      <c r="L28" s="60"/>
      <c r="M28" s="60"/>
    </row>
    <row r="29" spans="1:17">
      <c r="A29" s="65">
        <v>46158</v>
      </c>
      <c r="B29" s="66" t="s">
        <v>222</v>
      </c>
      <c r="C29" s="66" t="s">
        <v>942</v>
      </c>
      <c r="D29" s="66" t="e" vm="177">
        <v>#VALUE!</v>
      </c>
      <c r="E29" s="67">
        <f t="array" aca="1" ref="E29" ca="1">_FV(D29,"Price")</f>
        <v>252.37</v>
      </c>
      <c r="F29" s="68">
        <f t="array" aca="1" ref="F29" ca="1">_FV(D29,"Previous close",TRUE)</f>
        <v>249.83</v>
      </c>
      <c r="G29" s="62">
        <v>252.37</v>
      </c>
      <c r="H29" s="62">
        <v>217.7</v>
      </c>
      <c r="I29" s="62">
        <v>212.81</v>
      </c>
      <c r="J29" s="62">
        <v>199.95</v>
      </c>
      <c r="K29" s="60"/>
      <c r="L29" s="60"/>
      <c r="M29" s="60"/>
    </row>
    <row r="30" spans="1:17">
      <c r="A30" s="65">
        <v>46158</v>
      </c>
      <c r="B30" s="66" t="s">
        <v>969</v>
      </c>
      <c r="C30" s="66" t="s">
        <v>942</v>
      </c>
      <c r="D30" s="66" t="e" vm="178">
        <v>#VALUE!</v>
      </c>
      <c r="E30" s="67">
        <f t="array" aca="1" ref="E30" ca="1">_FV(D30,"Price")</f>
        <v>608.54999999999995</v>
      </c>
      <c r="F30" s="68">
        <f t="array" aca="1" ref="F30" ca="1">_FV(D30,"Previous close",TRUE)</f>
        <v>580.70000000000005</v>
      </c>
      <c r="G30" s="62">
        <v>608.54999999999995</v>
      </c>
      <c r="H30" s="62">
        <v>539.95000000000005</v>
      </c>
      <c r="I30" s="62">
        <v>534.1</v>
      </c>
      <c r="J30" s="62">
        <v>525.14</v>
      </c>
      <c r="K30" s="60"/>
      <c r="L30" s="60"/>
      <c r="M30" s="60"/>
    </row>
    <row r="31" spans="1:17">
      <c r="A31" s="65">
        <v>46158</v>
      </c>
      <c r="B31" s="66" t="s">
        <v>970</v>
      </c>
      <c r="C31" s="66" t="s">
        <v>942</v>
      </c>
      <c r="D31" s="66" t="e" vm="179">
        <v>#VALUE!</v>
      </c>
      <c r="E31" s="67">
        <f t="array" aca="1" ref="E31" ca="1">_FV(D31,"Price")</f>
        <v>262.60000000000002</v>
      </c>
      <c r="F31" s="68">
        <f t="array" aca="1" ref="F31" ca="1">_FV(D31,"Previous close",TRUE)</f>
        <v>254.75</v>
      </c>
      <c r="G31" s="62">
        <v>262.60000000000002</v>
      </c>
      <c r="H31" s="62">
        <v>260.10000000000002</v>
      </c>
      <c r="I31" s="62">
        <v>257.87</v>
      </c>
      <c r="J31" s="62">
        <v>252.43</v>
      </c>
      <c r="K31" s="60"/>
      <c r="L31" s="60"/>
      <c r="M31" s="60"/>
    </row>
    <row r="32" spans="1:17">
      <c r="A32" s="65">
        <v>46158</v>
      </c>
      <c r="B32" s="66" t="s">
        <v>971</v>
      </c>
      <c r="C32" s="66" t="s">
        <v>942</v>
      </c>
      <c r="D32" s="66" t="e" vm="180">
        <v>#VALUE!</v>
      </c>
      <c r="E32" s="67">
        <f t="array" aca="1" ref="E32" ca="1">_FV(D32,"Price")</f>
        <v>226.32</v>
      </c>
      <c r="F32" s="68">
        <f t="array" aca="1" ref="F32" ca="1">_FV(D32,"Previous close",TRUE)</f>
        <v>219.69</v>
      </c>
      <c r="G32" s="62">
        <v>226.32</v>
      </c>
      <c r="H32" s="62">
        <v>207.83</v>
      </c>
      <c r="I32" s="62">
        <v>202.45</v>
      </c>
      <c r="J32" s="62">
        <v>185.07</v>
      </c>
      <c r="K32" s="60"/>
      <c r="L32" s="60"/>
      <c r="M32" s="60"/>
    </row>
    <row r="33" spans="1:13">
      <c r="A33" s="65">
        <v>46158</v>
      </c>
      <c r="B33" s="66" t="s">
        <v>843</v>
      </c>
      <c r="C33" s="66" t="s">
        <v>942</v>
      </c>
      <c r="D33" s="66" t="e" vm="60">
        <v>#VALUE!</v>
      </c>
      <c r="E33" s="67">
        <f t="array" aca="1" ref="E33" ca="1">_FV(D33,"Price")</f>
        <v>550.5</v>
      </c>
      <c r="F33" s="68">
        <f t="array" aca="1" ref="F33" ca="1">_FV(D33,"Previous close",TRUE)</f>
        <v>550.5</v>
      </c>
      <c r="G33" s="62">
        <v>550.5</v>
      </c>
      <c r="H33" s="62">
        <v>569.91999999999996</v>
      </c>
      <c r="I33" s="62">
        <v>571.20000000000005</v>
      </c>
      <c r="J33" s="62">
        <v>572.34</v>
      </c>
      <c r="K33" s="60"/>
      <c r="L33" s="60"/>
      <c r="M33" s="60"/>
    </row>
    <row r="34" spans="1:13">
      <c r="A34" s="65">
        <v>46158</v>
      </c>
      <c r="B34" s="66" t="s">
        <v>741</v>
      </c>
      <c r="C34" s="66" t="s">
        <v>942</v>
      </c>
      <c r="D34" s="66" t="e" vm="181">
        <v>#VALUE!</v>
      </c>
      <c r="E34" s="67">
        <f t="array" aca="1" ref="E34" ca="1">_FV(D34,"Price")</f>
        <v>1793.8</v>
      </c>
      <c r="F34" s="68">
        <f t="array" aca="1" ref="F34" ca="1">_FV(D34,"Previous close",TRUE)</f>
        <v>1715.1</v>
      </c>
      <c r="G34" s="62">
        <v>1793.8</v>
      </c>
      <c r="H34" s="62">
        <v>1659.73</v>
      </c>
      <c r="I34" s="62">
        <v>1635.89</v>
      </c>
      <c r="J34" s="62">
        <v>1561.24</v>
      </c>
      <c r="K34" s="60"/>
      <c r="L34" s="60"/>
      <c r="M34" s="60"/>
    </row>
    <row r="35" spans="1:13">
      <c r="A35" s="65">
        <v>46158</v>
      </c>
      <c r="B35" s="66" t="s">
        <v>505</v>
      </c>
      <c r="C35" s="66" t="s">
        <v>972</v>
      </c>
      <c r="D35" s="66" t="e" vm="30">
        <v>#VALUE!</v>
      </c>
      <c r="E35" s="67">
        <f t="array" aca="1" ref="E35" ca="1">_FV(D35,"Price")</f>
        <v>1192.8</v>
      </c>
      <c r="F35" s="68">
        <f t="array" aca="1" ref="F35" ca="1">_FV(D35,"Previous close",TRUE)</f>
        <v>1126</v>
      </c>
      <c r="G35" s="62">
        <v>1192.8</v>
      </c>
      <c r="H35" s="62">
        <v>1191.9000000000001</v>
      </c>
      <c r="I35" s="62">
        <v>1162.77</v>
      </c>
      <c r="J35" s="62">
        <v>1040.79</v>
      </c>
      <c r="K35" s="60"/>
      <c r="L35" s="60"/>
      <c r="M35" s="60"/>
    </row>
    <row r="36" spans="1:13">
      <c r="A36" s="65">
        <v>46158</v>
      </c>
      <c r="B36" s="66" t="s">
        <v>973</v>
      </c>
      <c r="C36" s="66" t="s">
        <v>972</v>
      </c>
      <c r="D36" s="66" t="e" vm="182">
        <v>#VALUE!</v>
      </c>
      <c r="E36" s="67">
        <f t="array" aca="1" ref="E36" ca="1">_FV(D36,"Price")</f>
        <v>7159.5</v>
      </c>
      <c r="F36" s="68">
        <f t="array" aca="1" ref="F36" ca="1">_FV(D36,"Previous close",TRUE)</f>
        <v>6306</v>
      </c>
      <c r="G36" s="62">
        <v>7159.5</v>
      </c>
      <c r="H36" s="62">
        <v>6688.2</v>
      </c>
      <c r="I36" s="62">
        <v>6412.66</v>
      </c>
      <c r="J36" s="62">
        <v>5345.4</v>
      </c>
      <c r="K36" s="60"/>
      <c r="L36" s="60"/>
      <c r="M36" s="60"/>
    </row>
    <row r="37" spans="1:13">
      <c r="A37" s="65">
        <v>46158</v>
      </c>
      <c r="B37" s="66" t="s">
        <v>974</v>
      </c>
      <c r="C37" s="66" t="s">
        <v>972</v>
      </c>
      <c r="D37" s="66" t="e" vm="183">
        <v>#VALUE!</v>
      </c>
      <c r="E37" s="67">
        <f t="array" aca="1" ref="E37" ca="1">_FV(D37,"Price")</f>
        <v>2853</v>
      </c>
      <c r="F37" s="68">
        <f t="array" aca="1" ref="F37" ca="1">_FV(D37,"Previous close",TRUE)</f>
        <v>2778.8</v>
      </c>
      <c r="G37" s="62">
        <v>2853</v>
      </c>
      <c r="H37" s="62">
        <v>2909.49</v>
      </c>
      <c r="I37" s="62">
        <v>2878.27</v>
      </c>
      <c r="J37" s="62">
        <v>2698.33</v>
      </c>
      <c r="K37" s="60"/>
      <c r="L37" s="60"/>
      <c r="M37" s="60"/>
    </row>
    <row r="38" spans="1:13">
      <c r="A38" s="65">
        <v>46158</v>
      </c>
      <c r="B38" s="66" t="s">
        <v>975</v>
      </c>
      <c r="C38" s="66" t="s">
        <v>972</v>
      </c>
      <c r="D38" s="66" t="e" vm="184">
        <v>#VALUE!</v>
      </c>
      <c r="E38" s="67">
        <f t="array" aca="1" ref="E38" ca="1">_FV(D38,"Price")</f>
        <v>1018.6</v>
      </c>
      <c r="F38" s="68">
        <f t="array" aca="1" ref="F38" ca="1">_FV(D38,"Previous close",TRUE)</f>
        <v>988.5</v>
      </c>
      <c r="G38" s="62">
        <v>1018.6</v>
      </c>
      <c r="H38" s="62">
        <v>869.24</v>
      </c>
      <c r="I38" s="62">
        <v>831.8</v>
      </c>
      <c r="J38" s="62">
        <v>718.8</v>
      </c>
      <c r="K38" s="60"/>
      <c r="L38" s="60"/>
      <c r="M38" s="60"/>
    </row>
    <row r="39" spans="1:13">
      <c r="A39" s="65">
        <v>46158</v>
      </c>
      <c r="B39" s="66" t="s">
        <v>976</v>
      </c>
      <c r="C39" s="66" t="s">
        <v>972</v>
      </c>
      <c r="D39" s="66" t="e" vm="185">
        <v>#VALUE!</v>
      </c>
      <c r="E39" s="67">
        <f t="array" aca="1" ref="E39" ca="1">_FV(D39,"Price")</f>
        <v>1634.7</v>
      </c>
      <c r="F39" s="68">
        <f t="array" aca="1" ref="F39" ca="1">_FV(D39,"Previous close",TRUE)</f>
        <v>1622.2</v>
      </c>
      <c r="G39" s="62">
        <v>1634.7</v>
      </c>
      <c r="H39" s="62">
        <v>1419.16</v>
      </c>
      <c r="I39" s="62">
        <v>1372.76</v>
      </c>
      <c r="J39" s="62">
        <v>1211.3</v>
      </c>
      <c r="K39" s="60"/>
      <c r="L39" s="60"/>
      <c r="M39" s="60"/>
    </row>
    <row r="40" spans="1:13">
      <c r="A40" s="65">
        <v>46158</v>
      </c>
      <c r="B40" s="66" t="s">
        <v>977</v>
      </c>
      <c r="C40" s="66" t="s">
        <v>972</v>
      </c>
      <c r="D40" s="66" t="e" vm="186">
        <v>#VALUE!</v>
      </c>
      <c r="E40" s="67">
        <f t="array" aca="1" ref="E40" ca="1">_FV(D40,"Price")</f>
        <v>583.65</v>
      </c>
      <c r="F40" s="68">
        <f t="array" aca="1" ref="F40" ca="1">_FV(D40,"Previous close",TRUE)</f>
        <v>568.4</v>
      </c>
      <c r="G40" s="62">
        <v>583.65</v>
      </c>
      <c r="H40" s="62">
        <v>448.21</v>
      </c>
      <c r="I40" s="62">
        <v>419.41</v>
      </c>
      <c r="J40" s="62">
        <v>325.13</v>
      </c>
      <c r="K40" s="60"/>
      <c r="L40" s="60"/>
      <c r="M40" s="60"/>
    </row>
    <row r="41" spans="1:13">
      <c r="A41" s="65">
        <v>46158</v>
      </c>
      <c r="B41" s="66" t="s">
        <v>105</v>
      </c>
      <c r="C41" s="66" t="s">
        <v>972</v>
      </c>
      <c r="D41" s="66" t="e" vm="187">
        <v>#VALUE!</v>
      </c>
      <c r="E41" s="67">
        <f t="array" aca="1" ref="E41" ca="1">_FV(D41,"Price")</f>
        <v>159.97</v>
      </c>
      <c r="F41" s="68">
        <f t="array" aca="1" ref="F41" ca="1">_FV(D41,"Previous close",TRUE)</f>
        <v>155.18</v>
      </c>
      <c r="G41" s="62">
        <v>159.97</v>
      </c>
      <c r="H41" s="62">
        <v>127.24</v>
      </c>
      <c r="I41" s="62">
        <v>123.06</v>
      </c>
      <c r="J41" s="62">
        <v>107.6</v>
      </c>
      <c r="K41" s="60"/>
      <c r="L41" s="60"/>
      <c r="M41" s="60"/>
    </row>
    <row r="42" spans="1:13">
      <c r="A42" s="65">
        <v>46158</v>
      </c>
      <c r="B42" s="66" t="s">
        <v>150</v>
      </c>
      <c r="C42" s="66" t="s">
        <v>972</v>
      </c>
      <c r="D42" s="66" t="e" vm="188">
        <v>#VALUE!</v>
      </c>
      <c r="E42" s="67">
        <f t="array" aca="1" ref="E42" ca="1">_FV(D42,"Price")</f>
        <v>1394.3</v>
      </c>
      <c r="F42" s="68">
        <f t="array" aca="1" ref="F42" ca="1">_FV(D42,"Previous close",TRUE)</f>
        <v>1390.8</v>
      </c>
      <c r="G42" s="62">
        <v>1394.3</v>
      </c>
      <c r="H42" s="62">
        <v>1292.3499999999999</v>
      </c>
      <c r="I42" s="62">
        <v>1266.02</v>
      </c>
      <c r="J42" s="62">
        <v>1175.55</v>
      </c>
      <c r="K42" s="60"/>
      <c r="L42" s="60"/>
      <c r="M42" s="60"/>
    </row>
    <row r="43" spans="1:13">
      <c r="A43" s="65">
        <v>46158</v>
      </c>
      <c r="B43" s="66" t="s">
        <v>431</v>
      </c>
      <c r="C43" s="66" t="s">
        <v>972</v>
      </c>
      <c r="D43" s="66" t="e" vm="189">
        <v>#VALUE!</v>
      </c>
      <c r="E43" s="67">
        <f t="array" aca="1" ref="E43" ca="1">_FV(D43,"Price")</f>
        <v>1890.5</v>
      </c>
      <c r="F43" s="68">
        <f t="array" aca="1" ref="F43" ca="1">_FV(D43,"Previous close",TRUE)</f>
        <v>1797.9</v>
      </c>
      <c r="G43" s="62">
        <v>1890.5</v>
      </c>
      <c r="H43" s="62">
        <v>1753.44</v>
      </c>
      <c r="I43" s="62">
        <v>1716.59</v>
      </c>
      <c r="J43" s="62">
        <v>1566.71</v>
      </c>
      <c r="K43" s="60"/>
      <c r="L43" s="60"/>
      <c r="M43" s="60"/>
    </row>
    <row r="44" spans="1:13">
      <c r="A44" s="65">
        <v>46158</v>
      </c>
      <c r="B44" s="66" t="s">
        <v>332</v>
      </c>
      <c r="C44" s="66" t="s">
        <v>972</v>
      </c>
      <c r="D44" s="66" t="e" vm="154">
        <v>#VALUE!</v>
      </c>
      <c r="E44" s="67">
        <f t="array" aca="1" ref="E44" ca="1">_FV(D44,"Price")</f>
        <v>4041.1</v>
      </c>
      <c r="F44" s="68">
        <f t="array" aca="1" ref="F44" ca="1">_FV(D44,"Previous close",TRUE)</f>
        <v>3888.3</v>
      </c>
      <c r="G44" s="62">
        <v>4041.1</v>
      </c>
      <c r="H44" s="62">
        <v>3815.17</v>
      </c>
      <c r="I44" s="62">
        <v>3736.72</v>
      </c>
      <c r="J44" s="62">
        <v>3431.58</v>
      </c>
      <c r="K44" s="60"/>
      <c r="L44" s="60"/>
      <c r="M44" s="60"/>
    </row>
    <row r="45" spans="1:13">
      <c r="A45" s="65">
        <v>46158</v>
      </c>
      <c r="B45" s="66" t="s">
        <v>978</v>
      </c>
      <c r="C45" s="66" t="s">
        <v>972</v>
      </c>
      <c r="D45" s="66" t="e" vm="190">
        <v>#VALUE!</v>
      </c>
      <c r="E45" s="67">
        <f t="array" aca="1" ref="E45" ca="1">_FV(D45,"Price")</f>
        <v>5621.5</v>
      </c>
      <c r="F45" s="68">
        <f t="array" aca="1" ref="F45" ca="1">_FV(D45,"Previous close",TRUE)</f>
        <v>5557</v>
      </c>
      <c r="G45" s="62">
        <v>5621.5</v>
      </c>
      <c r="H45" s="62">
        <v>5445.19</v>
      </c>
      <c r="I45" s="62">
        <v>5371.63</v>
      </c>
      <c r="J45" s="62">
        <v>5070.08</v>
      </c>
      <c r="K45" s="60"/>
      <c r="L45" s="60"/>
      <c r="M45" s="60"/>
    </row>
    <row r="46" spans="1:13">
      <c r="A46" s="65">
        <v>46158</v>
      </c>
      <c r="B46" s="66" t="s">
        <v>979</v>
      </c>
      <c r="C46" s="66" t="s">
        <v>972</v>
      </c>
      <c r="D46" s="66" t="e" vm="191">
        <v>#VALUE!</v>
      </c>
      <c r="E46" s="67">
        <f t="array" aca="1" ref="E46" ca="1">_FV(D46,"Price")</f>
        <v>1812.9</v>
      </c>
      <c r="F46" s="68">
        <f t="array" aca="1" ref="F46" ca="1">_FV(D46,"Previous close",TRUE)</f>
        <v>1787.1</v>
      </c>
      <c r="G46" s="62">
        <v>1812.9</v>
      </c>
      <c r="H46" s="62">
        <v>1722.47</v>
      </c>
      <c r="I46" s="62">
        <v>1697.07</v>
      </c>
      <c r="J46" s="62">
        <v>1612.07</v>
      </c>
      <c r="K46" s="60"/>
      <c r="L46" s="60"/>
      <c r="M46" s="60"/>
    </row>
    <row r="47" spans="1:13">
      <c r="A47" s="65">
        <v>46158</v>
      </c>
      <c r="B47" s="66" t="s">
        <v>980</v>
      </c>
      <c r="C47" s="66" t="s">
        <v>972</v>
      </c>
      <c r="D47" s="66" t="e" vm="192">
        <v>#VALUE!</v>
      </c>
      <c r="E47" s="67">
        <f t="array" aca="1" ref="E47" ca="1">_FV(D47,"Price")</f>
        <v>824.1</v>
      </c>
      <c r="F47" s="68">
        <f t="array" aca="1" ref="F47" ca="1">_FV(D47,"Previous close",TRUE)</f>
        <v>803.05</v>
      </c>
      <c r="G47" s="62">
        <v>824.1</v>
      </c>
      <c r="H47" s="62">
        <v>709.64</v>
      </c>
      <c r="I47" s="62">
        <v>688.05</v>
      </c>
      <c r="J47" s="62">
        <v>608.84</v>
      </c>
      <c r="K47" s="60"/>
      <c r="L47" s="60"/>
      <c r="M47" s="60"/>
    </row>
    <row r="48" spans="1:13">
      <c r="A48" s="65">
        <v>46158</v>
      </c>
      <c r="B48" s="66" t="s">
        <v>981</v>
      </c>
      <c r="C48" s="66" t="s">
        <v>972</v>
      </c>
      <c r="D48" s="66" t="e" vm="193">
        <v>#VALUE!</v>
      </c>
      <c r="E48" s="67">
        <f t="array" aca="1" ref="E48" ca="1">_FV(D48,"Price")</f>
        <v>545.95000000000005</v>
      </c>
      <c r="F48" s="68">
        <f t="array" aca="1" ref="F48" ca="1">_FV(D48,"Previous close",TRUE)</f>
        <v>509.05</v>
      </c>
      <c r="G48" s="62">
        <v>545.95000000000005</v>
      </c>
      <c r="H48" s="62">
        <v>519.96</v>
      </c>
      <c r="I48" s="62">
        <v>511.21</v>
      </c>
      <c r="J48" s="62">
        <v>477.51</v>
      </c>
      <c r="K48" s="60"/>
      <c r="L48" s="60"/>
      <c r="M48" s="60"/>
    </row>
    <row r="49" spans="1:13">
      <c r="A49" s="65">
        <v>46158</v>
      </c>
      <c r="B49" s="66" t="s">
        <v>982</v>
      </c>
      <c r="C49" s="66" t="s">
        <v>972</v>
      </c>
      <c r="D49" s="66" t="e" vm="194">
        <v>#VALUE!</v>
      </c>
      <c r="E49" s="67">
        <f t="array" aca="1" ref="E49" ca="1">_FV(D49,"Price")</f>
        <v>1287.2</v>
      </c>
      <c r="F49" s="68">
        <f t="array" aca="1" ref="F49" ca="1">_FV(D49,"Previous close",TRUE)</f>
        <v>1279.2</v>
      </c>
      <c r="G49" s="62">
        <v>1287.2</v>
      </c>
      <c r="H49" s="62">
        <v>1227.8</v>
      </c>
      <c r="I49" s="62">
        <v>1203.6400000000001</v>
      </c>
      <c r="J49" s="62">
        <v>1128.97</v>
      </c>
      <c r="K49" s="60"/>
      <c r="L49" s="60"/>
      <c r="M49" s="60"/>
    </row>
    <row r="50" spans="1:13">
      <c r="A50" s="65">
        <v>46158</v>
      </c>
      <c r="B50" s="66" t="s">
        <v>595</v>
      </c>
      <c r="C50" s="66" t="s">
        <v>972</v>
      </c>
      <c r="D50" s="66" t="e" vm="10">
        <v>#VALUE!</v>
      </c>
      <c r="E50" s="67">
        <f t="array" aca="1" ref="E50" ca="1">_FV(D50,"Price")</f>
        <v>3145.3</v>
      </c>
      <c r="F50" s="68">
        <f t="array" aca="1" ref="F50" ca="1">_FV(D50,"Previous close",TRUE)</f>
        <v>3128.1</v>
      </c>
      <c r="G50" s="62">
        <v>3145.3</v>
      </c>
      <c r="H50" s="62">
        <v>2879.69</v>
      </c>
      <c r="I50" s="62">
        <v>2804.32</v>
      </c>
      <c r="J50" s="62">
        <v>2515.56</v>
      </c>
      <c r="K50" s="60"/>
      <c r="L50" s="60"/>
      <c r="M50" s="60"/>
    </row>
    <row r="51" spans="1:13">
      <c r="A51" s="65">
        <v>46158</v>
      </c>
      <c r="B51" s="66" t="s">
        <v>406</v>
      </c>
      <c r="C51" s="66" t="s">
        <v>972</v>
      </c>
      <c r="D51" s="66" t="e" vm="195">
        <v>#VALUE!</v>
      </c>
      <c r="E51" s="67">
        <f t="array" aca="1" ref="E51" ca="1">_FV(D51,"Price")</f>
        <v>1945.1</v>
      </c>
      <c r="F51" s="68">
        <f t="array" aca="1" ref="F51" ca="1">_FV(D51,"Previous close",TRUE)</f>
        <v>1942.9</v>
      </c>
      <c r="G51" s="62">
        <v>1945.1</v>
      </c>
      <c r="H51" s="62">
        <v>1898.16</v>
      </c>
      <c r="I51" s="62">
        <v>1880.14</v>
      </c>
      <c r="J51" s="62">
        <v>1784.94</v>
      </c>
      <c r="K51" s="60"/>
      <c r="L51" s="60"/>
      <c r="M51" s="60"/>
    </row>
    <row r="52" spans="1:13">
      <c r="A52" s="65">
        <v>46158</v>
      </c>
      <c r="B52" s="66" t="s">
        <v>983</v>
      </c>
      <c r="C52" s="66" t="s">
        <v>972</v>
      </c>
      <c r="D52" s="66" t="e" vm="196">
        <v>#VALUE!</v>
      </c>
      <c r="E52" s="67">
        <f t="array" aca="1" ref="E52" ca="1">_FV(D52,"Price")</f>
        <v>3541.7</v>
      </c>
      <c r="F52" s="68">
        <f t="array" aca="1" ref="F52" ca="1">_FV(D52,"Previous close",TRUE)</f>
        <v>3449.9</v>
      </c>
      <c r="G52" s="62">
        <v>3541.7</v>
      </c>
      <c r="H52" s="62">
        <v>3384.59</v>
      </c>
      <c r="I52" s="62">
        <v>3338.06</v>
      </c>
      <c r="J52" s="62">
        <v>3191.25</v>
      </c>
      <c r="K52" s="60"/>
      <c r="L52" s="60"/>
      <c r="M52" s="60"/>
    </row>
    <row r="53" spans="1:13">
      <c r="A53" s="65">
        <v>46158</v>
      </c>
      <c r="B53" s="66" t="s">
        <v>984</v>
      </c>
      <c r="C53" s="66" t="s">
        <v>972</v>
      </c>
      <c r="D53" s="66" t="e" vm="197">
        <v>#VALUE!</v>
      </c>
      <c r="E53" s="67">
        <f t="array" aca="1" ref="E53" ca="1">_FV(D53,"Price")</f>
        <v>376.85</v>
      </c>
      <c r="F53" s="68">
        <f t="array" aca="1" ref="F53" ca="1">_FV(D53,"Previous close",TRUE)</f>
        <v>370.6</v>
      </c>
      <c r="G53" s="62">
        <v>376.85</v>
      </c>
      <c r="H53" s="62">
        <v>398.8</v>
      </c>
      <c r="I53" s="62">
        <v>397.1</v>
      </c>
      <c r="J53" s="62">
        <v>378.07</v>
      </c>
      <c r="K53" s="60"/>
      <c r="L53" s="60"/>
      <c r="M53" s="60"/>
    </row>
    <row r="54" spans="1:13">
      <c r="A54" s="65">
        <v>46158</v>
      </c>
      <c r="B54" s="66" t="s">
        <v>985</v>
      </c>
      <c r="C54" s="66" t="s">
        <v>972</v>
      </c>
      <c r="D54" s="66" t="e" vm="198">
        <v>#VALUE!</v>
      </c>
      <c r="E54" s="67">
        <f t="array" aca="1" ref="E54" ca="1">_FV(D54,"Price")</f>
        <v>1389.1</v>
      </c>
      <c r="F54" s="68">
        <f t="array" aca="1" ref="F54" ca="1">_FV(D54,"Previous close",TRUE)</f>
        <v>1389.5</v>
      </c>
      <c r="G54" s="62">
        <v>1389.1</v>
      </c>
      <c r="H54" s="62">
        <v>1462.66</v>
      </c>
      <c r="I54" s="62">
        <v>1454.3</v>
      </c>
      <c r="J54" s="62">
        <v>1389.58</v>
      </c>
      <c r="K54" s="60"/>
      <c r="L54" s="60"/>
      <c r="M54" s="60"/>
    </row>
    <row r="55" spans="1:13">
      <c r="A55" s="65">
        <v>46158</v>
      </c>
      <c r="B55" s="66" t="s">
        <v>986</v>
      </c>
      <c r="C55" s="66" t="s">
        <v>972</v>
      </c>
      <c r="D55" s="66" t="e" vm="199">
        <v>#VALUE!</v>
      </c>
      <c r="E55" s="67">
        <f t="array" aca="1" ref="E55" ca="1">_FV(D55,"Price")</f>
        <v>1028.7</v>
      </c>
      <c r="F55" s="68">
        <f t="array" aca="1" ref="F55" ca="1">_FV(D55,"Previous close",TRUE)</f>
        <v>1027.4000000000001</v>
      </c>
      <c r="G55" s="62">
        <v>1028.7</v>
      </c>
      <c r="H55" s="62">
        <v>938.09</v>
      </c>
      <c r="I55" s="62">
        <v>919.4</v>
      </c>
      <c r="J55" s="62">
        <v>844.24</v>
      </c>
      <c r="K55" s="60"/>
      <c r="L55" s="60"/>
      <c r="M55" s="60"/>
    </row>
    <row r="56" spans="1:13">
      <c r="A56" s="65">
        <v>46158</v>
      </c>
      <c r="B56" s="66" t="s">
        <v>696</v>
      </c>
      <c r="C56" s="66" t="s">
        <v>972</v>
      </c>
      <c r="D56" s="66" t="e" vm="16">
        <v>#VALUE!</v>
      </c>
      <c r="E56" s="67">
        <f t="array" aca="1" ref="E56" ca="1">_FV(D56,"Price")</f>
        <v>5369.5</v>
      </c>
      <c r="F56" s="68">
        <f t="array" aca="1" ref="F56" ca="1">_FV(D56,"Previous close",TRUE)</f>
        <v>5181.5</v>
      </c>
      <c r="G56" s="62">
        <v>5369.5</v>
      </c>
      <c r="H56" s="62">
        <v>5096.0200000000004</v>
      </c>
      <c r="I56" s="62">
        <v>5031.09</v>
      </c>
      <c r="J56" s="62">
        <v>4793.0200000000004</v>
      </c>
      <c r="K56" s="60"/>
      <c r="L56" s="60"/>
      <c r="M56" s="60"/>
    </row>
    <row r="57" spans="1:13">
      <c r="A57" s="65">
        <v>46158</v>
      </c>
      <c r="B57" s="66" t="s">
        <v>987</v>
      </c>
      <c r="C57" s="66" t="s">
        <v>972</v>
      </c>
      <c r="D57" s="66" t="e" vm="200">
        <v>#VALUE!</v>
      </c>
      <c r="E57" s="67">
        <f t="array" aca="1" ref="E57" ca="1">_FV(D57,"Price")</f>
        <v>1765.3</v>
      </c>
      <c r="F57" s="68">
        <f t="array" aca="1" ref="F57" ca="1">_FV(D57,"Previous close",TRUE)</f>
        <v>1743.9</v>
      </c>
      <c r="G57" s="62">
        <v>1765.3</v>
      </c>
      <c r="H57" s="62">
        <v>1745.71</v>
      </c>
      <c r="I57" s="62">
        <v>1733.67</v>
      </c>
      <c r="J57" s="62">
        <v>1670.29</v>
      </c>
      <c r="K57" s="60"/>
      <c r="L57" s="60"/>
      <c r="M57" s="60"/>
    </row>
    <row r="58" spans="1:13">
      <c r="A58" s="65">
        <v>46158</v>
      </c>
      <c r="B58" s="66" t="s">
        <v>988</v>
      </c>
      <c r="C58" s="66" t="s">
        <v>972</v>
      </c>
      <c r="D58" s="66" t="e" vm="201">
        <v>#VALUE!</v>
      </c>
      <c r="E58" s="67">
        <f t="array" aca="1" ref="E58" ca="1">_FV(D58,"Price")</f>
        <v>309.64999999999998</v>
      </c>
      <c r="F58" s="68">
        <f t="array" aca="1" ref="F58" ca="1">_FV(D58,"Previous close",TRUE)</f>
        <v>304.89999999999998</v>
      </c>
      <c r="G58" s="62">
        <v>309.64999999999998</v>
      </c>
      <c r="H58" s="62">
        <v>400.45</v>
      </c>
      <c r="I58" s="62">
        <v>424.6</v>
      </c>
      <c r="J58" s="62">
        <v>490.6</v>
      </c>
      <c r="K58" s="60"/>
      <c r="L58" s="60"/>
      <c r="M58" s="60"/>
    </row>
    <row r="59" spans="1:13">
      <c r="A59" s="65">
        <v>46158</v>
      </c>
      <c r="B59" s="66" t="s">
        <v>699</v>
      </c>
      <c r="C59" s="66" t="s">
        <v>972</v>
      </c>
      <c r="D59" s="66" t="e" vm="17">
        <v>#VALUE!</v>
      </c>
      <c r="E59" s="67">
        <f t="array" aca="1" ref="E59" ca="1">_FV(D59,"Price")</f>
        <v>673.6</v>
      </c>
      <c r="F59" s="68">
        <f t="array" aca="1" ref="F59" ca="1">_FV(D59,"Previous close",TRUE)</f>
        <v>666.65</v>
      </c>
      <c r="G59" s="62">
        <v>673.6</v>
      </c>
      <c r="H59" s="62">
        <v>644.32000000000005</v>
      </c>
      <c r="I59" s="62">
        <v>634</v>
      </c>
      <c r="J59" s="62">
        <v>595.13</v>
      </c>
      <c r="K59" s="60"/>
      <c r="L59" s="60"/>
      <c r="M59" s="60"/>
    </row>
    <row r="60" spans="1:13">
      <c r="A60" s="65">
        <v>46158</v>
      </c>
      <c r="B60" s="66" t="s">
        <v>989</v>
      </c>
      <c r="C60" s="66" t="s">
        <v>972</v>
      </c>
      <c r="D60" s="66" t="e" vm="202">
        <v>#VALUE!</v>
      </c>
      <c r="E60" s="67">
        <f t="array" aca="1" ref="E60" ca="1">_FV(D60,"Price")</f>
        <v>1843.7</v>
      </c>
      <c r="F60" s="68">
        <f t="array" aca="1" ref="F60" ca="1">_FV(D60,"Previous close",TRUE)</f>
        <v>1825.2</v>
      </c>
      <c r="G60" s="62">
        <v>1843.7</v>
      </c>
      <c r="H60" s="62">
        <v>1729.5</v>
      </c>
      <c r="I60" s="62">
        <v>1672.1</v>
      </c>
      <c r="J60" s="62">
        <v>1456.98</v>
      </c>
      <c r="K60" s="60"/>
      <c r="L60" s="60"/>
      <c r="M60" s="60"/>
    </row>
    <row r="61" spans="1:13">
      <c r="A61" s="65">
        <v>46158</v>
      </c>
      <c r="B61" s="66" t="s">
        <v>990</v>
      </c>
      <c r="C61" s="66" t="s">
        <v>972</v>
      </c>
      <c r="D61" s="66" t="e" vm="203">
        <v>#VALUE!</v>
      </c>
      <c r="E61" s="67">
        <f t="array" aca="1" ref="E61" ca="1">_FV(D61,"Price")</f>
        <v>1261.2</v>
      </c>
      <c r="F61" s="68">
        <f t="array" aca="1" ref="F61" ca="1">_FV(D61,"Previous close",TRUE)</f>
        <v>1201.2</v>
      </c>
      <c r="G61" s="62">
        <v>1261.2</v>
      </c>
      <c r="H61" s="62">
        <v>1163.99</v>
      </c>
      <c r="I61" s="62">
        <v>1142.79</v>
      </c>
      <c r="J61" s="62">
        <v>1052.52</v>
      </c>
      <c r="K61" s="60"/>
      <c r="L61" s="60"/>
      <c r="M61" s="60"/>
    </row>
    <row r="62" spans="1:13">
      <c r="A62" s="65">
        <v>46158</v>
      </c>
      <c r="B62" s="66" t="s">
        <v>991</v>
      </c>
      <c r="C62" s="66" t="s">
        <v>972</v>
      </c>
      <c r="D62" s="66" t="e" vm="204">
        <v>#VALUE!</v>
      </c>
      <c r="E62" s="67">
        <f t="array" aca="1" ref="E62" ca="1">_FV(D62,"Price")</f>
        <v>2150.1</v>
      </c>
      <c r="F62" s="68">
        <f t="array" aca="1" ref="F62" ca="1">_FV(D62,"Previous close",TRUE)</f>
        <v>2105.6999999999998</v>
      </c>
      <c r="G62" s="62">
        <v>2150.1</v>
      </c>
      <c r="H62" s="62">
        <v>2050.7199999999998</v>
      </c>
      <c r="I62" s="62">
        <v>2016.38</v>
      </c>
      <c r="J62" s="62">
        <v>1890.01</v>
      </c>
      <c r="K62" s="60"/>
      <c r="L62" s="60"/>
      <c r="M62" s="60"/>
    </row>
    <row r="63" spans="1:13">
      <c r="A63" s="65">
        <v>46158</v>
      </c>
      <c r="B63" s="66" t="s">
        <v>992</v>
      </c>
      <c r="C63" s="66" t="s">
        <v>972</v>
      </c>
      <c r="D63" s="66" t="e" vm="205">
        <v>#VALUE!</v>
      </c>
      <c r="E63" s="67">
        <f t="array" aca="1" ref="E63" ca="1">_FV(D63,"Price")</f>
        <v>383.45</v>
      </c>
      <c r="F63" s="68">
        <f t="array" aca="1" ref="F63" ca="1">_FV(D63,"Previous close",TRUE)</f>
        <v>379.2</v>
      </c>
      <c r="G63" s="62">
        <v>383.45</v>
      </c>
      <c r="H63" s="62">
        <v>385.22</v>
      </c>
      <c r="I63" s="62">
        <v>384.67</v>
      </c>
      <c r="J63" s="62">
        <v>372.8</v>
      </c>
      <c r="K63" s="60"/>
      <c r="L63" s="60"/>
      <c r="M63" s="60"/>
    </row>
    <row r="64" spans="1:13">
      <c r="A64" s="65">
        <v>46158</v>
      </c>
      <c r="B64" s="66" t="s">
        <v>719</v>
      </c>
      <c r="C64" s="66" t="s">
        <v>972</v>
      </c>
      <c r="D64" s="66" t="e" vm="26">
        <v>#VALUE!</v>
      </c>
      <c r="E64" s="67">
        <f t="array" aca="1" ref="E64" ca="1">_FV(D64,"Price")</f>
        <v>7303</v>
      </c>
      <c r="F64" s="68">
        <f t="array" aca="1" ref="F64" ca="1">_FV(D64,"Previous close",TRUE)</f>
        <v>7157</v>
      </c>
      <c r="G64" s="62">
        <v>7303</v>
      </c>
      <c r="H64" s="62">
        <v>6919.03</v>
      </c>
      <c r="I64" s="62">
        <v>6845.48</v>
      </c>
      <c r="J64" s="62">
        <v>6545.75</v>
      </c>
      <c r="K64" s="60"/>
      <c r="L64" s="60"/>
      <c r="M64" s="60"/>
    </row>
    <row r="65" spans="1:13">
      <c r="A65" s="65">
        <v>46158</v>
      </c>
      <c r="B65" s="66" t="s">
        <v>993</v>
      </c>
      <c r="C65" s="66" t="s">
        <v>972</v>
      </c>
      <c r="D65" s="66" t="e" vm="206">
        <v>#VALUE!</v>
      </c>
      <c r="E65" s="67">
        <f t="array" aca="1" ref="E65" ca="1">_FV(D65,"Price")</f>
        <v>644.45000000000005</v>
      </c>
      <c r="F65" s="68">
        <f t="array" aca="1" ref="F65" ca="1">_FV(D65,"Previous close",TRUE)</f>
        <v>624.4</v>
      </c>
      <c r="G65" s="62">
        <v>644.45000000000005</v>
      </c>
      <c r="H65" s="62">
        <v>699.32</v>
      </c>
      <c r="I65" s="62">
        <v>696.4</v>
      </c>
      <c r="J65" s="62">
        <v>674.81</v>
      </c>
      <c r="K65" s="60"/>
      <c r="L65" s="60"/>
      <c r="M65" s="60"/>
    </row>
    <row r="66" spans="1:13">
      <c r="A66" s="65">
        <v>46158</v>
      </c>
      <c r="B66" s="66" t="s">
        <v>994</v>
      </c>
      <c r="C66" s="66" t="s">
        <v>972</v>
      </c>
      <c r="D66" s="66" t="e" vm="207">
        <v>#VALUE!</v>
      </c>
      <c r="E66" s="67">
        <f t="array" aca="1" ref="E66" ca="1">_FV(D66,"Price")</f>
        <v>814.95</v>
      </c>
      <c r="F66" s="68">
        <f t="array" aca="1" ref="F66" ca="1">_FV(D66,"Previous close",TRUE)</f>
        <v>813.75</v>
      </c>
      <c r="G66" s="62">
        <v>814.95</v>
      </c>
      <c r="H66" s="62">
        <v>741.2</v>
      </c>
      <c r="I66" s="62">
        <v>731.62</v>
      </c>
      <c r="J66" s="62">
        <v>698.13</v>
      </c>
      <c r="K66" s="60"/>
      <c r="L66" s="60"/>
      <c r="M66" s="60"/>
    </row>
    <row r="67" spans="1:13">
      <c r="A67" s="65">
        <v>46158</v>
      </c>
      <c r="B67" s="66" t="s">
        <v>236</v>
      </c>
      <c r="C67" s="66" t="s">
        <v>995</v>
      </c>
      <c r="D67" s="66" t="e" vm="208">
        <v>#VALUE!</v>
      </c>
      <c r="E67" s="67">
        <f t="array" aca="1" ref="E67" ca="1">_FV(D67,"Price")</f>
        <v>425.85</v>
      </c>
      <c r="F67" s="68">
        <f t="array" aca="1" ref="F67" ca="1">_FV(D67,"Previous close",TRUE)</f>
        <v>435.7</v>
      </c>
      <c r="G67" s="62">
        <v>425.85</v>
      </c>
      <c r="H67" s="62">
        <v>351.55</v>
      </c>
      <c r="I67" s="62">
        <v>341.35</v>
      </c>
      <c r="J67" s="62">
        <v>312.27999999999997</v>
      </c>
      <c r="K67" s="60"/>
      <c r="L67" s="60"/>
      <c r="M67" s="60"/>
    </row>
    <row r="68" spans="1:13">
      <c r="A68" s="65">
        <v>46158</v>
      </c>
      <c r="B68" s="66" t="s">
        <v>553</v>
      </c>
      <c r="C68" s="66" t="s">
        <v>995</v>
      </c>
      <c r="D68" s="66" t="e" vm="24">
        <v>#VALUE!</v>
      </c>
      <c r="E68" s="67">
        <f t="array" aca="1" ref="E68" ca="1">_FV(D68,"Price")</f>
        <v>17143</v>
      </c>
      <c r="F68" s="68">
        <f t="array" aca="1" ref="F68" ca="1">_FV(D68,"Previous close",TRUE)</f>
        <v>17141</v>
      </c>
      <c r="G68" s="62">
        <v>17143</v>
      </c>
      <c r="H68" s="62">
        <v>16795.189999999999</v>
      </c>
      <c r="I68" s="62">
        <v>16495.37</v>
      </c>
      <c r="J68" s="62">
        <v>15493.01</v>
      </c>
      <c r="K68" s="60"/>
      <c r="L68" s="60"/>
      <c r="M68" s="60"/>
    </row>
    <row r="69" spans="1:13">
      <c r="A69" s="65">
        <v>46158</v>
      </c>
      <c r="B69" s="66" t="s">
        <v>996</v>
      </c>
      <c r="C69" s="66" t="s">
        <v>995</v>
      </c>
      <c r="D69" s="66" t="e" vm="209">
        <v>#VALUE!</v>
      </c>
      <c r="E69" s="67">
        <f t="array" aca="1" ref="E69" ca="1">_FV(D69,"Price")</f>
        <v>2972</v>
      </c>
      <c r="F69" s="68">
        <f t="array" aca="1" ref="F69" ca="1">_FV(D69,"Previous close",TRUE)</f>
        <v>2939.3</v>
      </c>
      <c r="G69" s="62">
        <v>2972</v>
      </c>
      <c r="H69" s="62">
        <v>2724.3</v>
      </c>
      <c r="I69" s="62">
        <v>2662.33</v>
      </c>
      <c r="J69" s="62">
        <v>2476.15</v>
      </c>
      <c r="K69" s="60"/>
      <c r="L69" s="60"/>
      <c r="M69" s="60"/>
    </row>
    <row r="70" spans="1:13">
      <c r="A70" s="65">
        <v>46158</v>
      </c>
      <c r="B70" s="66" t="s">
        <v>155</v>
      </c>
      <c r="C70" s="66" t="s">
        <v>995</v>
      </c>
      <c r="D70" s="66" t="e" vm="210">
        <v>#VALUE!</v>
      </c>
      <c r="E70" s="67">
        <f t="array" aca="1" ref="E70" ca="1">_FV(D70,"Price")</f>
        <v>1263.5999999999999</v>
      </c>
      <c r="F70" s="68">
        <f t="array" aca="1" ref="F70" ca="1">_FV(D70,"Previous close",TRUE)</f>
        <v>1183.4000000000001</v>
      </c>
      <c r="G70" s="62">
        <v>1263.5999999999999</v>
      </c>
      <c r="H70" s="62">
        <v>1312.34</v>
      </c>
      <c r="I70" s="62">
        <v>1304.9000000000001</v>
      </c>
      <c r="J70" s="62">
        <v>1276.8699999999999</v>
      </c>
      <c r="K70" s="60"/>
      <c r="L70" s="60"/>
      <c r="M70" s="60"/>
    </row>
    <row r="71" spans="1:13">
      <c r="A71" s="65">
        <v>46158</v>
      </c>
      <c r="B71" s="66" t="s">
        <v>199</v>
      </c>
      <c r="C71" s="66" t="s">
        <v>995</v>
      </c>
      <c r="D71" s="66" t="e" vm="211">
        <v>#VALUE!</v>
      </c>
      <c r="E71" s="67">
        <f t="array" aca="1" ref="E71" ca="1">_FV(D71,"Price")</f>
        <v>546.75</v>
      </c>
      <c r="F71" s="68">
        <f t="array" aca="1" ref="F71" ca="1">_FV(D71,"Previous close",TRUE)</f>
        <v>538.85</v>
      </c>
      <c r="G71" s="62">
        <v>546.75</v>
      </c>
      <c r="H71" s="62">
        <v>477.47</v>
      </c>
      <c r="I71" s="62">
        <v>464.41</v>
      </c>
      <c r="J71" s="62">
        <v>423.63</v>
      </c>
      <c r="K71" s="60"/>
      <c r="L71" s="60"/>
      <c r="M71" s="60"/>
    </row>
    <row r="72" spans="1:13">
      <c r="A72" s="65">
        <v>46158</v>
      </c>
      <c r="B72" s="66" t="s">
        <v>162</v>
      </c>
      <c r="C72" s="66" t="s">
        <v>995</v>
      </c>
      <c r="D72" s="66" t="e" vm="212">
        <v>#VALUE!</v>
      </c>
      <c r="E72" s="67">
        <f t="array" aca="1" ref="E72" ca="1">_FV(D72,"Price")</f>
        <v>90.93</v>
      </c>
      <c r="F72" s="68">
        <f t="array" aca="1" ref="F72" ca="1">_FV(D72,"Previous close",TRUE)</f>
        <v>88.47</v>
      </c>
      <c r="G72" s="62">
        <v>90.93</v>
      </c>
      <c r="H72" s="62">
        <v>88.85</v>
      </c>
      <c r="I72" s="62">
        <v>88.14</v>
      </c>
      <c r="J72" s="62">
        <v>84.99</v>
      </c>
      <c r="K72" s="60"/>
      <c r="L72" s="60"/>
      <c r="M72" s="60"/>
    </row>
    <row r="73" spans="1:13">
      <c r="A73" s="65">
        <v>46158</v>
      </c>
      <c r="B73" s="66" t="s">
        <v>997</v>
      </c>
      <c r="C73" s="66" t="s">
        <v>995</v>
      </c>
      <c r="D73" s="66" t="e" vm="213">
        <v>#VALUE!</v>
      </c>
      <c r="E73" s="67">
        <f t="array" aca="1" ref="E73" ca="1">_FV(D73,"Price")</f>
        <v>6131.5</v>
      </c>
      <c r="F73" s="68">
        <f t="array" aca="1" ref="F73" ca="1">_FV(D73,"Previous close",TRUE)</f>
        <v>6241</v>
      </c>
      <c r="G73" s="62">
        <v>6131.5</v>
      </c>
      <c r="H73" s="62">
        <v>5301.29</v>
      </c>
      <c r="I73" s="62">
        <v>5137.17</v>
      </c>
      <c r="J73" s="62">
        <v>4611.28</v>
      </c>
      <c r="K73" s="60"/>
      <c r="L73" s="60"/>
      <c r="M73" s="60"/>
    </row>
    <row r="74" spans="1:13">
      <c r="A74" s="65">
        <v>46158</v>
      </c>
      <c r="B74" s="66" t="s">
        <v>169</v>
      </c>
      <c r="C74" s="66" t="s">
        <v>995</v>
      </c>
      <c r="D74" s="66" t="e" vm="214">
        <v>#VALUE!</v>
      </c>
      <c r="E74" s="67">
        <f t="array" aca="1" ref="E74" ca="1">_FV(D74,"Price")</f>
        <v>914.45</v>
      </c>
      <c r="F74" s="68">
        <f t="array" aca="1" ref="F74" ca="1">_FV(D74,"Previous close",TRUE)</f>
        <v>901.35</v>
      </c>
      <c r="G74" s="62">
        <v>914.45</v>
      </c>
      <c r="H74" s="62">
        <v>860.74</v>
      </c>
      <c r="I74" s="62">
        <v>845.09</v>
      </c>
      <c r="J74" s="62">
        <v>791.88</v>
      </c>
      <c r="K74" s="60"/>
      <c r="L74" s="60"/>
      <c r="M74" s="60"/>
    </row>
    <row r="75" spans="1:13">
      <c r="A75" s="65">
        <v>46158</v>
      </c>
      <c r="B75" s="66" t="s">
        <v>998</v>
      </c>
      <c r="C75" s="66" t="s">
        <v>995</v>
      </c>
      <c r="D75" s="66" t="e" vm="215">
        <v>#VALUE!</v>
      </c>
      <c r="E75" s="67">
        <f t="array" aca="1" ref="E75" ca="1">_FV(D75,"Price")</f>
        <v>273.5</v>
      </c>
      <c r="F75" s="68">
        <f t="array" aca="1" ref="F75" ca="1">_FV(D75,"Previous close",TRUE)</f>
        <v>260.25</v>
      </c>
      <c r="G75" s="62">
        <v>273.5</v>
      </c>
      <c r="H75" s="62">
        <v>266.47000000000003</v>
      </c>
      <c r="I75" s="62">
        <v>265.45999999999998</v>
      </c>
      <c r="J75" s="62">
        <v>260.93</v>
      </c>
      <c r="K75" s="60"/>
      <c r="L75" s="60"/>
      <c r="M75" s="60"/>
    </row>
    <row r="76" spans="1:13">
      <c r="A76" s="65">
        <v>46158</v>
      </c>
      <c r="B76" s="66" t="s">
        <v>173</v>
      </c>
      <c r="C76" s="66" t="s">
        <v>995</v>
      </c>
      <c r="D76" s="66" t="e" vm="216">
        <v>#VALUE!</v>
      </c>
      <c r="E76" s="67">
        <f t="array" aca="1" ref="E76" ca="1">_FV(D76,"Price")</f>
        <v>1443.8</v>
      </c>
      <c r="F76" s="68">
        <f t="array" aca="1" ref="F76" ca="1">_FV(D76,"Previous close",TRUE)</f>
        <v>1396.3</v>
      </c>
      <c r="G76" s="62">
        <v>1443.8</v>
      </c>
      <c r="H76" s="62">
        <v>1252.25</v>
      </c>
      <c r="I76" s="62">
        <v>1221.28</v>
      </c>
      <c r="J76" s="62">
        <v>1130.3800000000001</v>
      </c>
      <c r="K76" s="60"/>
      <c r="L76" s="60"/>
      <c r="M76" s="60"/>
    </row>
    <row r="77" spans="1:13">
      <c r="A77" s="65">
        <v>46158</v>
      </c>
      <c r="B77" s="66" t="s">
        <v>999</v>
      </c>
      <c r="C77" s="66" t="s">
        <v>995</v>
      </c>
      <c r="D77" s="66" t="e" vm="217">
        <v>#VALUE!</v>
      </c>
      <c r="E77" s="67">
        <f t="array" aca="1" ref="E77" ca="1">_FV(D77,"Price")</f>
        <v>1250.3</v>
      </c>
      <c r="F77" s="68">
        <f t="array" aca="1" ref="F77" ca="1">_FV(D77,"Previous close",TRUE)</f>
        <v>1258</v>
      </c>
      <c r="G77" s="62">
        <v>1250.3</v>
      </c>
      <c r="H77" s="62">
        <v>1310.27</v>
      </c>
      <c r="I77" s="62">
        <v>1308.94</v>
      </c>
      <c r="J77" s="62">
        <v>1290.6600000000001</v>
      </c>
      <c r="K77" s="60"/>
      <c r="L77" s="60"/>
      <c r="M77" s="60"/>
    </row>
    <row r="78" spans="1:13">
      <c r="A78" s="65">
        <v>46158</v>
      </c>
      <c r="B78" s="66" t="s">
        <v>254</v>
      </c>
      <c r="C78" s="66" t="s">
        <v>995</v>
      </c>
      <c r="D78" s="66" t="e" vm="218">
        <v>#VALUE!</v>
      </c>
      <c r="E78" s="67">
        <f t="array" aca="1" ref="E78" ca="1">_FV(D78,"Price")</f>
        <v>680.5</v>
      </c>
      <c r="F78" s="68">
        <f t="array" aca="1" ref="F78" ca="1">_FV(D78,"Previous close",TRUE)</f>
        <v>680.05</v>
      </c>
      <c r="G78" s="62">
        <v>680.5</v>
      </c>
      <c r="H78" s="62">
        <v>607.38</v>
      </c>
      <c r="I78" s="62">
        <v>593.88</v>
      </c>
      <c r="J78" s="62">
        <v>550.63</v>
      </c>
      <c r="K78" s="60"/>
      <c r="L78" s="60"/>
      <c r="M78" s="60"/>
    </row>
    <row r="79" spans="1:13">
      <c r="A79" s="65">
        <v>46158</v>
      </c>
      <c r="B79" s="66" t="s">
        <v>1000</v>
      </c>
      <c r="C79" s="66" t="s">
        <v>1001</v>
      </c>
      <c r="D79" s="66" t="e" vm="219">
        <v>#VALUE!</v>
      </c>
      <c r="E79" s="67">
        <f t="array" aca="1" ref="E79" ca="1">_FV(D79,"Price")</f>
        <v>419</v>
      </c>
      <c r="F79" s="68">
        <f t="array" aca="1" ref="F79" ca="1">_FV(D79,"Previous close",TRUE)</f>
        <v>415.95</v>
      </c>
      <c r="G79" s="62">
        <v>419</v>
      </c>
      <c r="H79" s="62">
        <v>403.96</v>
      </c>
      <c r="I79" s="62">
        <v>400.38</v>
      </c>
      <c r="J79" s="62">
        <v>390.43</v>
      </c>
      <c r="K79" s="60"/>
      <c r="L79" s="60"/>
      <c r="M79" s="60"/>
    </row>
    <row r="80" spans="1:13">
      <c r="A80" s="65">
        <v>46158</v>
      </c>
      <c r="B80" s="66" t="s">
        <v>1002</v>
      </c>
      <c r="C80" s="66" t="s">
        <v>1001</v>
      </c>
      <c r="D80" s="66" t="e" vm="220">
        <v>#VALUE!</v>
      </c>
      <c r="E80" s="67">
        <f t="array" aca="1" ref="E80" ca="1">_FV(D80,"Price")</f>
        <v>201.91</v>
      </c>
      <c r="F80" s="68">
        <f t="array" aca="1" ref="F80" ca="1">_FV(D80,"Previous close",TRUE)</f>
        <v>193.73</v>
      </c>
      <c r="G80" s="62">
        <v>201.91</v>
      </c>
      <c r="H80" s="62">
        <v>182.67</v>
      </c>
      <c r="I80" s="62">
        <v>177.97</v>
      </c>
      <c r="J80" s="62">
        <v>163.46</v>
      </c>
      <c r="K80" s="60"/>
      <c r="L80" s="60"/>
      <c r="M80" s="60"/>
    </row>
    <row r="81" spans="1:13">
      <c r="A81" s="65">
        <v>46158</v>
      </c>
      <c r="B81" s="66" t="s">
        <v>176</v>
      </c>
      <c r="C81" s="66" t="s">
        <v>1001</v>
      </c>
      <c r="D81" s="66" t="e" vm="221">
        <v>#VALUE!</v>
      </c>
      <c r="E81" s="67">
        <f t="array" aca="1" ref="E81" ca="1">_FV(D81,"Price")</f>
        <v>2921.6</v>
      </c>
      <c r="F81" s="68">
        <f t="array" aca="1" ref="F81" ca="1">_FV(D81,"Previous close",TRUE)</f>
        <v>2908.8</v>
      </c>
      <c r="G81" s="62">
        <v>2921.6</v>
      </c>
      <c r="H81" s="62">
        <v>2677.37</v>
      </c>
      <c r="I81" s="62">
        <v>2616</v>
      </c>
      <c r="J81" s="62">
        <v>2451.29</v>
      </c>
      <c r="K81" s="60"/>
      <c r="L81" s="60"/>
      <c r="M81" s="60"/>
    </row>
    <row r="82" spans="1:13">
      <c r="A82" s="65">
        <v>46158</v>
      </c>
      <c r="B82" s="66" t="s">
        <v>1003</v>
      </c>
      <c r="C82" s="66" t="s">
        <v>1001</v>
      </c>
      <c r="D82" s="66" t="e" vm="222">
        <v>#VALUE!</v>
      </c>
      <c r="E82" s="67">
        <f t="array" aca="1" ref="E82" ca="1">_FV(D82,"Price")</f>
        <v>2648.7</v>
      </c>
      <c r="F82" s="68">
        <f t="array" aca="1" ref="F82" ca="1">_FV(D82,"Previous close",TRUE)</f>
        <v>2536.1</v>
      </c>
      <c r="G82" s="62">
        <v>2648.7</v>
      </c>
      <c r="H82" s="62">
        <v>2673.9</v>
      </c>
      <c r="I82" s="62">
        <v>2661.38</v>
      </c>
      <c r="J82" s="62">
        <v>2608.37</v>
      </c>
      <c r="K82" s="60"/>
      <c r="L82" s="60"/>
      <c r="M82" s="60"/>
    </row>
    <row r="83" spans="1:13">
      <c r="A83" s="65">
        <v>46158</v>
      </c>
      <c r="B83" s="66" t="s">
        <v>1004</v>
      </c>
      <c r="C83" s="66" t="s">
        <v>1001</v>
      </c>
      <c r="D83" s="66" t="e" vm="223">
        <v>#VALUE!</v>
      </c>
      <c r="E83" s="67">
        <f t="array" aca="1" ref="E83" ca="1">_FV(D83,"Price")</f>
        <v>878.85</v>
      </c>
      <c r="F83" s="68">
        <f t="array" aca="1" ref="F83" ca="1">_FV(D83,"Previous close",TRUE)</f>
        <v>870.1</v>
      </c>
      <c r="G83" s="62">
        <v>878.85</v>
      </c>
      <c r="H83" s="62">
        <v>892.87</v>
      </c>
      <c r="I83" s="62">
        <v>893.07</v>
      </c>
      <c r="J83" s="62">
        <v>902.27</v>
      </c>
      <c r="K83" s="60"/>
      <c r="L83" s="60"/>
      <c r="M83" s="60"/>
    </row>
    <row r="84" spans="1:13">
      <c r="A84" s="65">
        <v>46158</v>
      </c>
      <c r="B84" s="66" t="s">
        <v>825</v>
      </c>
      <c r="C84" s="66" t="s">
        <v>1001</v>
      </c>
      <c r="D84" s="66" t="e" vm="34">
        <v>#VALUE!</v>
      </c>
      <c r="E84" s="67">
        <f t="array" aca="1" ref="E84" ca="1">_FV(D84,"Price")</f>
        <v>4055.7</v>
      </c>
      <c r="F84" s="68">
        <f t="array" aca="1" ref="F84" ca="1">_FV(D84,"Previous close",TRUE)</f>
        <v>3860.2</v>
      </c>
      <c r="G84" s="62">
        <v>4055.7</v>
      </c>
      <c r="H84" s="62">
        <v>4065.23</v>
      </c>
      <c r="I84" s="62">
        <v>4056.93</v>
      </c>
      <c r="J84" s="62">
        <v>4014.07</v>
      </c>
      <c r="K84" s="60"/>
      <c r="L84" s="60"/>
      <c r="M84" s="60"/>
    </row>
    <row r="85" spans="1:13">
      <c r="A85" s="65">
        <v>46158</v>
      </c>
      <c r="B85" s="66" t="s">
        <v>1005</v>
      </c>
      <c r="C85" s="66" t="s">
        <v>1001</v>
      </c>
      <c r="D85" s="66" t="e" vm="224">
        <v>#VALUE!</v>
      </c>
      <c r="E85" s="67">
        <f t="array" aca="1" ref="E85" ca="1">_FV(D85,"Price")</f>
        <v>1687</v>
      </c>
      <c r="F85" s="68">
        <f t="array" aca="1" ref="F85" ca="1">_FV(D85,"Previous close",TRUE)</f>
        <v>1568.2</v>
      </c>
      <c r="G85" s="62">
        <v>1687</v>
      </c>
      <c r="H85" s="62">
        <v>1406.31</v>
      </c>
      <c r="I85" s="62">
        <v>1360.01</v>
      </c>
      <c r="J85" s="62">
        <v>1218.1500000000001</v>
      </c>
      <c r="K85" s="60"/>
      <c r="L85" s="60"/>
      <c r="M85" s="60"/>
    </row>
    <row r="86" spans="1:13">
      <c r="A86" s="65">
        <v>46158</v>
      </c>
      <c r="B86" s="66" t="s">
        <v>1006</v>
      </c>
      <c r="C86" s="66" t="s">
        <v>1001</v>
      </c>
      <c r="D86" s="66" t="e" vm="225">
        <v>#VALUE!</v>
      </c>
      <c r="E86" s="67">
        <f t="array" aca="1" ref="E86" ca="1">_FV(D86,"Price")</f>
        <v>443.5</v>
      </c>
      <c r="F86" s="68">
        <f t="array" aca="1" ref="F86" ca="1">_FV(D86,"Previous close",TRUE)</f>
        <v>446.2</v>
      </c>
      <c r="G86" s="62">
        <v>443.5</v>
      </c>
      <c r="H86" s="62">
        <v>455.55</v>
      </c>
      <c r="I86" s="62">
        <v>454.06</v>
      </c>
      <c r="J86" s="62">
        <v>443.29</v>
      </c>
      <c r="K86" s="60"/>
      <c r="L86" s="60"/>
      <c r="M86" s="60"/>
    </row>
    <row r="87" spans="1:13">
      <c r="A87" s="65">
        <v>46158</v>
      </c>
      <c r="B87" s="66" t="s">
        <v>1007</v>
      </c>
      <c r="C87" s="66" t="s">
        <v>1001</v>
      </c>
      <c r="D87" s="66" t="e" vm="226">
        <v>#VALUE!</v>
      </c>
      <c r="E87" s="67">
        <f t="array" aca="1" ref="E87" ca="1">_FV(D87,"Price")</f>
        <v>1060.0999999999999</v>
      </c>
      <c r="F87" s="68">
        <f t="array" aca="1" ref="F87" ca="1">_FV(D87,"Previous close",TRUE)</f>
        <v>1034.0999999999999</v>
      </c>
      <c r="G87" s="62">
        <v>1060.0999999999999</v>
      </c>
      <c r="H87" s="62">
        <v>1225.6500000000001</v>
      </c>
      <c r="I87" s="62">
        <v>1230.25</v>
      </c>
      <c r="J87" s="62">
        <v>1186.03</v>
      </c>
      <c r="K87" s="60"/>
      <c r="L87" s="60"/>
      <c r="M87" s="60"/>
    </row>
    <row r="88" spans="1:13">
      <c r="A88" s="65">
        <v>46158</v>
      </c>
      <c r="B88" s="66" t="s">
        <v>1008</v>
      </c>
      <c r="C88" s="66" t="s">
        <v>1001</v>
      </c>
      <c r="D88" s="66" t="e" vm="227">
        <v>#VALUE!</v>
      </c>
      <c r="E88" s="67">
        <f t="array" aca="1" ref="E88" ca="1">_FV(D88,"Price")</f>
        <v>170.05</v>
      </c>
      <c r="F88" s="68">
        <f t="array" aca="1" ref="F88" ca="1">_FV(D88,"Previous close",TRUE)</f>
        <v>164.54</v>
      </c>
      <c r="G88" s="62">
        <v>170.05</v>
      </c>
      <c r="H88" s="62">
        <v>169.44</v>
      </c>
      <c r="I88" s="62">
        <v>170.07</v>
      </c>
      <c r="J88" s="62">
        <v>169.87</v>
      </c>
      <c r="K88" s="60"/>
      <c r="L88" s="60"/>
      <c r="M88" s="60"/>
    </row>
    <row r="89" spans="1:13">
      <c r="A89" s="65">
        <v>46158</v>
      </c>
      <c r="B89" s="66" t="s">
        <v>1009</v>
      </c>
      <c r="C89" s="66" t="s">
        <v>1001</v>
      </c>
      <c r="D89" s="66" t="e" vm="228">
        <v>#VALUE!</v>
      </c>
      <c r="E89" s="67">
        <f t="array" aca="1" ref="E89" ca="1">_FV(D89,"Price")</f>
        <v>591.65</v>
      </c>
      <c r="F89" s="68">
        <f t="array" aca="1" ref="F89" ca="1">_FV(D89,"Previous close",TRUE)</f>
        <v>566.25</v>
      </c>
      <c r="G89" s="62">
        <v>591.65</v>
      </c>
      <c r="H89" s="62">
        <v>523.64</v>
      </c>
      <c r="I89" s="62">
        <v>508.79</v>
      </c>
      <c r="J89" s="62">
        <v>450.05</v>
      </c>
      <c r="K89" s="60"/>
      <c r="L89" s="60"/>
      <c r="M89" s="60"/>
    </row>
    <row r="90" spans="1:13">
      <c r="A90" s="65">
        <v>46158</v>
      </c>
      <c r="B90" s="66" t="s">
        <v>1010</v>
      </c>
      <c r="C90" s="66" t="s">
        <v>1001</v>
      </c>
      <c r="D90" s="66" t="e" vm="229">
        <v>#VALUE!</v>
      </c>
      <c r="E90" s="67">
        <f t="array" aca="1" ref="E90" ca="1">_FV(D90,"Price")</f>
        <v>1424.3</v>
      </c>
      <c r="F90" s="68">
        <f t="array" aca="1" ref="F90" ca="1">_FV(D90,"Previous close",TRUE)</f>
        <v>1387.8</v>
      </c>
      <c r="G90" s="62">
        <v>1424.3</v>
      </c>
      <c r="H90" s="62">
        <v>1510</v>
      </c>
      <c r="I90" s="62">
        <v>1514.27</v>
      </c>
      <c r="J90" s="62">
        <v>1532.94</v>
      </c>
      <c r="K90" s="60"/>
      <c r="L90" s="60"/>
      <c r="M90" s="60"/>
    </row>
    <row r="91" spans="1:13">
      <c r="A91" s="65">
        <v>46158</v>
      </c>
      <c r="B91" s="66" t="s">
        <v>1011</v>
      </c>
      <c r="C91" s="66" t="s">
        <v>1001</v>
      </c>
      <c r="D91" s="66" t="e" vm="230">
        <v>#VALUE!</v>
      </c>
      <c r="E91" s="67">
        <f t="array" aca="1" ref="E91" ca="1">_FV(D91,"Price")</f>
        <v>242.5</v>
      </c>
      <c r="F91" s="68">
        <f t="array" aca="1" ref="F91" ca="1">_FV(D91,"Previous close",TRUE)</f>
        <v>240.15</v>
      </c>
      <c r="G91" s="62">
        <v>242.5</v>
      </c>
      <c r="H91" s="62">
        <v>241.61</v>
      </c>
      <c r="I91" s="62">
        <v>238.14</v>
      </c>
      <c r="J91" s="62">
        <v>222.84</v>
      </c>
      <c r="K91" s="60"/>
      <c r="L91" s="60"/>
      <c r="M91" s="60"/>
    </row>
    <row r="92" spans="1:13">
      <c r="A92" s="65">
        <v>46158</v>
      </c>
      <c r="B92" s="66" t="s">
        <v>1012</v>
      </c>
      <c r="C92" s="66" t="s">
        <v>1001</v>
      </c>
      <c r="D92" s="66" t="e" vm="231">
        <v>#VALUE!</v>
      </c>
      <c r="E92" s="67">
        <f t="array" aca="1" ref="E92" ca="1">_FV(D92,"Price")</f>
        <v>2168.1999999999998</v>
      </c>
      <c r="F92" s="68">
        <f t="array" aca="1" ref="F92" ca="1">_FV(D92,"Previous close",TRUE)</f>
        <v>2128.1</v>
      </c>
      <c r="G92" s="62">
        <v>2168.1999999999998</v>
      </c>
      <c r="H92" s="62">
        <v>1918.95</v>
      </c>
      <c r="I92" s="62">
        <v>1866.25</v>
      </c>
      <c r="J92" s="62">
        <v>1701.91</v>
      </c>
      <c r="K92" s="60"/>
      <c r="L92" s="60"/>
      <c r="M92" s="60"/>
    </row>
    <row r="93" spans="1:13">
      <c r="A93" s="65">
        <v>46158</v>
      </c>
      <c r="B93" s="66" t="s">
        <v>903</v>
      </c>
      <c r="C93" s="66" t="s">
        <v>1001</v>
      </c>
      <c r="D93" s="66" t="e" vm="126">
        <v>#VALUE!</v>
      </c>
      <c r="E93" s="67">
        <f t="array" aca="1" ref="E93" ca="1">_FV(D93,"Price")</f>
        <v>772.45</v>
      </c>
      <c r="F93" s="68">
        <f t="array" aca="1" ref="F93" ca="1">_FV(D93,"Previous close",TRUE)</f>
        <v>744.6</v>
      </c>
      <c r="G93" s="62">
        <v>772.45</v>
      </c>
      <c r="H93" s="62">
        <v>772.83</v>
      </c>
      <c r="I93" s="62">
        <v>779.53</v>
      </c>
      <c r="J93" s="62">
        <v>815.58</v>
      </c>
      <c r="K93" s="60"/>
      <c r="L93" s="60"/>
      <c r="M93" s="60"/>
    </row>
    <row r="94" spans="1:13">
      <c r="A94" s="65">
        <v>46158</v>
      </c>
      <c r="B94" s="66" t="s">
        <v>1013</v>
      </c>
      <c r="C94" s="66" t="s">
        <v>1001</v>
      </c>
      <c r="D94" s="66" t="e" vm="232">
        <v>#VALUE!</v>
      </c>
      <c r="E94" s="67">
        <f t="array" aca="1" ref="E94" ca="1">_FV(D94,"Price")</f>
        <v>3375.9</v>
      </c>
      <c r="F94" s="68">
        <f t="array" aca="1" ref="F94" ca="1">_FV(D94,"Previous close",TRUE)</f>
        <v>3343.5</v>
      </c>
      <c r="G94" s="62">
        <v>3375.9</v>
      </c>
      <c r="H94" s="62">
        <v>2744.56</v>
      </c>
      <c r="I94" s="62">
        <v>2635.21</v>
      </c>
      <c r="J94" s="62">
        <v>2272.7600000000002</v>
      </c>
      <c r="K94" s="60"/>
      <c r="L94" s="60"/>
      <c r="M94" s="60"/>
    </row>
    <row r="95" spans="1:13">
      <c r="A95" s="65">
        <v>46166</v>
      </c>
      <c r="B95" s="70" t="s">
        <v>182</v>
      </c>
      <c r="C95" s="70" t="s">
        <v>942</v>
      </c>
      <c r="D95" s="70" t="e" vm="73">
        <v>#VALUE!</v>
      </c>
      <c r="E95" s="67">
        <f t="array" aca="1" ref="E95" ca="1">_FV(D95,"Price")</f>
        <v>2133</v>
      </c>
      <c r="F95" s="68">
        <f t="array" aca="1" ref="F95" ca="1">_FV(D95,"Previous close",TRUE)</f>
        <v>2054</v>
      </c>
      <c r="G95" s="62">
        <v>2133</v>
      </c>
      <c r="H95" s="62">
        <v>1709.22</v>
      </c>
      <c r="I95" s="62">
        <v>1643.59</v>
      </c>
      <c r="J95" s="62">
        <v>1467.54</v>
      </c>
      <c r="K95" s="60"/>
      <c r="L95" s="60"/>
      <c r="M95" s="60"/>
    </row>
    <row r="96" spans="1:13">
      <c r="A96" s="65">
        <v>46166</v>
      </c>
      <c r="B96" s="70" t="s">
        <v>121</v>
      </c>
      <c r="C96" s="70" t="s">
        <v>942</v>
      </c>
      <c r="D96" s="70" t="e" vm="172">
        <v>#VALUE!</v>
      </c>
      <c r="E96" s="67">
        <f t="array" aca="1" ref="E96" ca="1">_FV(D96,"Price")</f>
        <v>703.55</v>
      </c>
      <c r="F96" s="68">
        <f t="array" aca="1" ref="F96" ca="1">_FV(D96,"Previous close",TRUE)</f>
        <v>680.35</v>
      </c>
      <c r="G96" s="62">
        <v>703.55</v>
      </c>
      <c r="H96" s="62">
        <v>611.65</v>
      </c>
      <c r="I96" s="62">
        <v>602.67999999999995</v>
      </c>
      <c r="J96" s="62">
        <v>587.28</v>
      </c>
      <c r="K96" s="60"/>
      <c r="L96" s="60"/>
      <c r="M96" s="60"/>
    </row>
    <row r="97" spans="1:13">
      <c r="A97" s="65">
        <v>46166</v>
      </c>
      <c r="B97" s="70" t="s">
        <v>193</v>
      </c>
      <c r="C97" s="70" t="s">
        <v>942</v>
      </c>
      <c r="D97" s="70" t="e" vm="164">
        <v>#VALUE!</v>
      </c>
      <c r="E97" s="67">
        <f t="array" aca="1" ref="E97" ca="1">_FV(D97,"Price")</f>
        <v>171.86</v>
      </c>
      <c r="F97" s="68">
        <f t="array" aca="1" ref="F97" ca="1">_FV(D97,"Previous close",TRUE)</f>
        <v>163.68</v>
      </c>
      <c r="G97" s="62">
        <v>171.86</v>
      </c>
      <c r="H97" s="62">
        <v>147.21</v>
      </c>
      <c r="I97" s="62">
        <v>140.01</v>
      </c>
      <c r="J97" s="62">
        <v>116.98</v>
      </c>
      <c r="K97" s="60"/>
      <c r="L97" s="60"/>
      <c r="M97" s="60"/>
    </row>
    <row r="98" spans="1:13">
      <c r="A98" s="65">
        <v>46166</v>
      </c>
      <c r="B98" s="70" t="s">
        <v>125</v>
      </c>
      <c r="C98" s="70" t="s">
        <v>942</v>
      </c>
      <c r="D98" s="70" t="e" vm="29">
        <v>#VALUE!</v>
      </c>
      <c r="E98" s="67">
        <f t="array" aca="1" ref="E98" ca="1">_FV(D98,"Price")</f>
        <v>671.2</v>
      </c>
      <c r="F98" s="68">
        <f t="array" aca="1" ref="F98" ca="1">_FV(D98,"Previous close",TRUE)</f>
        <v>640.70000000000005</v>
      </c>
      <c r="G98" s="62">
        <v>671.2</v>
      </c>
      <c r="H98" s="62">
        <v>634.64</v>
      </c>
      <c r="I98" s="62">
        <v>620.38</v>
      </c>
      <c r="J98" s="62">
        <v>579.04</v>
      </c>
      <c r="K98" s="60"/>
      <c r="L98" s="60"/>
      <c r="M98" s="60"/>
    </row>
    <row r="99" spans="1:13">
      <c r="A99" s="65">
        <v>46166</v>
      </c>
      <c r="B99" s="70" t="s">
        <v>958</v>
      </c>
      <c r="C99" s="70" t="s">
        <v>942</v>
      </c>
      <c r="D99" s="70" t="e" vm="233">
        <v>#VALUE!</v>
      </c>
      <c r="E99" s="67">
        <f t="array" aca="1" ref="E99" ca="1">_FV(D99,"Price")</f>
        <v>1578.6</v>
      </c>
      <c r="F99" s="68">
        <f t="array" aca="1" ref="F99" ca="1">_FV(D99,"Previous close",TRUE)</f>
        <v>1435.1</v>
      </c>
      <c r="G99" s="62">
        <v>1578.6</v>
      </c>
      <c r="H99" s="62">
        <v>1321.69</v>
      </c>
      <c r="I99" s="62">
        <v>1283.75</v>
      </c>
      <c r="J99" s="62">
        <v>1200.17</v>
      </c>
      <c r="K99" s="60"/>
      <c r="L99" s="60"/>
      <c r="M99" s="60"/>
    </row>
    <row r="100" spans="1:13">
      <c r="A100" s="65">
        <v>46166</v>
      </c>
      <c r="B100" s="70" t="s">
        <v>666</v>
      </c>
      <c r="C100" s="70" t="s">
        <v>942</v>
      </c>
      <c r="D100" s="70" t="e" vm="6">
        <v>#VALUE!</v>
      </c>
      <c r="E100" s="67">
        <f t="array" aca="1" ref="E100" ca="1">_FV(D100,"Price")</f>
        <v>522.20000000000005</v>
      </c>
      <c r="F100" s="68">
        <f t="array" aca="1" ref="F100" ca="1">_FV(D100,"Previous close",TRUE)</f>
        <v>519.9</v>
      </c>
      <c r="G100" s="62">
        <v>522.20000000000005</v>
      </c>
      <c r="H100" s="62">
        <v>505.93</v>
      </c>
      <c r="I100" s="62">
        <v>500.27</v>
      </c>
      <c r="J100" s="62">
        <v>484.48</v>
      </c>
      <c r="K100" s="60"/>
      <c r="L100" s="60"/>
      <c r="M100" s="60"/>
    </row>
    <row r="101" spans="1:13">
      <c r="A101" s="65">
        <v>46166</v>
      </c>
      <c r="B101" s="70" t="s">
        <v>949</v>
      </c>
      <c r="C101" s="70" t="s">
        <v>942</v>
      </c>
      <c r="D101" s="70" t="e" vm="159">
        <v>#VALUE!</v>
      </c>
      <c r="E101" s="67">
        <f t="array" aca="1" ref="E101" ca="1">_FV(D101,"Price")</f>
        <v>1921</v>
      </c>
      <c r="F101" s="68">
        <f t="array" aca="1" ref="F101" ca="1">_FV(D101,"Previous close",TRUE)</f>
        <v>1895.2</v>
      </c>
      <c r="G101" s="62">
        <v>1921</v>
      </c>
      <c r="H101" s="62">
        <v>1798.24</v>
      </c>
      <c r="I101" s="62">
        <v>1770.25</v>
      </c>
      <c r="J101" s="62">
        <v>1693.73</v>
      </c>
      <c r="K101" s="60"/>
      <c r="L101" s="60"/>
      <c r="M101" s="60"/>
    </row>
    <row r="102" spans="1:13">
      <c r="A102" s="65">
        <v>46166</v>
      </c>
      <c r="B102" s="70" t="s">
        <v>945</v>
      </c>
      <c r="C102" s="70" t="s">
        <v>942</v>
      </c>
      <c r="D102" s="70" t="e" vm="157">
        <v>#VALUE!</v>
      </c>
      <c r="E102" s="67">
        <f t="array" aca="1" ref="E102" ca="1">_FV(D102,"Price")</f>
        <v>869.1</v>
      </c>
      <c r="F102" s="68">
        <f t="array" aca="1" ref="F102" ca="1">_FV(D102,"Previous close",TRUE)</f>
        <v>870.9</v>
      </c>
      <c r="G102" s="62">
        <v>869.1</v>
      </c>
      <c r="H102" s="62">
        <v>758.68</v>
      </c>
      <c r="I102" s="62">
        <v>726.97</v>
      </c>
      <c r="J102" s="62">
        <v>629.77</v>
      </c>
      <c r="K102" s="60"/>
      <c r="L102" s="60"/>
      <c r="M102" s="60"/>
    </row>
    <row r="103" spans="1:13">
      <c r="A103" s="65">
        <v>46166</v>
      </c>
      <c r="B103" s="70" t="s">
        <v>648</v>
      </c>
      <c r="C103" s="70" t="s">
        <v>942</v>
      </c>
      <c r="D103" s="70" t="e" vm="168">
        <v>#VALUE!</v>
      </c>
      <c r="E103" s="67">
        <f t="array" aca="1" ref="E103" ca="1">_FV(D103,"Price")</f>
        <v>1104.7</v>
      </c>
      <c r="F103" s="68">
        <f t="array" aca="1" ref="F103" ca="1">_FV(D103,"Previous close",TRUE)</f>
        <v>1105.9000000000001</v>
      </c>
      <c r="G103" s="62">
        <v>1104.7</v>
      </c>
      <c r="H103" s="62">
        <v>1021.95</v>
      </c>
      <c r="I103" s="62">
        <v>1008.55</v>
      </c>
      <c r="J103" s="62">
        <v>973.32</v>
      </c>
      <c r="K103" s="60"/>
      <c r="L103" s="60"/>
      <c r="M103" s="60"/>
    </row>
    <row r="104" spans="1:13">
      <c r="A104" s="65">
        <v>46166</v>
      </c>
      <c r="B104" s="70" t="s">
        <v>252</v>
      </c>
      <c r="C104" s="70" t="s">
        <v>942</v>
      </c>
      <c r="D104" s="70" t="e" vm="234">
        <v>#VALUE!</v>
      </c>
      <c r="E104" s="67">
        <f t="array" aca="1" ref="E104" ca="1">_FV(D104,"Price")</f>
        <v>2262.1999999999998</v>
      </c>
      <c r="F104" s="68">
        <f t="array" aca="1" ref="F104" ca="1">_FV(D104,"Previous close",TRUE)</f>
        <v>2306.5</v>
      </c>
      <c r="G104" s="62">
        <v>2262.1999999999998</v>
      </c>
      <c r="H104" s="62">
        <v>2075.42</v>
      </c>
      <c r="I104" s="62">
        <v>2036.78</v>
      </c>
      <c r="J104" s="62">
        <v>1931.06</v>
      </c>
      <c r="K104" s="60"/>
      <c r="L104" s="60"/>
      <c r="M104" s="60"/>
    </row>
    <row r="105" spans="1:13">
      <c r="A105" s="65">
        <v>46166</v>
      </c>
      <c r="B105" s="70" t="s">
        <v>213</v>
      </c>
      <c r="C105" s="70" t="s">
        <v>942</v>
      </c>
      <c r="D105" s="70" t="e" vm="235">
        <v>#VALUE!</v>
      </c>
      <c r="E105" s="67">
        <f t="array" aca="1" ref="E105" ca="1">_FV(D105,"Price")</f>
        <v>70.42</v>
      </c>
      <c r="F105" s="68">
        <f t="array" aca="1" ref="F105" ca="1">_FV(D105,"Previous close",TRUE)</f>
        <v>72.56</v>
      </c>
      <c r="G105" s="62">
        <v>70.42</v>
      </c>
      <c r="H105" s="62">
        <v>62.25</v>
      </c>
      <c r="I105" s="62">
        <v>60.07</v>
      </c>
      <c r="J105" s="62">
        <v>53.09</v>
      </c>
      <c r="K105" s="60"/>
      <c r="L105" s="60"/>
      <c r="M105" s="60"/>
    </row>
    <row r="106" spans="1:13">
      <c r="A106" s="65">
        <v>46166</v>
      </c>
      <c r="B106" s="70" t="s">
        <v>672</v>
      </c>
      <c r="C106" s="70" t="s">
        <v>942</v>
      </c>
      <c r="D106" s="70" t="e" vm="8">
        <v>#VALUE!</v>
      </c>
      <c r="E106" s="67">
        <f t="array" aca="1" ref="E106" ca="1">_FV(D106,"Price")</f>
        <v>640.25</v>
      </c>
      <c r="F106" s="68">
        <f t="array" aca="1" ref="F106" ca="1">_FV(D106,"Previous close",TRUE)</f>
        <v>635.5</v>
      </c>
      <c r="G106" s="62">
        <v>640.25</v>
      </c>
      <c r="H106" s="62">
        <v>640.79</v>
      </c>
      <c r="I106" s="62">
        <v>632.41999999999996</v>
      </c>
      <c r="J106" s="62">
        <v>603.61</v>
      </c>
      <c r="K106" s="60"/>
      <c r="L106" s="60"/>
      <c r="M106" s="60"/>
    </row>
    <row r="107" spans="1:13">
      <c r="A107" s="65">
        <v>46166</v>
      </c>
      <c r="B107" s="70" t="s">
        <v>1014</v>
      </c>
      <c r="C107" s="70" t="s">
        <v>942</v>
      </c>
      <c r="D107" s="70" t="e" vm="236">
        <v>#VALUE!</v>
      </c>
      <c r="E107" s="67">
        <f t="array" aca="1" ref="E107" ca="1">_FV(D107,"Price")</f>
        <v>692.65</v>
      </c>
      <c r="F107" s="68">
        <f t="array" aca="1" ref="F107" ca="1">_FV(D107,"Previous close",TRUE)</f>
        <v>654.85</v>
      </c>
      <c r="G107" s="62">
        <v>692.65</v>
      </c>
      <c r="H107" s="62">
        <v>606.04999999999995</v>
      </c>
      <c r="I107" s="62">
        <v>591.82000000000005</v>
      </c>
      <c r="J107" s="62">
        <v>556.49</v>
      </c>
      <c r="K107" s="60"/>
      <c r="L107" s="60"/>
      <c r="M107" s="60"/>
    </row>
    <row r="108" spans="1:13">
      <c r="A108" s="65">
        <v>46166</v>
      </c>
      <c r="B108" s="70" t="s">
        <v>1015</v>
      </c>
      <c r="C108" s="70" t="s">
        <v>942</v>
      </c>
      <c r="D108" s="70" t="e" vm="237">
        <v>#VALUE!</v>
      </c>
      <c r="E108" s="67">
        <f t="array" aca="1" ref="E108" ca="1">_FV(D108,"Price")</f>
        <v>387.95</v>
      </c>
      <c r="F108" s="68">
        <f t="array" aca="1" ref="F108" ca="1">_FV(D108,"Previous close",TRUE)</f>
        <v>371.3</v>
      </c>
      <c r="G108" s="62">
        <v>387.95</v>
      </c>
      <c r="H108" s="62">
        <v>343.73</v>
      </c>
      <c r="I108" s="62">
        <v>337.28</v>
      </c>
      <c r="J108" s="62">
        <v>322.36</v>
      </c>
      <c r="K108" s="60"/>
      <c r="L108" s="60"/>
      <c r="M108" s="60"/>
    </row>
    <row r="109" spans="1:13">
      <c r="A109" s="65">
        <v>46166</v>
      </c>
      <c r="B109" s="70" t="s">
        <v>1016</v>
      </c>
      <c r="C109" s="70" t="s">
        <v>942</v>
      </c>
      <c r="D109" s="70" t="e" vm="238">
        <v>#VALUE!</v>
      </c>
      <c r="E109" s="67">
        <f t="array" aca="1" ref="E109" ca="1">_FV(D109,"Price")</f>
        <v>712</v>
      </c>
      <c r="F109" s="68">
        <f t="array" aca="1" ref="F109" ca="1">_FV(D109,"Previous close",TRUE)</f>
        <v>734.65</v>
      </c>
      <c r="G109" s="62">
        <v>712</v>
      </c>
      <c r="H109" s="62">
        <v>609.9</v>
      </c>
      <c r="I109" s="62">
        <v>595.57000000000005</v>
      </c>
      <c r="J109" s="62">
        <v>558.92999999999995</v>
      </c>
      <c r="K109" s="60"/>
      <c r="L109" s="60"/>
      <c r="M109" s="60"/>
    </row>
    <row r="110" spans="1:13">
      <c r="A110" s="65">
        <v>46166</v>
      </c>
      <c r="B110" s="70" t="s">
        <v>1017</v>
      </c>
      <c r="C110" s="70" t="s">
        <v>942</v>
      </c>
      <c r="D110" s="70" t="e" vm="239">
        <v>#VALUE!</v>
      </c>
      <c r="E110" s="67">
        <f t="array" aca="1" ref="E110" ca="1">_FV(D110,"Price")</f>
        <v>599.6</v>
      </c>
      <c r="F110" s="68">
        <f t="array" aca="1" ref="F110" ca="1">_FV(D110,"Previous close",TRUE)</f>
        <v>609.25</v>
      </c>
      <c r="G110" s="62">
        <v>599.6</v>
      </c>
      <c r="H110" s="62">
        <v>584.1</v>
      </c>
      <c r="I110" s="62">
        <v>576.45000000000005</v>
      </c>
      <c r="J110" s="62">
        <v>557.57000000000005</v>
      </c>
      <c r="K110" s="60"/>
      <c r="L110" s="60"/>
      <c r="M110" s="60"/>
    </row>
    <row r="111" spans="1:13">
      <c r="A111" s="65">
        <v>46166</v>
      </c>
      <c r="B111" s="70" t="s">
        <v>1018</v>
      </c>
      <c r="C111" s="70" t="s">
        <v>942</v>
      </c>
      <c r="D111" s="70" t="e" vm="240">
        <v>#VALUE!</v>
      </c>
      <c r="E111" s="67">
        <f t="array" aca="1" ref="E111" ca="1">_FV(D111,"Price")</f>
        <v>783.05</v>
      </c>
      <c r="F111" s="68">
        <f t="array" aca="1" ref="F111" ca="1">_FV(D111,"Previous close",TRUE)</f>
        <v>772.75</v>
      </c>
      <c r="G111" s="62">
        <v>783.05</v>
      </c>
      <c r="H111" s="62">
        <v>686.15</v>
      </c>
      <c r="I111" s="62">
        <v>671.22</v>
      </c>
      <c r="J111" s="62">
        <v>634.54</v>
      </c>
      <c r="K111" s="60"/>
      <c r="L111" s="60"/>
      <c r="M111" s="60"/>
    </row>
    <row r="112" spans="1:13">
      <c r="A112" s="65">
        <v>46166</v>
      </c>
      <c r="B112" s="70" t="s">
        <v>203</v>
      </c>
      <c r="C112" s="70" t="s">
        <v>942</v>
      </c>
      <c r="D112" s="70" t="e" vm="241">
        <v>#VALUE!</v>
      </c>
      <c r="E112" s="67">
        <f t="array" aca="1" ref="E112" ca="1">_FV(D112,"Price")</f>
        <v>977.15</v>
      </c>
      <c r="F112" s="68">
        <f t="array" aca="1" ref="F112" ca="1">_FV(D112,"Previous close",TRUE)</f>
        <v>937</v>
      </c>
      <c r="G112" s="62">
        <v>977.15</v>
      </c>
      <c r="H112" s="62">
        <v>822.53</v>
      </c>
      <c r="I112" s="62">
        <v>801.02</v>
      </c>
      <c r="J112" s="62">
        <v>749.71</v>
      </c>
      <c r="K112" s="60"/>
      <c r="L112" s="60"/>
      <c r="M112" s="60"/>
    </row>
    <row r="113" spans="1:13">
      <c r="A113" s="65">
        <v>46166</v>
      </c>
      <c r="B113" s="70" t="s">
        <v>201</v>
      </c>
      <c r="C113" s="70" t="s">
        <v>942</v>
      </c>
      <c r="D113" s="70" t="e" vm="242">
        <v>#VALUE!</v>
      </c>
      <c r="E113" s="67">
        <f t="array" aca="1" ref="E113" ca="1">_FV(D113,"Price")</f>
        <v>223.76</v>
      </c>
      <c r="F113" s="68">
        <f t="array" aca="1" ref="F113" ca="1">_FV(D113,"Previous close",TRUE)</f>
        <v>204.11</v>
      </c>
      <c r="G113" s="62">
        <v>223.76</v>
      </c>
      <c r="H113" s="62">
        <v>187.8</v>
      </c>
      <c r="I113" s="62">
        <v>181.58</v>
      </c>
      <c r="J113" s="62">
        <v>163.85</v>
      </c>
      <c r="K113" s="60"/>
      <c r="L113" s="60"/>
      <c r="M113" s="60"/>
    </row>
    <row r="114" spans="1:13">
      <c r="A114" s="65">
        <v>46166</v>
      </c>
      <c r="B114" s="70" t="s">
        <v>948</v>
      </c>
      <c r="C114" s="70" t="s">
        <v>942</v>
      </c>
      <c r="D114" s="70" t="e" vm="158">
        <v>#VALUE!</v>
      </c>
      <c r="E114" s="67">
        <f t="array" aca="1" ref="E114" ca="1">_FV(D114,"Price")</f>
        <v>417.8</v>
      </c>
      <c r="F114" s="68">
        <f t="array" aca="1" ref="F114" ca="1">_FV(D114,"Previous close",TRUE)</f>
        <v>429.35</v>
      </c>
      <c r="G114" s="62">
        <v>417.8</v>
      </c>
      <c r="H114" s="62">
        <v>469.9</v>
      </c>
      <c r="I114" s="62">
        <v>470.64</v>
      </c>
      <c r="J114" s="62">
        <v>465.84</v>
      </c>
      <c r="K114" s="60"/>
      <c r="L114" s="60"/>
      <c r="M114" s="60"/>
    </row>
    <row r="115" spans="1:13">
      <c r="A115" s="65">
        <v>46166</v>
      </c>
      <c r="B115" s="70" t="s">
        <v>893</v>
      </c>
      <c r="C115" s="70" t="s">
        <v>942</v>
      </c>
      <c r="D115" s="70" t="e" vm="115">
        <v>#VALUE!</v>
      </c>
      <c r="E115" s="67">
        <f t="array" aca="1" ref="E115" ca="1">_FV(D115,"Price")</f>
        <v>440.6</v>
      </c>
      <c r="F115" s="68">
        <f t="array" aca="1" ref="F115" ca="1">_FV(D115,"Previous close",TRUE)</f>
        <v>427.85</v>
      </c>
      <c r="G115" s="62">
        <v>440.6</v>
      </c>
      <c r="H115" s="62">
        <v>458.29</v>
      </c>
      <c r="I115" s="62">
        <v>455.94</v>
      </c>
      <c r="J115" s="62">
        <v>442.32</v>
      </c>
      <c r="K115" s="60"/>
      <c r="L115" s="60"/>
      <c r="M115" s="60"/>
    </row>
    <row r="116" spans="1:13">
      <c r="A116" s="65">
        <v>46166</v>
      </c>
      <c r="B116" s="70" t="s">
        <v>1019</v>
      </c>
      <c r="C116" s="70" t="s">
        <v>942</v>
      </c>
      <c r="D116" s="70" t="e" vm="243">
        <v>#VALUE!</v>
      </c>
      <c r="E116" s="67">
        <f t="array" aca="1" ref="E116" ca="1">_FV(D116,"Price")</f>
        <v>559.35</v>
      </c>
      <c r="F116" s="68">
        <f t="array" aca="1" ref="F116" ca="1">_FV(D116,"Previous close",TRUE)</f>
        <v>552.25</v>
      </c>
      <c r="G116" s="62">
        <v>559.35</v>
      </c>
      <c r="H116" s="62">
        <v>552.66999999999996</v>
      </c>
      <c r="I116" s="62">
        <v>547.52</v>
      </c>
      <c r="J116" s="62">
        <v>530.61</v>
      </c>
      <c r="K116" s="60"/>
      <c r="L116" s="60"/>
      <c r="M116" s="60"/>
    </row>
    <row r="117" spans="1:13">
      <c r="A117" s="65">
        <v>46166</v>
      </c>
      <c r="B117" s="70" t="s">
        <v>714</v>
      </c>
      <c r="C117" s="70" t="s">
        <v>942</v>
      </c>
      <c r="D117" s="70" t="e" vm="23">
        <v>#VALUE!</v>
      </c>
      <c r="E117" s="67">
        <f t="array" aca="1" ref="E117" ca="1">_FV(D117,"Price")</f>
        <v>3530.2</v>
      </c>
      <c r="F117" s="68">
        <f t="array" aca="1" ref="F117" ca="1">_FV(D117,"Previous close",TRUE)</f>
        <v>3511.5</v>
      </c>
      <c r="G117" s="62">
        <v>3530.2</v>
      </c>
      <c r="H117" s="62">
        <v>3552.25</v>
      </c>
      <c r="I117" s="62">
        <v>3529.39</v>
      </c>
      <c r="J117" s="62">
        <v>3423.09</v>
      </c>
      <c r="K117" s="60"/>
      <c r="L117" s="60"/>
      <c r="M117" s="60"/>
    </row>
    <row r="118" spans="1:13">
      <c r="A118" s="65">
        <v>46166</v>
      </c>
      <c r="B118" s="70" t="s">
        <v>724</v>
      </c>
      <c r="C118" s="70" t="s">
        <v>942</v>
      </c>
      <c r="D118" s="70" t="e" vm="28">
        <v>#VALUE!</v>
      </c>
      <c r="E118" s="67">
        <f t="array" aca="1" ref="E118" ca="1">_FV(D118,"Price")</f>
        <v>2407.8000000000002</v>
      </c>
      <c r="F118" s="68">
        <f t="array" aca="1" ref="F118" ca="1">_FV(D118,"Previous close",TRUE)</f>
        <v>2331</v>
      </c>
      <c r="G118" s="62">
        <v>2407.8000000000002</v>
      </c>
      <c r="H118" s="62">
        <v>2001.97</v>
      </c>
      <c r="I118" s="62">
        <v>1966.56</v>
      </c>
      <c r="J118" s="62">
        <v>1892.48</v>
      </c>
      <c r="K118" s="60"/>
      <c r="L118" s="60"/>
      <c r="M118" s="60"/>
    </row>
    <row r="119" spans="1:13">
      <c r="A119" s="65">
        <v>46166</v>
      </c>
      <c r="B119" s="70" t="s">
        <v>205</v>
      </c>
      <c r="C119" s="70" t="s">
        <v>942</v>
      </c>
      <c r="D119" s="70" t="e" vm="244">
        <v>#VALUE!</v>
      </c>
      <c r="E119" s="67">
        <f t="array" aca="1" ref="E119" ca="1">_FV(D119,"Price")</f>
        <v>268.25</v>
      </c>
      <c r="F119" s="68">
        <f t="array" aca="1" ref="F119" ca="1">_FV(D119,"Previous close",TRUE)</f>
        <v>263.14999999999998</v>
      </c>
      <c r="G119" s="62">
        <v>268.25</v>
      </c>
      <c r="H119" s="62">
        <v>233.46</v>
      </c>
      <c r="I119" s="62">
        <v>226.35</v>
      </c>
      <c r="J119" s="62">
        <v>205.52</v>
      </c>
      <c r="K119" s="60"/>
      <c r="L119" s="60"/>
      <c r="M119" s="60"/>
    </row>
    <row r="120" spans="1:13">
      <c r="A120" s="65">
        <v>46166</v>
      </c>
      <c r="B120" s="70" t="s">
        <v>1020</v>
      </c>
      <c r="C120" s="70" t="s">
        <v>942</v>
      </c>
      <c r="D120" s="70" t="e" vm="245">
        <v>#VALUE!</v>
      </c>
      <c r="E120" s="67">
        <f t="array" aca="1" ref="E120" ca="1">_FV(D120,"Price")</f>
        <v>1554.6</v>
      </c>
      <c r="F120" s="68">
        <f t="array" aca="1" ref="F120" ca="1">_FV(D120,"Previous close",TRUE)</f>
        <v>1501.6</v>
      </c>
      <c r="G120" s="62">
        <v>1554.6</v>
      </c>
      <c r="H120" s="62">
        <v>1361.86</v>
      </c>
      <c r="I120" s="62">
        <v>1333.3</v>
      </c>
      <c r="J120" s="62">
        <v>1267.58</v>
      </c>
      <c r="K120" s="60"/>
      <c r="L120" s="60"/>
      <c r="M120" s="60"/>
    </row>
    <row r="121" spans="1:13">
      <c r="A121" s="65">
        <v>46166</v>
      </c>
      <c r="B121" s="70" t="s">
        <v>953</v>
      </c>
      <c r="C121" s="70" t="s">
        <v>942</v>
      </c>
      <c r="D121" s="70" t="e" vm="161">
        <v>#VALUE!</v>
      </c>
      <c r="E121" s="67">
        <f t="array" aca="1" ref="E121" ca="1">_FV(D121,"Price")</f>
        <v>495</v>
      </c>
      <c r="F121" s="68">
        <f t="array" aca="1" ref="F121" ca="1">_FV(D121,"Previous close",TRUE)</f>
        <v>478.65</v>
      </c>
      <c r="G121" s="62">
        <v>495</v>
      </c>
      <c r="H121" s="62">
        <v>482.47</v>
      </c>
      <c r="I121" s="62">
        <v>473.6</v>
      </c>
      <c r="J121" s="62">
        <v>436.64</v>
      </c>
      <c r="K121" s="60"/>
      <c r="L121" s="60"/>
      <c r="M121" s="60"/>
    </row>
    <row r="122" spans="1:13">
      <c r="A122" s="65">
        <v>46166</v>
      </c>
      <c r="B122" s="70" t="s">
        <v>207</v>
      </c>
      <c r="C122" s="70" t="s">
        <v>942</v>
      </c>
      <c r="D122" s="70" t="e" vm="246">
        <v>#VALUE!</v>
      </c>
      <c r="E122" s="67">
        <f t="array" aca="1" ref="E122" ca="1">_FV(D122,"Price")</f>
        <v>4726.3</v>
      </c>
      <c r="F122" s="68">
        <f t="array" aca="1" ref="F122" ca="1">_FV(D122,"Previous close",TRUE)</f>
        <v>4571.3</v>
      </c>
      <c r="G122" s="62">
        <v>4726.3</v>
      </c>
      <c r="H122" s="62">
        <v>4445.09</v>
      </c>
      <c r="I122" s="62">
        <v>4339.2299999999996</v>
      </c>
      <c r="J122" s="62">
        <v>3964.46</v>
      </c>
      <c r="K122" s="60"/>
      <c r="L122" s="60"/>
      <c r="M122" s="60"/>
    </row>
    <row r="123" spans="1:13">
      <c r="A123" s="65">
        <v>46166</v>
      </c>
      <c r="B123" s="70" t="s">
        <v>1021</v>
      </c>
      <c r="C123" s="70" t="s">
        <v>942</v>
      </c>
      <c r="D123" s="70" t="e" vm="247">
        <v>#VALUE!</v>
      </c>
      <c r="E123" s="67">
        <f t="array" aca="1" ref="E123" ca="1">_FV(D123,"Price")</f>
        <v>275.7</v>
      </c>
      <c r="F123" s="68">
        <f t="array" aca="1" ref="F123" ca="1">_FV(D123,"Previous close",TRUE)</f>
        <v>265.05</v>
      </c>
      <c r="G123" s="62">
        <v>275.7</v>
      </c>
      <c r="H123" s="62">
        <v>258.08</v>
      </c>
      <c r="I123" s="62">
        <v>254.42</v>
      </c>
      <c r="J123" s="62">
        <v>238.95</v>
      </c>
      <c r="K123" s="60"/>
      <c r="L123" s="60"/>
      <c r="M123" s="60"/>
    </row>
    <row r="124" spans="1:13">
      <c r="A124" s="65">
        <v>46166</v>
      </c>
      <c r="B124" s="70" t="s">
        <v>950</v>
      </c>
      <c r="C124" s="70" t="s">
        <v>942</v>
      </c>
      <c r="D124" s="70" t="e" vm="160">
        <v>#VALUE!</v>
      </c>
      <c r="E124" s="67">
        <f t="array" aca="1" ref="E124" ca="1">_FV(D124,"Price")</f>
        <v>246.2</v>
      </c>
      <c r="F124" s="68">
        <f t="array" aca="1" ref="F124" ca="1">_FV(D124,"Previous close",TRUE)</f>
        <v>252.6</v>
      </c>
      <c r="G124" s="62">
        <v>246.2</v>
      </c>
      <c r="H124" s="62">
        <v>272.11</v>
      </c>
      <c r="I124" s="62">
        <v>272.89</v>
      </c>
      <c r="J124" s="62">
        <v>269.81</v>
      </c>
      <c r="K124" s="60"/>
      <c r="L124" s="60"/>
      <c r="M124" s="60"/>
    </row>
    <row r="125" spans="1:13">
      <c r="A125" s="65">
        <v>46166</v>
      </c>
      <c r="B125" s="70" t="s">
        <v>120</v>
      </c>
      <c r="C125" s="70" t="s">
        <v>942</v>
      </c>
      <c r="D125" s="70" t="e" vm="165">
        <v>#VALUE!</v>
      </c>
      <c r="E125" s="67">
        <f t="array" aca="1" ref="E125" ca="1">_FV(D125,"Price")</f>
        <v>1472.8</v>
      </c>
      <c r="F125" s="68">
        <f t="array" aca="1" ref="F125" ca="1">_FV(D125,"Previous close",TRUE)</f>
        <v>1464.1</v>
      </c>
      <c r="G125" s="62">
        <v>1472.8</v>
      </c>
      <c r="H125" s="62">
        <v>1432.87</v>
      </c>
      <c r="I125" s="62">
        <v>1419.02</v>
      </c>
      <c r="J125" s="62">
        <v>1358.2</v>
      </c>
      <c r="K125" s="60"/>
      <c r="L125" s="60"/>
      <c r="M125" s="60"/>
    </row>
    <row r="126" spans="1:13">
      <c r="A126" s="65">
        <v>46166</v>
      </c>
      <c r="B126" s="70" t="s">
        <v>189</v>
      </c>
      <c r="C126" s="70" t="s">
        <v>942</v>
      </c>
      <c r="D126" s="70" t="e" vm="248">
        <v>#VALUE!</v>
      </c>
      <c r="E126" s="67">
        <f t="array" aca="1" ref="E126" ca="1">_FV(D126,"Price")</f>
        <v>1489.6</v>
      </c>
      <c r="F126" s="68">
        <f t="array" aca="1" ref="F126" ca="1">_FV(D126,"Previous close",TRUE)</f>
        <v>1466.7</v>
      </c>
      <c r="G126" s="62">
        <v>1489.6</v>
      </c>
      <c r="H126" s="62">
        <v>1387.24</v>
      </c>
      <c r="I126" s="62">
        <v>1353.98</v>
      </c>
      <c r="J126" s="62">
        <v>1234.21</v>
      </c>
      <c r="K126" s="60"/>
      <c r="L126" s="60"/>
      <c r="M126" s="60"/>
    </row>
    <row r="127" spans="1:13">
      <c r="A127" s="65">
        <v>46166</v>
      </c>
      <c r="B127" s="70" t="s">
        <v>977</v>
      </c>
      <c r="C127" s="70" t="s">
        <v>972</v>
      </c>
      <c r="D127" s="70" t="e" vm="186">
        <v>#VALUE!</v>
      </c>
      <c r="E127" s="67">
        <f t="array" aca="1" ref="E127" ca="1">_FV(D127,"Price")</f>
        <v>583.65</v>
      </c>
      <c r="F127" s="68">
        <f t="array" aca="1" ref="F127" ca="1">_FV(D127,"Previous close",TRUE)</f>
        <v>568.4</v>
      </c>
      <c r="G127" s="62">
        <v>583.65</v>
      </c>
      <c r="H127" s="62">
        <v>448.21</v>
      </c>
      <c r="I127" s="62">
        <v>419.41</v>
      </c>
      <c r="J127" s="62">
        <v>325.13</v>
      </c>
      <c r="K127" s="60"/>
      <c r="L127" s="60"/>
      <c r="M127" s="60"/>
    </row>
    <row r="128" spans="1:13">
      <c r="A128" s="65">
        <v>46166</v>
      </c>
      <c r="B128" s="70" t="s">
        <v>973</v>
      </c>
      <c r="C128" s="70" t="s">
        <v>972</v>
      </c>
      <c r="D128" s="70" t="e" vm="182">
        <v>#VALUE!</v>
      </c>
      <c r="E128" s="67">
        <f t="array" aca="1" ref="E128" ca="1">_FV(D128,"Price")</f>
        <v>7159.5</v>
      </c>
      <c r="F128" s="68">
        <f t="array" aca="1" ref="F128" ca="1">_FV(D128,"Previous close",TRUE)</f>
        <v>6306</v>
      </c>
      <c r="G128" s="62">
        <v>7159.5</v>
      </c>
      <c r="H128" s="62">
        <v>6688.2</v>
      </c>
      <c r="I128" s="62">
        <v>6412.66</v>
      </c>
      <c r="J128" s="62">
        <v>5345.4</v>
      </c>
      <c r="K128" s="60"/>
      <c r="L128" s="60"/>
      <c r="M128" s="60"/>
    </row>
    <row r="129" spans="1:13">
      <c r="A129" s="65">
        <v>46166</v>
      </c>
      <c r="B129" s="70" t="s">
        <v>553</v>
      </c>
      <c r="C129" s="70" t="s">
        <v>972</v>
      </c>
      <c r="D129" s="70" t="e" vm="24">
        <v>#VALUE!</v>
      </c>
      <c r="E129" s="67">
        <f t="array" aca="1" ref="E129" ca="1">_FV(D129,"Price")</f>
        <v>17143</v>
      </c>
      <c r="F129" s="68">
        <f t="array" aca="1" ref="F129" ca="1">_FV(D129,"Previous close",TRUE)</f>
        <v>17141</v>
      </c>
      <c r="G129" s="62">
        <v>17143</v>
      </c>
      <c r="H129" s="62">
        <v>16795.189999999999</v>
      </c>
      <c r="I129" s="62">
        <v>16495.37</v>
      </c>
      <c r="J129" s="62">
        <v>15493.01</v>
      </c>
      <c r="K129" s="60"/>
      <c r="L129" s="60"/>
      <c r="M129" s="60"/>
    </row>
    <row r="130" spans="1:13">
      <c r="A130" s="65">
        <v>46166</v>
      </c>
      <c r="B130" s="70" t="s">
        <v>332</v>
      </c>
      <c r="C130" s="70" t="s">
        <v>972</v>
      </c>
      <c r="D130" s="70" t="e" vm="154">
        <v>#VALUE!</v>
      </c>
      <c r="E130" s="67">
        <f t="array" aca="1" ref="E130" ca="1">_FV(D130,"Price")</f>
        <v>4041.1</v>
      </c>
      <c r="F130" s="68">
        <f t="array" aca="1" ref="F130" ca="1">_FV(D130,"Previous close",TRUE)</f>
        <v>3888.3</v>
      </c>
      <c r="G130" s="62">
        <v>4041.1</v>
      </c>
      <c r="H130" s="62">
        <v>3815.17</v>
      </c>
      <c r="I130" s="62">
        <v>3736.72</v>
      </c>
      <c r="J130" s="62">
        <v>3431.58</v>
      </c>
      <c r="K130" s="60"/>
      <c r="L130" s="60"/>
      <c r="M130" s="60"/>
    </row>
    <row r="131" spans="1:13">
      <c r="A131" s="65">
        <v>46166</v>
      </c>
      <c r="B131" s="70" t="s">
        <v>976</v>
      </c>
      <c r="C131" s="70" t="s">
        <v>972</v>
      </c>
      <c r="D131" s="70" t="e" vm="185">
        <v>#VALUE!</v>
      </c>
      <c r="E131" s="67">
        <f t="array" aca="1" ref="E131" ca="1">_FV(D131,"Price")</f>
        <v>1634.7</v>
      </c>
      <c r="F131" s="68">
        <f t="array" aca="1" ref="F131" ca="1">_FV(D131,"Previous close",TRUE)</f>
        <v>1622.2</v>
      </c>
      <c r="G131" s="62">
        <v>1634.7</v>
      </c>
      <c r="H131" s="62">
        <v>1419.16</v>
      </c>
      <c r="I131" s="62">
        <v>1372.76</v>
      </c>
      <c r="J131" s="62">
        <v>1211.3</v>
      </c>
      <c r="K131" s="60"/>
      <c r="L131" s="60"/>
      <c r="M131" s="60"/>
    </row>
    <row r="132" spans="1:13">
      <c r="A132" s="65">
        <v>46166</v>
      </c>
      <c r="B132" s="70" t="s">
        <v>150</v>
      </c>
      <c r="C132" s="70" t="s">
        <v>972</v>
      </c>
      <c r="D132" s="70" t="e" vm="188">
        <v>#VALUE!</v>
      </c>
      <c r="E132" s="67">
        <f t="array" aca="1" ref="E132" ca="1">_FV(D132,"Price")</f>
        <v>1394.3</v>
      </c>
      <c r="F132" s="68">
        <f t="array" aca="1" ref="F132" ca="1">_FV(D132,"Previous close",TRUE)</f>
        <v>1390.8</v>
      </c>
      <c r="G132" s="62">
        <v>1394.3</v>
      </c>
      <c r="H132" s="62">
        <v>1292.3499999999999</v>
      </c>
      <c r="I132" s="62">
        <v>1266.02</v>
      </c>
      <c r="J132" s="62">
        <v>1175.55</v>
      </c>
      <c r="K132" s="60"/>
      <c r="L132" s="60"/>
      <c r="M132" s="60"/>
    </row>
    <row r="133" spans="1:13">
      <c r="A133" s="65">
        <v>46166</v>
      </c>
      <c r="B133" s="70" t="s">
        <v>975</v>
      </c>
      <c r="C133" s="70" t="s">
        <v>972</v>
      </c>
      <c r="D133" s="70" t="e" vm="184">
        <v>#VALUE!</v>
      </c>
      <c r="E133" s="67">
        <f t="array" aca="1" ref="E133" ca="1">_FV(D133,"Price")</f>
        <v>1018.6</v>
      </c>
      <c r="F133" s="68">
        <f t="array" aca="1" ref="F133" ca="1">_FV(D133,"Previous close",TRUE)</f>
        <v>988.5</v>
      </c>
      <c r="G133" s="62">
        <v>1018.6</v>
      </c>
      <c r="H133" s="62">
        <v>869.24</v>
      </c>
      <c r="I133" s="62">
        <v>831.8</v>
      </c>
      <c r="J133" s="62">
        <v>718.8</v>
      </c>
      <c r="K133" s="60"/>
      <c r="L133" s="60"/>
      <c r="M133" s="60"/>
    </row>
    <row r="134" spans="1:13">
      <c r="A134" s="65">
        <v>46166</v>
      </c>
      <c r="B134" s="70" t="s">
        <v>1022</v>
      </c>
      <c r="C134" s="70" t="s">
        <v>972</v>
      </c>
      <c r="D134" s="70" t="e" vm="249">
        <v>#VALUE!</v>
      </c>
      <c r="E134" s="67">
        <f t="array" aca="1" ref="E134" ca="1">_FV(D134,"Price")</f>
        <v>8498</v>
      </c>
      <c r="F134" s="68">
        <f t="array" aca="1" ref="F134" ca="1">_FV(D134,"Previous close",TRUE)</f>
        <v>8493</v>
      </c>
      <c r="G134" s="62">
        <v>8498</v>
      </c>
      <c r="H134" s="62">
        <v>8107.73</v>
      </c>
      <c r="I134" s="62">
        <v>8041.73</v>
      </c>
      <c r="J134" s="62">
        <v>7823.9</v>
      </c>
      <c r="K134" s="60"/>
      <c r="L134" s="60"/>
      <c r="M134" s="60"/>
    </row>
    <row r="135" spans="1:13">
      <c r="A135" s="65">
        <v>46166</v>
      </c>
      <c r="B135" s="70" t="s">
        <v>505</v>
      </c>
      <c r="C135" s="70" t="s">
        <v>972</v>
      </c>
      <c r="D135" s="70" t="e" vm="30">
        <v>#VALUE!</v>
      </c>
      <c r="E135" s="67">
        <f t="array" aca="1" ref="E135" ca="1">_FV(D135,"Price")</f>
        <v>1192.8</v>
      </c>
      <c r="F135" s="68">
        <f t="array" aca="1" ref="F135" ca="1">_FV(D135,"Previous close",TRUE)</f>
        <v>1126</v>
      </c>
      <c r="G135" s="62">
        <v>1192.8</v>
      </c>
      <c r="H135" s="62">
        <v>1191.9000000000001</v>
      </c>
      <c r="I135" s="62">
        <v>1162.77</v>
      </c>
      <c r="J135" s="62">
        <v>1040.79</v>
      </c>
      <c r="K135" s="60"/>
      <c r="L135" s="60"/>
      <c r="M135" s="60"/>
    </row>
    <row r="136" spans="1:13">
      <c r="A136" s="65">
        <v>46166</v>
      </c>
      <c r="B136" s="70" t="s">
        <v>985</v>
      </c>
      <c r="C136" s="70" t="s">
        <v>972</v>
      </c>
      <c r="D136" s="70" t="e" vm="198">
        <v>#VALUE!</v>
      </c>
      <c r="E136" s="67">
        <f t="array" aca="1" ref="E136" ca="1">_FV(D136,"Price")</f>
        <v>1389.1</v>
      </c>
      <c r="F136" s="68">
        <f t="array" aca="1" ref="F136" ca="1">_FV(D136,"Previous close",TRUE)</f>
        <v>1389.5</v>
      </c>
      <c r="G136" s="62">
        <v>1389.1</v>
      </c>
      <c r="H136" s="62">
        <v>1462.66</v>
      </c>
      <c r="I136" s="62">
        <v>1454.3</v>
      </c>
      <c r="J136" s="62">
        <v>1389.58</v>
      </c>
      <c r="K136" s="60"/>
      <c r="L136" s="60"/>
      <c r="M136" s="60"/>
    </row>
    <row r="137" spans="1:13">
      <c r="A137" s="65">
        <v>46166</v>
      </c>
      <c r="B137" s="70" t="s">
        <v>105</v>
      </c>
      <c r="C137" s="70" t="s">
        <v>972</v>
      </c>
      <c r="D137" s="70" t="e" vm="187">
        <v>#VALUE!</v>
      </c>
      <c r="E137" s="67">
        <f t="array" aca="1" ref="E137" ca="1">_FV(D137,"Price")</f>
        <v>159.97</v>
      </c>
      <c r="F137" s="68">
        <f t="array" aca="1" ref="F137" ca="1">_FV(D137,"Previous close",TRUE)</f>
        <v>155.18</v>
      </c>
      <c r="G137" s="62">
        <v>159.97</v>
      </c>
      <c r="H137" s="62">
        <v>127.24</v>
      </c>
      <c r="I137" s="62">
        <v>123.06</v>
      </c>
      <c r="J137" s="62">
        <v>107.6</v>
      </c>
      <c r="K137" s="60"/>
      <c r="L137" s="60"/>
      <c r="M137" s="60"/>
    </row>
    <row r="138" spans="1:13">
      <c r="A138" s="65">
        <v>46166</v>
      </c>
      <c r="B138" s="70" t="s">
        <v>660</v>
      </c>
      <c r="C138" s="70" t="s">
        <v>972</v>
      </c>
      <c r="D138" s="70" t="e" vm="4">
        <v>#VALUE!</v>
      </c>
      <c r="E138" s="67">
        <f t="array" aca="1" ref="E138" ca="1">_FV(D138,"Price")</f>
        <v>34325</v>
      </c>
      <c r="F138" s="68">
        <f t="array" aca="1" ref="F138" ca="1">_FV(D138,"Previous close",TRUE)</f>
        <v>33250</v>
      </c>
      <c r="G138" s="62">
        <v>34325</v>
      </c>
      <c r="H138" s="62">
        <v>33624.410000000003</v>
      </c>
      <c r="I138" s="62">
        <v>32809.230000000003</v>
      </c>
      <c r="J138" s="62">
        <v>29443.45</v>
      </c>
      <c r="K138" s="60"/>
      <c r="L138" s="60"/>
      <c r="M138" s="60"/>
    </row>
    <row r="139" spans="1:13">
      <c r="A139" s="65">
        <v>46166</v>
      </c>
      <c r="B139" s="70" t="s">
        <v>830</v>
      </c>
      <c r="C139" s="70" t="s">
        <v>972</v>
      </c>
      <c r="D139" s="70" t="e" vm="42">
        <v>#VALUE!</v>
      </c>
      <c r="E139" s="67">
        <f t="array" aca="1" ref="E139" ca="1">_FV(D139,"Price")</f>
        <v>4545.7</v>
      </c>
      <c r="F139" s="68">
        <f t="array" aca="1" ref="F139" ca="1">_FV(D139,"Previous close",TRUE)</f>
        <v>4205</v>
      </c>
      <c r="G139" s="62">
        <v>4545.7</v>
      </c>
      <c r="H139" s="62">
        <v>4012.95</v>
      </c>
      <c r="I139" s="62">
        <v>3928.43</v>
      </c>
      <c r="J139" s="62">
        <v>3607.65</v>
      </c>
      <c r="K139" s="60"/>
      <c r="L139" s="60"/>
      <c r="M139" s="60"/>
    </row>
    <row r="140" spans="1:13">
      <c r="A140" s="65">
        <v>46166</v>
      </c>
      <c r="B140" s="70" t="s">
        <v>682</v>
      </c>
      <c r="C140" s="70" t="s">
        <v>972</v>
      </c>
      <c r="D140" s="70" t="e" vm="12">
        <v>#VALUE!</v>
      </c>
      <c r="E140" s="67">
        <f t="array" aca="1" ref="E140" ca="1">_FV(D140,"Price")</f>
        <v>15221</v>
      </c>
      <c r="F140" s="68">
        <f t="array" aca="1" ref="F140" ca="1">_FV(D140,"Previous close",TRUE)</f>
        <v>14551</v>
      </c>
      <c r="G140" s="62">
        <v>15221</v>
      </c>
      <c r="H140" s="62">
        <v>12996.21</v>
      </c>
      <c r="I140" s="62">
        <v>12686.31</v>
      </c>
      <c r="J140" s="62">
        <v>11572.72</v>
      </c>
      <c r="K140" s="60"/>
      <c r="L140" s="60"/>
      <c r="M140" s="60"/>
    </row>
    <row r="141" spans="1:13">
      <c r="A141" s="65">
        <v>46166</v>
      </c>
      <c r="B141" s="70" t="s">
        <v>974</v>
      </c>
      <c r="C141" s="70" t="s">
        <v>972</v>
      </c>
      <c r="D141" s="70" t="e" vm="183">
        <v>#VALUE!</v>
      </c>
      <c r="E141" s="67">
        <f t="array" aca="1" ref="E141" ca="1">_FV(D141,"Price")</f>
        <v>2853</v>
      </c>
      <c r="F141" s="68">
        <f t="array" aca="1" ref="F141" ca="1">_FV(D141,"Previous close",TRUE)</f>
        <v>2778.8</v>
      </c>
      <c r="G141" s="62">
        <v>2853</v>
      </c>
      <c r="H141" s="62">
        <v>2909.49</v>
      </c>
      <c r="I141" s="62">
        <v>2878.27</v>
      </c>
      <c r="J141" s="62">
        <v>2698.33</v>
      </c>
      <c r="K141" s="60"/>
      <c r="L141" s="60"/>
      <c r="M141" s="60"/>
    </row>
    <row r="142" spans="1:13">
      <c r="A142" s="65">
        <v>46166</v>
      </c>
      <c r="B142" s="70" t="s">
        <v>338</v>
      </c>
      <c r="C142" s="70" t="s">
        <v>972</v>
      </c>
      <c r="D142" s="70" t="e" vm="250">
        <v>#VALUE!</v>
      </c>
      <c r="E142" s="67">
        <f t="array" aca="1" ref="E142" ca="1">_FV(D142,"Price")</f>
        <v>391.75</v>
      </c>
      <c r="F142" s="68">
        <f t="array" aca="1" ref="F142" ca="1">_FV(D142,"Previous close",TRUE)</f>
        <v>388</v>
      </c>
      <c r="G142" s="62">
        <v>391.75</v>
      </c>
      <c r="H142" s="62">
        <v>391.09</v>
      </c>
      <c r="I142" s="62">
        <v>383.54</v>
      </c>
      <c r="J142" s="62">
        <v>347.89</v>
      </c>
      <c r="K142" s="60"/>
      <c r="L142" s="60"/>
      <c r="M142" s="60"/>
    </row>
    <row r="143" spans="1:13">
      <c r="A143" s="65">
        <v>46166</v>
      </c>
      <c r="B143" s="70" t="s">
        <v>1023</v>
      </c>
      <c r="C143" s="70" t="s">
        <v>972</v>
      </c>
      <c r="D143" s="70" t="e" vm="251">
        <v>#VALUE!</v>
      </c>
      <c r="E143" s="67">
        <f t="array" aca="1" ref="E143" ca="1">_FV(D143,"Price")</f>
        <v>2914.2</v>
      </c>
      <c r="F143" s="68">
        <f t="array" aca="1" ref="F143" ca="1">_FV(D143,"Previous close",TRUE)</f>
        <v>2861.5</v>
      </c>
      <c r="G143" s="62">
        <v>2914.2</v>
      </c>
      <c r="H143" s="62">
        <v>2678.19</v>
      </c>
      <c r="I143" s="62">
        <v>2620.77</v>
      </c>
      <c r="J143" s="62">
        <v>2389.81</v>
      </c>
      <c r="K143" s="60"/>
      <c r="L143" s="60"/>
      <c r="M143" s="60"/>
    </row>
    <row r="144" spans="1:13">
      <c r="A144" s="65">
        <v>46166</v>
      </c>
      <c r="B144" s="70" t="s">
        <v>980</v>
      </c>
      <c r="C144" s="70" t="s">
        <v>972</v>
      </c>
      <c r="D144" s="70" t="e" vm="192">
        <v>#VALUE!</v>
      </c>
      <c r="E144" s="67">
        <f t="array" aca="1" ref="E144" ca="1">_FV(D144,"Price")</f>
        <v>824.1</v>
      </c>
      <c r="F144" s="68">
        <f t="array" aca="1" ref="F144" ca="1">_FV(D144,"Previous close",TRUE)</f>
        <v>803.05</v>
      </c>
      <c r="G144" s="62">
        <v>824.1</v>
      </c>
      <c r="H144" s="62">
        <v>709.64</v>
      </c>
      <c r="I144" s="62">
        <v>688.05</v>
      </c>
      <c r="J144" s="62">
        <v>608.84</v>
      </c>
      <c r="K144" s="60"/>
      <c r="L144" s="60"/>
      <c r="M144" s="60"/>
    </row>
    <row r="145" spans="1:13">
      <c r="A145" s="65">
        <v>46166</v>
      </c>
      <c r="B145" s="70" t="s">
        <v>1024</v>
      </c>
      <c r="C145" s="70" t="s">
        <v>972</v>
      </c>
      <c r="D145" s="70" t="e" vm="252">
        <v>#VALUE!</v>
      </c>
      <c r="E145" s="67">
        <f t="array" aca="1" ref="E145" ca="1">_FV(D145,"Price")</f>
        <v>184.09</v>
      </c>
      <c r="F145" s="68">
        <f t="array" aca="1" ref="F145" ca="1">_FV(D145,"Previous close",TRUE)</f>
        <v>181.36</v>
      </c>
      <c r="G145" s="62">
        <v>184.09</v>
      </c>
      <c r="H145" s="62">
        <v>185.81</v>
      </c>
      <c r="I145" s="62">
        <v>183.34</v>
      </c>
      <c r="J145" s="62">
        <v>172.52</v>
      </c>
      <c r="K145" s="60"/>
      <c r="L145" s="60"/>
      <c r="M145" s="60"/>
    </row>
    <row r="146" spans="1:13">
      <c r="A146" s="65">
        <v>46166</v>
      </c>
      <c r="B146" s="70" t="s">
        <v>1025</v>
      </c>
      <c r="C146" s="70" t="s">
        <v>972</v>
      </c>
      <c r="D146" s="70" t="e" vm="253">
        <v>#VALUE!</v>
      </c>
      <c r="E146" s="67">
        <f t="array" aca="1" ref="E146" ca="1">_FV(D146,"Price")</f>
        <v>1313.2</v>
      </c>
      <c r="F146" s="68">
        <f t="array" aca="1" ref="F146" ca="1">_FV(D146,"Previous close",TRUE)</f>
        <v>1289.0999999999999</v>
      </c>
      <c r="G146" s="62">
        <v>1313.2</v>
      </c>
      <c r="H146" s="62">
        <v>1292.9000000000001</v>
      </c>
      <c r="I146" s="62">
        <v>1277.1400000000001</v>
      </c>
      <c r="J146" s="62">
        <v>1221.77</v>
      </c>
      <c r="K146" s="60"/>
      <c r="L146" s="60"/>
      <c r="M146" s="60"/>
    </row>
    <row r="147" spans="1:13">
      <c r="A147" s="65">
        <v>46166</v>
      </c>
      <c r="B147" s="70" t="s">
        <v>984</v>
      </c>
      <c r="C147" s="70" t="s">
        <v>972</v>
      </c>
      <c r="D147" s="70" t="e" vm="197">
        <v>#VALUE!</v>
      </c>
      <c r="E147" s="67">
        <f t="array" aca="1" ref="E147" ca="1">_FV(D147,"Price")</f>
        <v>376.85</v>
      </c>
      <c r="F147" s="68">
        <f t="array" aca="1" ref="F147" ca="1">_FV(D147,"Previous close",TRUE)</f>
        <v>370.6</v>
      </c>
      <c r="G147" s="62">
        <v>376.85</v>
      </c>
      <c r="H147" s="62">
        <v>398.8</v>
      </c>
      <c r="I147" s="62">
        <v>397.1</v>
      </c>
      <c r="J147" s="62">
        <v>378.07</v>
      </c>
      <c r="K147" s="60"/>
      <c r="L147" s="60"/>
      <c r="M147" s="60"/>
    </row>
    <row r="148" spans="1:13">
      <c r="A148" s="65">
        <v>46166</v>
      </c>
      <c r="B148" s="70" t="s">
        <v>406</v>
      </c>
      <c r="C148" s="70" t="s">
        <v>972</v>
      </c>
      <c r="D148" s="70" t="e" vm="195">
        <v>#VALUE!</v>
      </c>
      <c r="E148" s="67">
        <f t="array" aca="1" ref="E148" ca="1">_FV(D148,"Price")</f>
        <v>1945.1</v>
      </c>
      <c r="F148" s="68">
        <f t="array" aca="1" ref="F148" ca="1">_FV(D148,"Previous close",TRUE)</f>
        <v>1942.9</v>
      </c>
      <c r="G148" s="62">
        <v>1945.1</v>
      </c>
      <c r="H148" s="62">
        <v>1898.16</v>
      </c>
      <c r="I148" s="62">
        <v>1880.14</v>
      </c>
      <c r="J148" s="62">
        <v>1784.94</v>
      </c>
      <c r="K148" s="60"/>
      <c r="L148" s="60"/>
      <c r="M148" s="60"/>
    </row>
    <row r="149" spans="1:13">
      <c r="A149" s="65">
        <v>46166</v>
      </c>
      <c r="B149" s="70" t="s">
        <v>986</v>
      </c>
      <c r="C149" s="70" t="s">
        <v>972</v>
      </c>
      <c r="D149" s="70" t="e" vm="199">
        <v>#VALUE!</v>
      </c>
      <c r="E149" s="67">
        <f t="array" aca="1" ref="E149" ca="1">_FV(D149,"Price")</f>
        <v>1028.7</v>
      </c>
      <c r="F149" s="68">
        <f t="array" aca="1" ref="F149" ca="1">_FV(D149,"Previous close",TRUE)</f>
        <v>1027.4000000000001</v>
      </c>
      <c r="G149" s="62">
        <v>1028.7</v>
      </c>
      <c r="H149" s="62">
        <v>938.09</v>
      </c>
      <c r="I149" s="62">
        <v>919.4</v>
      </c>
      <c r="J149" s="62">
        <v>844.24</v>
      </c>
      <c r="K149" s="60"/>
      <c r="L149" s="60"/>
      <c r="M149" s="60"/>
    </row>
    <row r="150" spans="1:13">
      <c r="A150" s="65">
        <v>46166</v>
      </c>
      <c r="B150" s="70" t="s">
        <v>1026</v>
      </c>
      <c r="C150" s="70" t="s">
        <v>972</v>
      </c>
      <c r="D150" s="70" t="e" vm="254">
        <v>#VALUE!</v>
      </c>
      <c r="E150" s="67">
        <f t="array" aca="1" ref="E150" ca="1">_FV(D150,"Price")</f>
        <v>1105.7</v>
      </c>
      <c r="F150" s="68">
        <f t="array" aca="1" ref="F150" ca="1">_FV(D150,"Previous close",TRUE)</f>
        <v>1089.3</v>
      </c>
      <c r="G150" s="62">
        <v>1105.7</v>
      </c>
      <c r="H150" s="62">
        <v>1170.76</v>
      </c>
      <c r="I150" s="62">
        <v>1150.6300000000001</v>
      </c>
      <c r="J150" s="62">
        <v>1057.29</v>
      </c>
      <c r="K150" s="60"/>
      <c r="L150" s="60"/>
      <c r="M150" s="60"/>
    </row>
    <row r="151" spans="1:13">
      <c r="A151" s="65">
        <v>46166</v>
      </c>
      <c r="B151" s="70" t="s">
        <v>1027</v>
      </c>
      <c r="C151" s="70" t="s">
        <v>972</v>
      </c>
      <c r="D151" s="70" t="e" vm="255">
        <v>#VALUE!</v>
      </c>
      <c r="E151" s="67">
        <f t="array" aca="1" ref="E151" ca="1">_FV(D151,"Price")</f>
        <v>223.07</v>
      </c>
      <c r="F151" s="68">
        <f t="array" aca="1" ref="F151" ca="1">_FV(D151,"Previous close",TRUE)</f>
        <v>215.51</v>
      </c>
      <c r="G151" s="62">
        <v>223.07</v>
      </c>
      <c r="H151" s="62">
        <v>216.28</v>
      </c>
      <c r="I151" s="62">
        <v>211.26</v>
      </c>
      <c r="J151" s="62">
        <v>191.66</v>
      </c>
      <c r="K151" s="60"/>
      <c r="L151" s="60"/>
      <c r="M151" s="60"/>
    </row>
    <row r="152" spans="1:13">
      <c r="A152" s="65">
        <v>46166</v>
      </c>
      <c r="B152" s="70" t="s">
        <v>1028</v>
      </c>
      <c r="C152" s="70" t="s">
        <v>972</v>
      </c>
      <c r="D152" s="70" t="e" vm="256">
        <v>#VALUE!</v>
      </c>
      <c r="E152" s="67">
        <f t="array" aca="1" ref="E152" ca="1">_FV(D152,"Price")</f>
        <v>378.75</v>
      </c>
      <c r="F152" s="68">
        <f t="array" aca="1" ref="F152" ca="1">_FV(D152,"Previous close",TRUE)</f>
        <v>370.65</v>
      </c>
      <c r="G152" s="62">
        <v>378.75</v>
      </c>
      <c r="H152" s="62">
        <v>370.6</v>
      </c>
      <c r="I152" s="62">
        <v>362.29</v>
      </c>
      <c r="J152" s="62">
        <v>331.56</v>
      </c>
      <c r="K152" s="60"/>
      <c r="L152" s="60"/>
      <c r="M152" s="60"/>
    </row>
    <row r="153" spans="1:13">
      <c r="A153" s="65">
        <v>46166</v>
      </c>
      <c r="B153" s="70" t="s">
        <v>988</v>
      </c>
      <c r="C153" s="70" t="s">
        <v>972</v>
      </c>
      <c r="D153" s="70" t="e" vm="201">
        <v>#VALUE!</v>
      </c>
      <c r="E153" s="67">
        <f t="array" aca="1" ref="E153" ca="1">_FV(D153,"Price")</f>
        <v>309.64999999999998</v>
      </c>
      <c r="F153" s="68">
        <f t="array" aca="1" ref="F153" ca="1">_FV(D153,"Previous close",TRUE)</f>
        <v>304.89999999999998</v>
      </c>
      <c r="G153" s="62">
        <v>309.64999999999998</v>
      </c>
      <c r="H153" s="62">
        <v>400.45</v>
      </c>
      <c r="I153" s="62">
        <v>424.6</v>
      </c>
      <c r="J153" s="62">
        <v>490.6</v>
      </c>
      <c r="K153" s="60"/>
      <c r="L153" s="60"/>
      <c r="M153" s="60"/>
    </row>
    <row r="154" spans="1:13">
      <c r="A154" s="65">
        <v>46166</v>
      </c>
      <c r="B154" s="70" t="s">
        <v>272</v>
      </c>
      <c r="C154" s="70" t="s">
        <v>972</v>
      </c>
      <c r="D154" s="70" t="e" vm="19">
        <v>#VALUE!</v>
      </c>
      <c r="E154" s="67">
        <f t="array" aca="1" ref="E154" ca="1">_FV(D154,"Price")</f>
        <v>9554</v>
      </c>
      <c r="F154" s="68">
        <f t="array" aca="1" ref="F154" ca="1">_FV(D154,"Previous close",TRUE)</f>
        <v>9372</v>
      </c>
      <c r="G154" s="62">
        <v>9554</v>
      </c>
      <c r="H154" s="62">
        <v>9006.6</v>
      </c>
      <c r="I154" s="62">
        <v>8864.4</v>
      </c>
      <c r="J154" s="62">
        <v>8389.2099999999991</v>
      </c>
      <c r="K154" s="60"/>
      <c r="L154" s="60"/>
      <c r="M154" s="60"/>
    </row>
    <row r="155" spans="1:13">
      <c r="A155" s="65">
        <v>46166</v>
      </c>
      <c r="B155" s="70" t="s">
        <v>1029</v>
      </c>
      <c r="C155" s="70" t="s">
        <v>972</v>
      </c>
      <c r="D155" s="70" t="e" vm="257">
        <v>#VALUE!</v>
      </c>
      <c r="E155" s="67">
        <f t="array" aca="1" ref="E155" ca="1">_FV(D155,"Price")</f>
        <v>929.55</v>
      </c>
      <c r="F155" s="68">
        <f t="array" aca="1" ref="F155" ca="1">_FV(D155,"Previous close",TRUE)</f>
        <v>885.3</v>
      </c>
      <c r="G155" s="62">
        <v>929.55</v>
      </c>
      <c r="H155" s="62">
        <v>739.92</v>
      </c>
      <c r="I155" s="62">
        <v>706.24</v>
      </c>
      <c r="J155" s="62">
        <v>595.01</v>
      </c>
      <c r="K155" s="60"/>
      <c r="L155" s="60"/>
      <c r="M155" s="60"/>
    </row>
    <row r="156" spans="1:13">
      <c r="A156" s="65">
        <v>46166</v>
      </c>
      <c r="B156" s="70" t="s">
        <v>979</v>
      </c>
      <c r="C156" s="70" t="s">
        <v>972</v>
      </c>
      <c r="D156" s="70" t="e" vm="191">
        <v>#VALUE!</v>
      </c>
      <c r="E156" s="67">
        <f t="array" aca="1" ref="E156" ca="1">_FV(D156,"Price")</f>
        <v>1812.9</v>
      </c>
      <c r="F156" s="68">
        <f t="array" aca="1" ref="F156" ca="1">_FV(D156,"Previous close",TRUE)</f>
        <v>1787.1</v>
      </c>
      <c r="G156" s="62">
        <v>1812.9</v>
      </c>
      <c r="H156" s="62">
        <v>1722.47</v>
      </c>
      <c r="I156" s="62">
        <v>1697.07</v>
      </c>
      <c r="J156" s="62">
        <v>1612.07</v>
      </c>
      <c r="K156" s="60"/>
      <c r="L156" s="60"/>
      <c r="M156" s="60"/>
    </row>
    <row r="157" spans="1:13">
      <c r="A157" s="65">
        <v>46166</v>
      </c>
      <c r="B157" s="70" t="s">
        <v>236</v>
      </c>
      <c r="C157" s="70" t="s">
        <v>995</v>
      </c>
      <c r="D157" s="70" t="e" vm="208">
        <v>#VALUE!</v>
      </c>
      <c r="E157" s="67">
        <f t="array" aca="1" ref="E157" ca="1">_FV(D157,"Price")</f>
        <v>425.85</v>
      </c>
      <c r="F157" s="68">
        <f t="array" aca="1" ref="F157" ca="1">_FV(D157,"Previous close",TRUE)</f>
        <v>435.7</v>
      </c>
      <c r="G157" s="62">
        <v>425.85</v>
      </c>
      <c r="H157" s="62">
        <v>351.55</v>
      </c>
      <c r="I157" s="62">
        <v>341.35</v>
      </c>
      <c r="J157" s="62">
        <v>312.27999999999997</v>
      </c>
      <c r="K157" s="60"/>
      <c r="L157" s="60"/>
      <c r="M157" s="60"/>
    </row>
    <row r="158" spans="1:13">
      <c r="A158" s="65">
        <v>46166</v>
      </c>
      <c r="B158" s="70" t="s">
        <v>543</v>
      </c>
      <c r="C158" s="70" t="s">
        <v>995</v>
      </c>
      <c r="D158" s="70" t="e" vm="31">
        <v>#VALUE!</v>
      </c>
      <c r="E158" s="67">
        <f t="array" aca="1" ref="E158" ca="1">_FV(D158,"Price")</f>
        <v>4942.5</v>
      </c>
      <c r="F158" s="68">
        <f t="array" aca="1" ref="F158" ca="1">_FV(D158,"Previous close",TRUE)</f>
        <v>4735</v>
      </c>
      <c r="G158" s="62">
        <v>4942.5</v>
      </c>
      <c r="H158" s="62">
        <v>4678.18</v>
      </c>
      <c r="I158" s="62">
        <v>4582.25</v>
      </c>
      <c r="J158" s="62">
        <v>4187.26</v>
      </c>
      <c r="K158" s="60"/>
      <c r="L158" s="60"/>
      <c r="M158" s="60"/>
    </row>
    <row r="159" spans="1:13">
      <c r="A159" s="65">
        <v>46166</v>
      </c>
      <c r="B159" s="70" t="s">
        <v>180</v>
      </c>
      <c r="C159" s="70" t="s">
        <v>995</v>
      </c>
      <c r="D159" s="70" t="e" vm="163">
        <v>#VALUE!</v>
      </c>
      <c r="E159" s="67">
        <f t="array" aca="1" ref="E159" ca="1">_FV(D159,"Price")</f>
        <v>409.4</v>
      </c>
      <c r="F159" s="68">
        <f t="array" aca="1" ref="F159" ca="1">_FV(D159,"Previous close",TRUE)</f>
        <v>381.75</v>
      </c>
      <c r="G159" s="62">
        <v>409.4</v>
      </c>
      <c r="H159" s="62">
        <v>349.68</v>
      </c>
      <c r="I159" s="62">
        <v>337.34</v>
      </c>
      <c r="J159" s="62">
        <v>301.93</v>
      </c>
      <c r="K159" s="60"/>
      <c r="L159" s="60"/>
      <c r="M159" s="60"/>
    </row>
    <row r="160" spans="1:13">
      <c r="A160" s="65">
        <v>46166</v>
      </c>
      <c r="B160" s="70" t="s">
        <v>199</v>
      </c>
      <c r="C160" s="70" t="s">
        <v>995</v>
      </c>
      <c r="D160" s="70" t="e" vm="211">
        <v>#VALUE!</v>
      </c>
      <c r="E160" s="67">
        <f t="array" aca="1" ref="E160" ca="1">_FV(D160,"Price")</f>
        <v>546.75</v>
      </c>
      <c r="F160" s="68">
        <f t="array" aca="1" ref="F160" ca="1">_FV(D160,"Previous close",TRUE)</f>
        <v>538.85</v>
      </c>
      <c r="G160" s="62">
        <v>546.75</v>
      </c>
      <c r="H160" s="62">
        <v>477.47</v>
      </c>
      <c r="I160" s="62">
        <v>464.41</v>
      </c>
      <c r="J160" s="62">
        <v>423.63</v>
      </c>
      <c r="K160" s="60"/>
      <c r="L160" s="60"/>
      <c r="M160" s="60"/>
    </row>
    <row r="161" spans="1:13">
      <c r="A161" s="65">
        <v>46166</v>
      </c>
      <c r="B161" s="70" t="s">
        <v>197</v>
      </c>
      <c r="C161" s="70" t="s">
        <v>995</v>
      </c>
      <c r="D161" s="70" t="e" vm="27">
        <v>#VALUE!</v>
      </c>
      <c r="E161" s="67">
        <f t="array" aca="1" ref="E161" ca="1">_FV(D161,"Price")</f>
        <v>3048.8</v>
      </c>
      <c r="F161" s="68">
        <f t="array" aca="1" ref="F161" ca="1">_FV(D161,"Previous close",TRUE)</f>
        <v>2716.5</v>
      </c>
      <c r="G161" s="62">
        <v>3048.8</v>
      </c>
      <c r="H161" s="62">
        <v>2604.19</v>
      </c>
      <c r="I161" s="62">
        <v>2543.27</v>
      </c>
      <c r="J161" s="62">
        <v>2305.94</v>
      </c>
      <c r="K161" s="60"/>
      <c r="L161" s="60"/>
      <c r="M161" s="60"/>
    </row>
    <row r="162" spans="1:13">
      <c r="A162" s="65">
        <v>46166</v>
      </c>
      <c r="B162" s="70" t="s">
        <v>1030</v>
      </c>
      <c r="C162" s="70" t="s">
        <v>995</v>
      </c>
      <c r="D162" s="70" t="e" vm="258">
        <v>#VALUE!</v>
      </c>
      <c r="E162" s="67">
        <f t="array" aca="1" ref="E162" ca="1">_FV(D162,"Price")</f>
        <v>1284.0999999999999</v>
      </c>
      <c r="F162" s="68">
        <f t="array" aca="1" ref="F162" ca="1">_FV(D162,"Previous close",TRUE)</f>
        <v>1307.3</v>
      </c>
      <c r="G162" s="62">
        <v>1284.0999999999999</v>
      </c>
      <c r="H162" s="62">
        <v>1322.57</v>
      </c>
      <c r="I162" s="62">
        <v>1290.1300000000001</v>
      </c>
      <c r="J162" s="62">
        <v>1179.3499999999999</v>
      </c>
      <c r="K162" s="60"/>
      <c r="L162" s="60"/>
      <c r="M162" s="60"/>
    </row>
    <row r="163" spans="1:13">
      <c r="A163" s="65">
        <v>46166</v>
      </c>
      <c r="B163" s="70" t="s">
        <v>169</v>
      </c>
      <c r="C163" s="70" t="s">
        <v>995</v>
      </c>
      <c r="D163" s="70" t="e" vm="214">
        <v>#VALUE!</v>
      </c>
      <c r="E163" s="67">
        <f t="array" aca="1" ref="E163" ca="1">_FV(D163,"Price")</f>
        <v>914.45</v>
      </c>
      <c r="F163" s="68">
        <f t="array" aca="1" ref="F163" ca="1">_FV(D163,"Previous close",TRUE)</f>
        <v>901.35</v>
      </c>
      <c r="G163" s="62">
        <v>914.45</v>
      </c>
      <c r="H163" s="62">
        <v>860.74</v>
      </c>
      <c r="I163" s="62">
        <v>845.09</v>
      </c>
      <c r="J163" s="62">
        <v>791.88</v>
      </c>
      <c r="K163" s="60"/>
      <c r="L163" s="60"/>
      <c r="M163" s="60"/>
    </row>
    <row r="164" spans="1:13">
      <c r="A164" s="65">
        <v>46166</v>
      </c>
      <c r="B164" s="70" t="s">
        <v>173</v>
      </c>
      <c r="C164" s="70" t="s">
        <v>995</v>
      </c>
      <c r="D164" s="70" t="e" vm="216">
        <v>#VALUE!</v>
      </c>
      <c r="E164" s="67">
        <f t="array" aca="1" ref="E164" ca="1">_FV(D164,"Price")</f>
        <v>1443.8</v>
      </c>
      <c r="F164" s="68">
        <f t="array" aca="1" ref="F164" ca="1">_FV(D164,"Previous close",TRUE)</f>
        <v>1396.3</v>
      </c>
      <c r="G164" s="62">
        <v>1443.8</v>
      </c>
      <c r="H164" s="62">
        <v>1252.25</v>
      </c>
      <c r="I164" s="62">
        <v>1221.28</v>
      </c>
      <c r="J164" s="62">
        <v>1130.3800000000001</v>
      </c>
      <c r="K164" s="60"/>
      <c r="L164" s="60"/>
      <c r="M164" s="60"/>
    </row>
    <row r="165" spans="1:13">
      <c r="A165" s="65">
        <v>46166</v>
      </c>
      <c r="B165" s="70" t="s">
        <v>195</v>
      </c>
      <c r="C165" s="70" t="s">
        <v>995</v>
      </c>
      <c r="D165" s="70" t="e" vm="259">
        <v>#VALUE!</v>
      </c>
      <c r="E165" s="67">
        <f t="array" aca="1" ref="E165" ca="1">_FV(D165,"Price")</f>
        <v>793.2</v>
      </c>
      <c r="F165" s="68">
        <f t="array" aca="1" ref="F165" ca="1">_FV(D165,"Previous close",TRUE)</f>
        <v>793.1</v>
      </c>
      <c r="G165" s="62">
        <v>793.2</v>
      </c>
      <c r="H165" s="62">
        <v>680.15</v>
      </c>
      <c r="I165" s="62">
        <v>663.38</v>
      </c>
      <c r="J165" s="62">
        <v>613.04</v>
      </c>
      <c r="K165" s="60"/>
      <c r="L165" s="60"/>
      <c r="M165" s="60"/>
    </row>
    <row r="166" spans="1:13">
      <c r="A166" s="65">
        <v>46166</v>
      </c>
      <c r="B166" s="70" t="s">
        <v>1031</v>
      </c>
      <c r="C166" s="70" t="s">
        <v>995</v>
      </c>
      <c r="D166" s="70" t="e" vm="260">
        <v>#VALUE!</v>
      </c>
      <c r="E166" s="67">
        <f t="array" aca="1" ref="E166" ca="1">_FV(D166,"Price")</f>
        <v>1739.25</v>
      </c>
      <c r="F166" s="68">
        <f t="array" aca="1" ref="F166" ca="1">_FV(D166,"Previous close",TRUE)</f>
        <v>1744.1</v>
      </c>
      <c r="G166" s="62">
        <v>3105.5</v>
      </c>
      <c r="H166" s="62">
        <v>2986.65</v>
      </c>
      <c r="I166" s="62">
        <v>2959.27</v>
      </c>
      <c r="J166" s="62">
        <v>2882.71</v>
      </c>
      <c r="K166" s="60"/>
      <c r="L166" s="60"/>
      <c r="M166" s="60"/>
    </row>
    <row r="167" spans="1:13">
      <c r="A167" s="65">
        <v>46166</v>
      </c>
      <c r="B167" s="70" t="s">
        <v>1009</v>
      </c>
      <c r="C167" s="70" t="s">
        <v>995</v>
      </c>
      <c r="D167" s="70" t="e" vm="228">
        <v>#VALUE!</v>
      </c>
      <c r="E167" s="67">
        <f t="array" aca="1" ref="E167" ca="1">_FV(D167,"Price")</f>
        <v>591.65</v>
      </c>
      <c r="F167" s="68">
        <f t="array" aca="1" ref="F167" ca="1">_FV(D167,"Previous close",TRUE)</f>
        <v>566.25</v>
      </c>
      <c r="G167" s="62">
        <v>591.65</v>
      </c>
      <c r="H167" s="62">
        <v>523.64</v>
      </c>
      <c r="I167" s="62">
        <v>508.79</v>
      </c>
      <c r="J167" s="62">
        <v>450.05</v>
      </c>
      <c r="K167" s="60"/>
      <c r="L167" s="60"/>
      <c r="M167" s="60"/>
    </row>
    <row r="168" spans="1:13">
      <c r="A168" s="65">
        <v>46166</v>
      </c>
      <c r="B168" s="70" t="s">
        <v>928</v>
      </c>
      <c r="C168" s="70" t="s">
        <v>995</v>
      </c>
      <c r="D168" s="70" t="e" vm="151">
        <v>#VALUE!</v>
      </c>
      <c r="E168" s="67">
        <f t="array" aca="1" ref="E168" ca="1">_FV(D168,"Price")</f>
        <v>339.5</v>
      </c>
      <c r="F168" s="68">
        <f t="array" aca="1" ref="F168" ca="1">_FV(D168,"Previous close",TRUE)</f>
        <v>323.75</v>
      </c>
      <c r="G168" s="62">
        <v>339.5</v>
      </c>
      <c r="H168" s="62">
        <v>318.70999999999998</v>
      </c>
      <c r="I168" s="62">
        <v>312.93</v>
      </c>
      <c r="J168" s="62">
        <v>292.64</v>
      </c>
      <c r="K168" s="60"/>
      <c r="L168" s="60"/>
      <c r="M168" s="60"/>
    </row>
    <row r="169" spans="1:13">
      <c r="A169" s="65">
        <v>46166</v>
      </c>
      <c r="B169" s="70" t="s">
        <v>1032</v>
      </c>
      <c r="C169" s="70" t="s">
        <v>995</v>
      </c>
      <c r="D169" s="70" t="e" vm="261">
        <v>#VALUE!</v>
      </c>
      <c r="E169" s="67">
        <f t="array" aca="1" ref="E169" ca="1">_FV(D169,"Price")</f>
        <v>359.75</v>
      </c>
      <c r="F169" s="68">
        <f t="array" aca="1" ref="F169" ca="1">_FV(D169,"Previous close",TRUE)</f>
        <v>356.85</v>
      </c>
      <c r="G169" s="62">
        <v>359.75</v>
      </c>
      <c r="H169" s="62">
        <v>329.08</v>
      </c>
      <c r="I169" s="62">
        <v>322.52999999999997</v>
      </c>
      <c r="J169" s="62">
        <v>303.33</v>
      </c>
      <c r="K169" s="60"/>
      <c r="L169" s="60"/>
      <c r="M169" s="60"/>
    </row>
    <row r="170" spans="1:13">
      <c r="A170" s="65">
        <v>46166</v>
      </c>
      <c r="B170" s="70" t="s">
        <v>655</v>
      </c>
      <c r="C170" s="70" t="s">
        <v>995</v>
      </c>
      <c r="D170" s="70" t="e" vm="1">
        <v>#VALUE!</v>
      </c>
      <c r="E170" s="67">
        <f t="array" aca="1" ref="E170" ca="1">_FV(D170,"Price")</f>
        <v>1178.9000000000001</v>
      </c>
      <c r="F170" s="68">
        <f t="array" aca="1" ref="F170" ca="1">_FV(D170,"Previous close",TRUE)</f>
        <v>1163.8</v>
      </c>
      <c r="G170" s="62">
        <v>1178.9000000000001</v>
      </c>
      <c r="H170" s="62">
        <v>1025.21</v>
      </c>
      <c r="I170" s="62">
        <v>1005.51</v>
      </c>
      <c r="J170" s="62">
        <v>952.64</v>
      </c>
      <c r="K170" s="60"/>
      <c r="L170" s="60"/>
      <c r="M170" s="60"/>
    </row>
    <row r="171" spans="1:13">
      <c r="A171" s="65">
        <v>46166</v>
      </c>
      <c r="B171" s="70" t="s">
        <v>119</v>
      </c>
      <c r="C171" s="70" t="s">
        <v>995</v>
      </c>
      <c r="D171" s="70" t="e" vm="262">
        <v>#VALUE!</v>
      </c>
      <c r="E171" s="67">
        <f t="array" aca="1" ref="E171" ca="1">_FV(D171,"Price")</f>
        <v>1583.5</v>
      </c>
      <c r="F171" s="68">
        <f t="array" aca="1" ref="F171" ca="1">_FV(D171,"Previous close",TRUE)</f>
        <v>1588.5</v>
      </c>
      <c r="G171" s="62">
        <v>1583.5</v>
      </c>
      <c r="H171" s="62">
        <v>1549.65</v>
      </c>
      <c r="I171" s="62">
        <v>1531.42</v>
      </c>
      <c r="J171" s="62">
        <v>1432.66</v>
      </c>
      <c r="K171" s="60"/>
      <c r="L171" s="60"/>
      <c r="M171" s="60"/>
    </row>
    <row r="172" spans="1:13">
      <c r="A172" s="65">
        <v>46166</v>
      </c>
      <c r="B172" s="70" t="s">
        <v>996</v>
      </c>
      <c r="C172" s="70" t="s">
        <v>995</v>
      </c>
      <c r="D172" s="70" t="e" vm="209">
        <v>#VALUE!</v>
      </c>
      <c r="E172" s="67">
        <f t="array" aca="1" ref="E172" ca="1">_FV(D172,"Price")</f>
        <v>2972</v>
      </c>
      <c r="F172" s="68">
        <f t="array" aca="1" ref="F172" ca="1">_FV(D172,"Previous close",TRUE)</f>
        <v>2939.3</v>
      </c>
      <c r="G172" s="62">
        <v>2972</v>
      </c>
      <c r="H172" s="62">
        <v>2724.3</v>
      </c>
      <c r="I172" s="62">
        <v>2662.33</v>
      </c>
      <c r="J172" s="62">
        <v>2476.15</v>
      </c>
      <c r="K172" s="60"/>
      <c r="L172" s="60"/>
      <c r="M172" s="60"/>
    </row>
    <row r="173" spans="1:13">
      <c r="A173" s="65">
        <v>46166</v>
      </c>
      <c r="B173" s="70" t="s">
        <v>226</v>
      </c>
      <c r="C173" s="70" t="s">
        <v>995</v>
      </c>
      <c r="D173" s="70" t="e" vm="263">
        <v>#VALUE!</v>
      </c>
      <c r="E173" s="67">
        <f t="array" aca="1" ref="E173" ca="1">_FV(D173,"Price")</f>
        <v>4587.3999999999996</v>
      </c>
      <c r="F173" s="68">
        <f t="array" aca="1" ref="F173" ca="1">_FV(D173,"Previous close",TRUE)</f>
        <v>4191.3999999999996</v>
      </c>
      <c r="G173" s="62">
        <v>4587.3999999999996</v>
      </c>
      <c r="H173" s="62">
        <v>4201.84</v>
      </c>
      <c r="I173" s="62">
        <v>4117.29</v>
      </c>
      <c r="J173" s="62">
        <v>3827.5</v>
      </c>
      <c r="K173" s="60"/>
      <c r="L173" s="60"/>
      <c r="M173" s="60"/>
    </row>
    <row r="174" spans="1:13">
      <c r="A174" s="65">
        <v>46166</v>
      </c>
      <c r="B174" s="70" t="s">
        <v>162</v>
      </c>
      <c r="C174" s="70" t="s">
        <v>995</v>
      </c>
      <c r="D174" s="70" t="e" vm="212">
        <v>#VALUE!</v>
      </c>
      <c r="E174" s="67">
        <f t="array" aca="1" ref="E174" ca="1">_FV(D174,"Price")</f>
        <v>90.93</v>
      </c>
      <c r="F174" s="68">
        <f t="array" aca="1" ref="F174" ca="1">_FV(D174,"Previous close",TRUE)</f>
        <v>88.47</v>
      </c>
      <c r="G174" s="62">
        <v>90.93</v>
      </c>
      <c r="H174" s="62">
        <v>88.85</v>
      </c>
      <c r="I174" s="62">
        <v>88.14</v>
      </c>
      <c r="J174" s="62">
        <v>84.99</v>
      </c>
      <c r="K174" s="60"/>
      <c r="L174" s="60"/>
      <c r="M174" s="60"/>
    </row>
    <row r="175" spans="1:13">
      <c r="A175" s="65">
        <v>46166</v>
      </c>
      <c r="B175" s="70" t="s">
        <v>1011</v>
      </c>
      <c r="C175" s="70" t="s">
        <v>1001</v>
      </c>
      <c r="D175" s="70" t="e" vm="230">
        <v>#VALUE!</v>
      </c>
      <c r="E175" s="67">
        <f t="array" aca="1" ref="E175" ca="1">_FV(D175,"Price")</f>
        <v>242.5</v>
      </c>
      <c r="F175" s="68">
        <f t="array" aca="1" ref="F175" ca="1">_FV(D175,"Previous close",TRUE)</f>
        <v>240.15</v>
      </c>
      <c r="G175" s="62">
        <v>242.5</v>
      </c>
      <c r="H175" s="62">
        <v>241.61</v>
      </c>
      <c r="I175" s="62">
        <v>238.14</v>
      </c>
      <c r="J175" s="62">
        <v>222.84</v>
      </c>
      <c r="K175" s="60"/>
      <c r="L175" s="60"/>
      <c r="M175" s="60"/>
    </row>
    <row r="176" spans="1:13">
      <c r="A176" s="65">
        <v>46166</v>
      </c>
      <c r="B176" s="70" t="s">
        <v>1033</v>
      </c>
      <c r="C176" s="70" t="s">
        <v>1001</v>
      </c>
      <c r="D176" s="70" t="e" vm="264">
        <v>#VALUE!</v>
      </c>
      <c r="E176" s="67">
        <f t="array" aca="1" ref="E176" ca="1">_FV(D176,"Price")</f>
        <v>1097.1500000000001</v>
      </c>
      <c r="F176" s="68">
        <f t="array" aca="1" ref="F176" ca="1">_FV(D176,"Previous close",TRUE)</f>
        <v>989.1</v>
      </c>
      <c r="G176" s="62">
        <v>1097.1500000000001</v>
      </c>
      <c r="H176" s="62">
        <v>869.98</v>
      </c>
      <c r="I176" s="62">
        <v>848.31</v>
      </c>
      <c r="J176" s="62">
        <v>787.27</v>
      </c>
      <c r="K176" s="60"/>
      <c r="L176" s="60"/>
      <c r="M176" s="60"/>
    </row>
    <row r="177" spans="1:13">
      <c r="A177" s="65">
        <v>46166</v>
      </c>
      <c r="B177" s="70" t="s">
        <v>1006</v>
      </c>
      <c r="C177" s="70" t="s">
        <v>1001</v>
      </c>
      <c r="D177" s="70" t="e" vm="225">
        <v>#VALUE!</v>
      </c>
      <c r="E177" s="67">
        <f t="array" aca="1" ref="E177" ca="1">_FV(D177,"Price")</f>
        <v>443.5</v>
      </c>
      <c r="F177" s="68">
        <f t="array" aca="1" ref="F177" ca="1">_FV(D177,"Previous close",TRUE)</f>
        <v>446.2</v>
      </c>
      <c r="G177" s="62">
        <v>443.5</v>
      </c>
      <c r="H177" s="62">
        <v>455.55</v>
      </c>
      <c r="I177" s="62">
        <v>454.06</v>
      </c>
      <c r="J177" s="62">
        <v>443.29</v>
      </c>
      <c r="K177" s="60"/>
      <c r="L177" s="60"/>
      <c r="M177" s="60"/>
    </row>
    <row r="178" spans="1:13">
      <c r="A178" s="65">
        <v>46166</v>
      </c>
      <c r="B178" s="70" t="s">
        <v>1007</v>
      </c>
      <c r="C178" s="70" t="s">
        <v>1001</v>
      </c>
      <c r="D178" s="70" t="e" vm="226">
        <v>#VALUE!</v>
      </c>
      <c r="E178" s="67">
        <f t="array" aca="1" ref="E178" ca="1">_FV(D178,"Price")</f>
        <v>1060.0999999999999</v>
      </c>
      <c r="F178" s="68">
        <f t="array" aca="1" ref="F178" ca="1">_FV(D178,"Previous close",TRUE)</f>
        <v>1034.0999999999999</v>
      </c>
      <c r="G178" s="62">
        <v>1060.0999999999999</v>
      </c>
      <c r="H178" s="62">
        <v>1225.6500000000001</v>
      </c>
      <c r="I178" s="62">
        <v>1230.25</v>
      </c>
      <c r="J178" s="62">
        <v>1186.03</v>
      </c>
      <c r="K178" s="60"/>
      <c r="L178" s="60"/>
      <c r="M178" s="60"/>
    </row>
    <row r="179" spans="1:13">
      <c r="A179" s="65">
        <v>46166</v>
      </c>
      <c r="B179" s="70" t="s">
        <v>1034</v>
      </c>
      <c r="C179" s="70" t="s">
        <v>1001</v>
      </c>
      <c r="D179" s="70" t="e" vm="265">
        <v>#VALUE!</v>
      </c>
      <c r="E179" s="67">
        <f t="array" aca="1" ref="E179" ca="1">_FV(D179,"Price")</f>
        <v>300.39999999999998</v>
      </c>
      <c r="F179" s="68">
        <f t="array" aca="1" ref="F179" ca="1">_FV(D179,"Previous close",TRUE)</f>
        <v>291.2</v>
      </c>
      <c r="G179" s="62">
        <v>1579</v>
      </c>
      <c r="H179" s="62">
        <v>1626.99</v>
      </c>
      <c r="I179" s="62">
        <v>1630.09</v>
      </c>
      <c r="J179" s="62">
        <v>1636.36</v>
      </c>
      <c r="K179" s="60"/>
      <c r="L179" s="60"/>
      <c r="M179" s="60"/>
    </row>
    <row r="180" spans="1:13">
      <c r="A180" s="65">
        <v>46166</v>
      </c>
      <c r="B180" s="70" t="s">
        <v>1000</v>
      </c>
      <c r="C180" s="70" t="s">
        <v>1001</v>
      </c>
      <c r="D180" s="70" t="e" vm="219">
        <v>#VALUE!</v>
      </c>
      <c r="E180" s="67">
        <f t="array" aca="1" ref="E180" ca="1">_FV(D180,"Price")</f>
        <v>419</v>
      </c>
      <c r="F180" s="68">
        <f t="array" aca="1" ref="F180" ca="1">_FV(D180,"Previous close",TRUE)</f>
        <v>415.95</v>
      </c>
      <c r="G180" s="62">
        <v>419</v>
      </c>
      <c r="H180" s="62">
        <v>403.96</v>
      </c>
      <c r="I180" s="62">
        <v>400.38</v>
      </c>
      <c r="J180" s="62">
        <v>390.43</v>
      </c>
      <c r="K180" s="60"/>
      <c r="L180" s="60"/>
      <c r="M180" s="60"/>
    </row>
    <row r="181" spans="1:13">
      <c r="A181" s="65">
        <v>46166</v>
      </c>
      <c r="B181" s="70" t="s">
        <v>1035</v>
      </c>
      <c r="C181" s="70" t="s">
        <v>1001</v>
      </c>
      <c r="D181" s="70" t="e" vm="266">
        <v>#VALUE!</v>
      </c>
      <c r="E181" s="67">
        <f t="array" aca="1" ref="E181" ca="1">_FV(D181,"Price")</f>
        <v>539.95000000000005</v>
      </c>
      <c r="F181" s="68">
        <f t="array" aca="1" ref="F181" ca="1">_FV(D181,"Previous close",TRUE)</f>
        <v>548.54999999999995</v>
      </c>
      <c r="G181" s="62">
        <v>539.95000000000005</v>
      </c>
      <c r="H181" s="62">
        <v>521.30999999999995</v>
      </c>
      <c r="I181" s="62">
        <v>516.98</v>
      </c>
      <c r="J181" s="62">
        <v>501.74</v>
      </c>
      <c r="K181" s="60"/>
      <c r="L181" s="60"/>
      <c r="M181" s="60"/>
    </row>
    <row r="182" spans="1:13">
      <c r="A182" s="65">
        <v>46166</v>
      </c>
      <c r="B182" s="70" t="s">
        <v>1036</v>
      </c>
      <c r="C182" s="70" t="s">
        <v>1001</v>
      </c>
      <c r="D182" s="70" t="e" vm="267">
        <v>#VALUE!</v>
      </c>
      <c r="E182" s="67">
        <f t="array" aca="1" ref="E182" ca="1">_FV(D182,"Price")</f>
        <v>377.25</v>
      </c>
      <c r="F182" s="68">
        <f t="array" aca="1" ref="F182" ca="1">_FV(D182,"Previous close",TRUE)</f>
        <v>375.85</v>
      </c>
      <c r="G182" s="62">
        <v>377.25</v>
      </c>
      <c r="H182" s="62">
        <v>323.60000000000002</v>
      </c>
      <c r="I182" s="62">
        <v>317.83999999999997</v>
      </c>
      <c r="J182" s="62">
        <v>304.43</v>
      </c>
      <c r="K182" s="60"/>
      <c r="L182" s="60"/>
      <c r="M182" s="60"/>
    </row>
    <row r="183" spans="1:13">
      <c r="A183" s="65">
        <v>46166</v>
      </c>
      <c r="B183" s="70" t="s">
        <v>1037</v>
      </c>
      <c r="C183" s="70" t="s">
        <v>1001</v>
      </c>
      <c r="D183" s="70" t="e" vm="268">
        <v>#VALUE!</v>
      </c>
      <c r="E183" s="67">
        <f t="array" aca="1" ref="E183" ca="1">_FV(D183,"Price")</f>
        <v>65.2</v>
      </c>
      <c r="F183" s="68">
        <f t="array" aca="1" ref="F183" ca="1">_FV(D183,"Previous close",TRUE)</f>
        <v>59.22</v>
      </c>
      <c r="G183" s="62">
        <v>65.2</v>
      </c>
      <c r="H183" s="62">
        <v>59.42</v>
      </c>
      <c r="I183" s="62">
        <v>58.64</v>
      </c>
      <c r="J183" s="62">
        <v>57.57</v>
      </c>
      <c r="K183" s="60"/>
      <c r="L183" s="60"/>
      <c r="M183" s="60"/>
    </row>
    <row r="184" spans="1:13">
      <c r="A184" s="65">
        <v>46166</v>
      </c>
      <c r="B184" s="70" t="s">
        <v>1003</v>
      </c>
      <c r="C184" s="70" t="s">
        <v>1001</v>
      </c>
      <c r="D184" s="70" t="e" vm="222">
        <v>#VALUE!</v>
      </c>
      <c r="E184" s="67">
        <f t="array" aca="1" ref="E184" ca="1">_FV(D184,"Price")</f>
        <v>2648.7</v>
      </c>
      <c r="F184" s="68">
        <f t="array" aca="1" ref="F184" ca="1">_FV(D184,"Previous close",TRUE)</f>
        <v>2536.1</v>
      </c>
      <c r="G184" s="62">
        <v>2648.7</v>
      </c>
      <c r="H184" s="62">
        <v>2673.9</v>
      </c>
      <c r="I184" s="62">
        <v>2661.38</v>
      </c>
      <c r="J184" s="62">
        <v>2608.37</v>
      </c>
      <c r="K184" s="60"/>
      <c r="L184" s="60"/>
      <c r="M184" s="60"/>
    </row>
    <row r="185" spans="1:13">
      <c r="A185" s="65">
        <v>46166</v>
      </c>
      <c r="B185" s="70" t="s">
        <v>1038</v>
      </c>
      <c r="C185" s="70" t="s">
        <v>1001</v>
      </c>
      <c r="D185" s="70" t="e" vm="269">
        <v>#VALUE!</v>
      </c>
      <c r="E185" s="67">
        <f t="array" aca="1" ref="E185" ca="1">_FV(D185,"Price")</f>
        <v>37.049999999999997</v>
      </c>
      <c r="F185" s="68">
        <f t="array" aca="1" ref="F185" ca="1">_FV(D185,"Previous close",TRUE)</f>
        <v>35.31</v>
      </c>
      <c r="G185" s="62">
        <v>37.049999999999997</v>
      </c>
      <c r="H185" s="62">
        <v>36.11</v>
      </c>
      <c r="I185" s="62">
        <v>35.67</v>
      </c>
      <c r="J185" s="62">
        <v>33.42</v>
      </c>
      <c r="K185" s="60"/>
      <c r="L185" s="60"/>
      <c r="M185" s="60"/>
    </row>
    <row r="186" spans="1:13">
      <c r="A186" s="65">
        <v>46172</v>
      </c>
      <c r="B186" s="71" t="s">
        <v>207</v>
      </c>
      <c r="C186" s="71" t="s">
        <v>947</v>
      </c>
      <c r="D186" s="71" t="e" vm="246">
        <v>#VALUE!</v>
      </c>
      <c r="E186" s="67">
        <f t="array" aca="1" ref="E186" ca="1">_FV(D186,"Price")</f>
        <v>4726.3</v>
      </c>
      <c r="F186" s="68">
        <f t="array" aca="1" ref="F186" ca="1">_FV(D186,"Previous close",TRUE)</f>
        <v>4571.3</v>
      </c>
      <c r="G186" s="62">
        <v>4726.3</v>
      </c>
      <c r="H186" s="62">
        <v>4445.09</v>
      </c>
      <c r="I186" s="62">
        <v>4339.2299999999996</v>
      </c>
      <c r="J186" s="62">
        <v>3964.46</v>
      </c>
      <c r="K186" s="60"/>
      <c r="L186" s="60"/>
      <c r="M186" s="60"/>
    </row>
    <row r="187" spans="1:13" ht="26.25">
      <c r="A187" s="65">
        <v>46172</v>
      </c>
      <c r="B187" s="71" t="s">
        <v>125</v>
      </c>
      <c r="C187" s="71" t="s">
        <v>947</v>
      </c>
      <c r="D187" s="71" t="e" vm="29">
        <v>#VALUE!</v>
      </c>
      <c r="E187" s="67">
        <f t="array" aca="1" ref="E187" ca="1">_FV(D187,"Price")</f>
        <v>671.2</v>
      </c>
      <c r="F187" s="68">
        <f t="array" aca="1" ref="F187" ca="1">_FV(D187,"Previous close",TRUE)</f>
        <v>640.70000000000005</v>
      </c>
      <c r="G187" s="62">
        <v>671.2</v>
      </c>
      <c r="H187" s="62">
        <v>634.64</v>
      </c>
      <c r="I187" s="62">
        <v>620.38</v>
      </c>
      <c r="J187" s="62">
        <v>579.04</v>
      </c>
      <c r="K187" s="60"/>
      <c r="L187" s="60"/>
      <c r="M187" s="60"/>
    </row>
    <row r="188" spans="1:13" ht="26.25">
      <c r="A188" s="65">
        <v>46172</v>
      </c>
      <c r="B188" s="71" t="s">
        <v>126</v>
      </c>
      <c r="C188" s="71" t="s">
        <v>947</v>
      </c>
      <c r="D188" s="71" t="e" vm="15">
        <v>#VALUE!</v>
      </c>
      <c r="E188" s="67">
        <f t="array" aca="1" ref="E188" ca="1">_FV(D188,"Price")</f>
        <v>39.17</v>
      </c>
      <c r="F188" s="68">
        <f t="array" aca="1" ref="F188" ca="1">_FV(D188,"Previous close",TRUE)</f>
        <v>37.03</v>
      </c>
      <c r="G188" s="62">
        <v>39.17</v>
      </c>
      <c r="H188" s="62">
        <v>32.75</v>
      </c>
      <c r="I188" s="62">
        <v>31.56</v>
      </c>
      <c r="J188" s="62">
        <v>28.42</v>
      </c>
      <c r="K188" s="60"/>
      <c r="L188" s="60"/>
      <c r="M188" s="60"/>
    </row>
    <row r="189" spans="1:13" ht="26.25">
      <c r="A189" s="65">
        <v>46172</v>
      </c>
      <c r="B189" s="71" t="s">
        <v>1039</v>
      </c>
      <c r="C189" s="71" t="s">
        <v>947</v>
      </c>
      <c r="D189" s="71" t="e" vm="270">
        <v>#VALUE!</v>
      </c>
      <c r="E189" s="67">
        <f t="array" aca="1" ref="E189" ca="1">_FV(D189,"Price")</f>
        <v>244.05</v>
      </c>
      <c r="F189" s="68">
        <f t="array" aca="1" ref="F189" ca="1">_FV(D189,"Previous close",TRUE)</f>
        <v>232.8</v>
      </c>
      <c r="G189" s="62">
        <v>244.05</v>
      </c>
      <c r="H189" s="62">
        <v>233.56</v>
      </c>
      <c r="I189" s="62">
        <v>229.52</v>
      </c>
      <c r="J189" s="62">
        <v>217.9</v>
      </c>
      <c r="K189" s="60"/>
      <c r="L189" s="60"/>
      <c r="M189" s="60"/>
    </row>
    <row r="190" spans="1:13">
      <c r="A190" s="65">
        <v>46172</v>
      </c>
      <c r="B190" s="71" t="s">
        <v>210</v>
      </c>
      <c r="C190" s="71" t="s">
        <v>947</v>
      </c>
      <c r="D190" s="71" t="e" vm="271">
        <v>#VALUE!</v>
      </c>
      <c r="E190" s="67">
        <f t="array" aca="1" ref="E190" ca="1">_FV(D190,"Price")</f>
        <v>6770.5</v>
      </c>
      <c r="F190" s="68">
        <f t="array" aca="1" ref="F190" ca="1">_FV(D190,"Previous close",TRUE)</f>
        <v>6719</v>
      </c>
      <c r="G190" s="62">
        <v>6770.5</v>
      </c>
      <c r="H190" s="62">
        <v>6841.8</v>
      </c>
      <c r="I190" s="62">
        <v>6780.83</v>
      </c>
      <c r="J190" s="62">
        <v>6468.11</v>
      </c>
      <c r="K190" s="60"/>
      <c r="L190" s="60"/>
      <c r="M190" s="60"/>
    </row>
    <row r="191" spans="1:13" ht="26.25">
      <c r="A191" s="65">
        <v>46172</v>
      </c>
      <c r="B191" s="71" t="s">
        <v>648</v>
      </c>
      <c r="C191" s="71" t="s">
        <v>947</v>
      </c>
      <c r="D191" s="71" t="e" vm="168">
        <v>#VALUE!</v>
      </c>
      <c r="E191" s="67">
        <f t="array" aca="1" ref="E191" ca="1">_FV(D191,"Price")</f>
        <v>1104.7</v>
      </c>
      <c r="F191" s="68">
        <f t="array" aca="1" ref="F191" ca="1">_FV(D191,"Previous close",TRUE)</f>
        <v>1105.9000000000001</v>
      </c>
      <c r="G191" s="62">
        <v>1104.7</v>
      </c>
      <c r="H191" s="62">
        <v>1021.95</v>
      </c>
      <c r="I191" s="62">
        <v>1008.55</v>
      </c>
      <c r="J191" s="62">
        <v>973.32</v>
      </c>
      <c r="K191" s="60"/>
      <c r="L191" s="60"/>
      <c r="M191" s="60"/>
    </row>
    <row r="192" spans="1:13" ht="26.25">
      <c r="A192" s="65">
        <v>46172</v>
      </c>
      <c r="B192" s="71" t="s">
        <v>945</v>
      </c>
      <c r="C192" s="71" t="s">
        <v>947</v>
      </c>
      <c r="D192" s="71" t="e" vm="157">
        <v>#VALUE!</v>
      </c>
      <c r="E192" s="67">
        <f t="array" aca="1" ref="E192" ca="1">_FV(D192,"Price")</f>
        <v>869.1</v>
      </c>
      <c r="F192" s="68">
        <f t="array" aca="1" ref="F192" ca="1">_FV(D192,"Previous close",TRUE)</f>
        <v>870.9</v>
      </c>
      <c r="G192" s="62">
        <v>869.1</v>
      </c>
      <c r="H192" s="62">
        <v>758.68</v>
      </c>
      <c r="I192" s="62">
        <v>726.97</v>
      </c>
      <c r="J192" s="62">
        <v>629.77</v>
      </c>
      <c r="K192" s="60"/>
      <c r="L192" s="60"/>
      <c r="M192" s="60"/>
    </row>
    <row r="193" spans="1:13" ht="26.25">
      <c r="A193" s="65">
        <v>46172</v>
      </c>
      <c r="B193" s="71" t="s">
        <v>217</v>
      </c>
      <c r="C193" s="71" t="s">
        <v>947</v>
      </c>
      <c r="D193" s="71" t="e" vm="272">
        <v>#VALUE!</v>
      </c>
      <c r="E193" s="67">
        <f t="array" aca="1" ref="E193" ca="1">_FV(D193,"Price")</f>
        <v>391.95</v>
      </c>
      <c r="F193" s="68">
        <f t="array" aca="1" ref="F193" ca="1">_FV(D193,"Previous close",TRUE)</f>
        <v>385.65</v>
      </c>
      <c r="G193" s="62">
        <v>391.95</v>
      </c>
      <c r="H193" s="62">
        <v>365.76</v>
      </c>
      <c r="I193" s="62">
        <v>361.48</v>
      </c>
      <c r="J193" s="62">
        <v>353.41</v>
      </c>
      <c r="K193" s="60"/>
      <c r="L193" s="60"/>
      <c r="M193" s="60"/>
    </row>
    <row r="194" spans="1:13" ht="26.25">
      <c r="A194" s="65">
        <v>46172</v>
      </c>
      <c r="B194" s="71" t="s">
        <v>220</v>
      </c>
      <c r="C194" s="71" t="s">
        <v>947</v>
      </c>
      <c r="D194" s="71" t="e" vm="273">
        <v>#VALUE!</v>
      </c>
      <c r="E194" s="67">
        <f t="array" aca="1" ref="E194" ca="1">_FV(D194,"Price")</f>
        <v>1035.8</v>
      </c>
      <c r="F194" s="68">
        <f t="array" aca="1" ref="F194" ca="1">_FV(D194,"Previous close",TRUE)</f>
        <v>1012.9</v>
      </c>
      <c r="G194" s="62">
        <v>1035.8</v>
      </c>
      <c r="H194" s="62">
        <v>1024.53</v>
      </c>
      <c r="I194" s="62">
        <v>1009.37</v>
      </c>
      <c r="J194" s="62">
        <v>951.4</v>
      </c>
      <c r="K194" s="60"/>
      <c r="L194" s="60"/>
      <c r="M194" s="60"/>
    </row>
    <row r="195" spans="1:13" ht="26.25">
      <c r="A195" s="65">
        <v>46172</v>
      </c>
      <c r="B195" s="71" t="s">
        <v>741</v>
      </c>
      <c r="C195" s="71" t="s">
        <v>947</v>
      </c>
      <c r="D195" s="71" t="e" vm="181">
        <v>#VALUE!</v>
      </c>
      <c r="E195" s="67">
        <f t="array" aca="1" ref="E195" ca="1">_FV(D195,"Price")</f>
        <v>1793.8</v>
      </c>
      <c r="F195" s="68">
        <f t="array" aca="1" ref="F195" ca="1">_FV(D195,"Previous close",TRUE)</f>
        <v>1715.1</v>
      </c>
      <c r="G195" s="62">
        <v>1793.8</v>
      </c>
      <c r="H195" s="62">
        <v>1659.73</v>
      </c>
      <c r="I195" s="62">
        <v>1635.89</v>
      </c>
      <c r="J195" s="62">
        <v>1561.24</v>
      </c>
      <c r="K195" s="60"/>
      <c r="L195" s="60"/>
      <c r="M195" s="60"/>
    </row>
    <row r="196" spans="1:13">
      <c r="A196" s="65">
        <v>46172</v>
      </c>
      <c r="B196" s="71" t="s">
        <v>215</v>
      </c>
      <c r="C196" s="71" t="s">
        <v>947</v>
      </c>
      <c r="D196" s="71" t="e" vm="274">
        <v>#VALUE!</v>
      </c>
      <c r="E196" s="67">
        <f t="array" aca="1" ref="E196" ca="1">_FV(D196,"Price")</f>
        <v>386.4</v>
      </c>
      <c r="F196" s="68">
        <f t="array" aca="1" ref="F196" ca="1">_FV(D196,"Previous close",TRUE)</f>
        <v>369</v>
      </c>
      <c r="G196" s="62">
        <v>386.4</v>
      </c>
      <c r="H196" s="62">
        <v>352.69</v>
      </c>
      <c r="I196" s="62">
        <v>341.09</v>
      </c>
      <c r="J196" s="62">
        <v>306.5</v>
      </c>
      <c r="K196" s="60"/>
      <c r="L196" s="60"/>
      <c r="M196" s="60"/>
    </row>
    <row r="197" spans="1:13" ht="26.25">
      <c r="A197" s="65">
        <v>46172</v>
      </c>
      <c r="B197" s="71" t="s">
        <v>1021</v>
      </c>
      <c r="C197" s="71" t="s">
        <v>947</v>
      </c>
      <c r="D197" s="71" t="e" vm="247">
        <v>#VALUE!</v>
      </c>
      <c r="E197" s="67">
        <f t="array" aca="1" ref="E197" ca="1">_FV(D197,"Price")</f>
        <v>275.7</v>
      </c>
      <c r="F197" s="68">
        <f t="array" aca="1" ref="F197" ca="1">_FV(D197,"Previous close",TRUE)</f>
        <v>265.05</v>
      </c>
      <c r="G197" s="62">
        <v>275.7</v>
      </c>
      <c r="H197" s="62">
        <v>258.08</v>
      </c>
      <c r="I197" s="62">
        <v>254.42</v>
      </c>
      <c r="J197" s="62">
        <v>238.95</v>
      </c>
      <c r="K197" s="60"/>
      <c r="L197" s="60"/>
      <c r="M197" s="60"/>
    </row>
    <row r="198" spans="1:13" ht="26.25">
      <c r="A198" s="65">
        <v>46172</v>
      </c>
      <c r="B198" s="71" t="s">
        <v>213</v>
      </c>
      <c r="C198" s="71" t="s">
        <v>947</v>
      </c>
      <c r="D198" s="71" t="e" vm="235">
        <v>#VALUE!</v>
      </c>
      <c r="E198" s="67">
        <f t="array" aca="1" ref="E198" ca="1">_FV(D198,"Price")</f>
        <v>70.42</v>
      </c>
      <c r="F198" s="68">
        <f t="array" aca="1" ref="F198" ca="1">_FV(D198,"Previous close",TRUE)</f>
        <v>72.56</v>
      </c>
      <c r="G198" s="62">
        <v>70.42</v>
      </c>
      <c r="H198" s="62">
        <v>62.25</v>
      </c>
      <c r="I198" s="62">
        <v>60.07</v>
      </c>
      <c r="J198" s="62">
        <v>53.09</v>
      </c>
      <c r="K198" s="60"/>
      <c r="L198" s="60"/>
      <c r="M198" s="60"/>
    </row>
    <row r="199" spans="1:13" ht="26.25">
      <c r="A199" s="65">
        <v>46172</v>
      </c>
      <c r="B199" s="71" t="s">
        <v>224</v>
      </c>
      <c r="C199" s="71" t="s">
        <v>947</v>
      </c>
      <c r="D199" s="71" t="e" vm="95">
        <v>#VALUE!</v>
      </c>
      <c r="E199" s="67">
        <f t="array" aca="1" ref="E199" ca="1">_FV(D199,"Price")</f>
        <v>676.1</v>
      </c>
      <c r="F199" s="68">
        <f t="array" aca="1" ref="F199" ca="1">_FV(D199,"Previous close",TRUE)</f>
        <v>672.1</v>
      </c>
      <c r="G199" s="62">
        <v>676.1</v>
      </c>
      <c r="H199" s="62">
        <v>649.35</v>
      </c>
      <c r="I199" s="62">
        <v>639.4</v>
      </c>
      <c r="J199" s="62">
        <v>618</v>
      </c>
      <c r="K199" s="60"/>
      <c r="L199" s="60"/>
      <c r="M199" s="60"/>
    </row>
    <row r="200" spans="1:13">
      <c r="A200" s="65">
        <v>46172</v>
      </c>
      <c r="B200" s="71" t="s">
        <v>958</v>
      </c>
      <c r="C200" s="71" t="s">
        <v>947</v>
      </c>
      <c r="D200" s="71" t="e" vm="233">
        <v>#VALUE!</v>
      </c>
      <c r="E200" s="67">
        <f t="array" aca="1" ref="E200" ca="1">_FV(D200,"Price")</f>
        <v>1578.6</v>
      </c>
      <c r="F200" s="68">
        <f t="array" aca="1" ref="F200" ca="1">_FV(D200,"Previous close",TRUE)</f>
        <v>1435.1</v>
      </c>
      <c r="G200" s="62">
        <v>1578.6</v>
      </c>
      <c r="H200" s="62">
        <v>1321.69</v>
      </c>
      <c r="I200" s="62">
        <v>1283.75</v>
      </c>
      <c r="J200" s="62">
        <v>1200.17</v>
      </c>
      <c r="K200" s="60"/>
      <c r="L200" s="60"/>
      <c r="M200" s="60"/>
    </row>
    <row r="201" spans="1:13" ht="26.25">
      <c r="A201" s="65">
        <v>46172</v>
      </c>
      <c r="B201" s="71" t="s">
        <v>675</v>
      </c>
      <c r="C201" s="71" t="s">
        <v>947</v>
      </c>
      <c r="D201" s="71" t="e" vm="9">
        <v>#VALUE!</v>
      </c>
      <c r="E201" s="67">
        <f t="array" aca="1" ref="E201" ca="1">_FV(D201,"Price")</f>
        <v>4333.7</v>
      </c>
      <c r="F201" s="68">
        <f t="array" aca="1" ref="F201" ca="1">_FV(D201,"Previous close",TRUE)</f>
        <v>4318.5</v>
      </c>
      <c r="G201" s="62">
        <v>4333.7</v>
      </c>
      <c r="H201" s="62">
        <v>4172.95</v>
      </c>
      <c r="I201" s="62">
        <v>4125.45</v>
      </c>
      <c r="J201" s="62">
        <v>3971.2</v>
      </c>
      <c r="K201" s="60"/>
      <c r="L201" s="60"/>
      <c r="M201" s="60"/>
    </row>
    <row r="202" spans="1:13">
      <c r="A202" s="65">
        <v>46172</v>
      </c>
      <c r="B202" s="71" t="s">
        <v>228</v>
      </c>
      <c r="C202" s="71" t="s">
        <v>947</v>
      </c>
      <c r="D202" s="71" t="e" vm="275">
        <v>#VALUE!</v>
      </c>
      <c r="E202" s="67">
        <f t="array" aca="1" ref="E202" ca="1">_FV(D202,"Price")</f>
        <v>544.65</v>
      </c>
      <c r="F202" s="68">
        <f t="array" aca="1" ref="F202" ca="1">_FV(D202,"Previous close",TRUE)</f>
        <v>520.79999999999995</v>
      </c>
      <c r="G202" s="62">
        <v>544.65</v>
      </c>
      <c r="H202" s="62">
        <v>491.47</v>
      </c>
      <c r="I202" s="62">
        <v>480.57</v>
      </c>
      <c r="J202" s="62">
        <v>454.16</v>
      </c>
      <c r="K202" s="60"/>
      <c r="L202" s="60"/>
      <c r="M202" s="60"/>
    </row>
    <row r="203" spans="1:13" ht="26.25">
      <c r="A203" s="65">
        <v>46172</v>
      </c>
      <c r="B203" s="71" t="s">
        <v>222</v>
      </c>
      <c r="C203" s="71" t="s">
        <v>947</v>
      </c>
      <c r="D203" s="71" t="e" vm="177">
        <v>#VALUE!</v>
      </c>
      <c r="E203" s="67">
        <f t="array" aca="1" ref="E203" ca="1">_FV(D203,"Price")</f>
        <v>252.37</v>
      </c>
      <c r="F203" s="68">
        <f t="array" aca="1" ref="F203" ca="1">_FV(D203,"Previous close",TRUE)</f>
        <v>249.83</v>
      </c>
      <c r="G203" s="62">
        <v>252.37</v>
      </c>
      <c r="H203" s="62">
        <v>217.7</v>
      </c>
      <c r="I203" s="62">
        <v>212.81</v>
      </c>
      <c r="J203" s="62">
        <v>199.95</v>
      </c>
      <c r="K203" s="60"/>
      <c r="L203" s="60"/>
      <c r="M203" s="60"/>
    </row>
    <row r="204" spans="1:13" ht="26.25">
      <c r="A204" s="65">
        <v>46172</v>
      </c>
      <c r="B204" s="71" t="s">
        <v>182</v>
      </c>
      <c r="C204" s="71" t="s">
        <v>947</v>
      </c>
      <c r="D204" s="71" t="e" vm="73">
        <v>#VALUE!</v>
      </c>
      <c r="E204" s="67">
        <f t="array" aca="1" ref="E204" ca="1">_FV(D204,"Price")</f>
        <v>2133</v>
      </c>
      <c r="F204" s="68">
        <f t="array" aca="1" ref="F204" ca="1">_FV(D204,"Previous close",TRUE)</f>
        <v>2054</v>
      </c>
      <c r="G204" s="62">
        <v>2133</v>
      </c>
      <c r="H204" s="62">
        <v>1709.22</v>
      </c>
      <c r="I204" s="62">
        <v>1643.59</v>
      </c>
      <c r="J204" s="62">
        <v>1467.54</v>
      </c>
      <c r="K204" s="60"/>
      <c r="L204" s="60"/>
      <c r="M204" s="60"/>
    </row>
    <row r="205" spans="1:13" ht="26.25">
      <c r="A205" s="65">
        <v>46172</v>
      </c>
      <c r="B205" s="71" t="s">
        <v>254</v>
      </c>
      <c r="C205" s="71" t="s">
        <v>947</v>
      </c>
      <c r="D205" s="71" t="e" vm="218">
        <v>#VALUE!</v>
      </c>
      <c r="E205" s="67">
        <f t="array" aca="1" ref="E205" ca="1">_FV(D205,"Price")</f>
        <v>680.5</v>
      </c>
      <c r="F205" s="68">
        <f t="array" aca="1" ref="F205" ca="1">_FV(D205,"Previous close",TRUE)</f>
        <v>680.05</v>
      </c>
      <c r="G205" s="62">
        <v>680.5</v>
      </c>
      <c r="H205" s="62">
        <v>607.38</v>
      </c>
      <c r="I205" s="62">
        <v>593.88</v>
      </c>
      <c r="J205" s="62">
        <v>550.63</v>
      </c>
      <c r="K205" s="60"/>
      <c r="L205" s="60"/>
      <c r="M205" s="60"/>
    </row>
    <row r="206" spans="1:13" ht="26.25">
      <c r="A206" s="65">
        <v>46172</v>
      </c>
      <c r="B206" s="71" t="s">
        <v>189</v>
      </c>
      <c r="C206" s="71" t="s">
        <v>947</v>
      </c>
      <c r="D206" s="71" t="e" vm="248">
        <v>#VALUE!</v>
      </c>
      <c r="E206" s="67">
        <f t="array" aca="1" ref="E206" ca="1">_FV(D206,"Price")</f>
        <v>1489.6</v>
      </c>
      <c r="F206" s="68">
        <f t="array" aca="1" ref="F206" ca="1">_FV(D206,"Previous close",TRUE)</f>
        <v>1466.7</v>
      </c>
      <c r="G206" s="62">
        <v>1489.6</v>
      </c>
      <c r="H206" s="62">
        <v>1387.24</v>
      </c>
      <c r="I206" s="62">
        <v>1353.98</v>
      </c>
      <c r="J206" s="62">
        <v>1234.21</v>
      </c>
      <c r="K206" s="60"/>
      <c r="L206" s="60"/>
      <c r="M206" s="60"/>
    </row>
    <row r="207" spans="1:13" ht="26.25">
      <c r="A207" s="65">
        <v>46172</v>
      </c>
      <c r="B207" s="71" t="s">
        <v>949</v>
      </c>
      <c r="C207" s="71" t="s">
        <v>947</v>
      </c>
      <c r="D207" s="71" t="e" vm="159">
        <v>#VALUE!</v>
      </c>
      <c r="E207" s="67">
        <f t="array" aca="1" ref="E207" ca="1">_FV(D207,"Price")</f>
        <v>1921</v>
      </c>
      <c r="F207" s="68">
        <f t="array" aca="1" ref="F207" ca="1">_FV(D207,"Previous close",TRUE)</f>
        <v>1895.2</v>
      </c>
      <c r="G207" s="62">
        <v>1921</v>
      </c>
      <c r="H207" s="62">
        <v>1798.24</v>
      </c>
      <c r="I207" s="62">
        <v>1770.25</v>
      </c>
      <c r="J207" s="62">
        <v>1693.73</v>
      </c>
      <c r="K207" s="60"/>
      <c r="L207" s="60"/>
      <c r="M207" s="60"/>
    </row>
    <row r="208" spans="1:13">
      <c r="A208" s="65">
        <v>46172</v>
      </c>
      <c r="B208" s="71" t="s">
        <v>252</v>
      </c>
      <c r="C208" s="71" t="s">
        <v>947</v>
      </c>
      <c r="D208" s="71" t="e" vm="234">
        <v>#VALUE!</v>
      </c>
      <c r="E208" s="67">
        <f t="array" aca="1" ref="E208" ca="1">_FV(D208,"Price")</f>
        <v>2262.1999999999998</v>
      </c>
      <c r="F208" s="68">
        <f t="array" aca="1" ref="F208" ca="1">_FV(D208,"Previous close",TRUE)</f>
        <v>2306.5</v>
      </c>
      <c r="G208" s="62">
        <v>2262.1999999999998</v>
      </c>
      <c r="H208" s="62">
        <v>2075.42</v>
      </c>
      <c r="I208" s="62">
        <v>2036.78</v>
      </c>
      <c r="J208" s="62">
        <v>1931.06</v>
      </c>
      <c r="K208" s="60"/>
      <c r="L208" s="60"/>
      <c r="M208" s="60"/>
    </row>
    <row r="209" spans="1:13">
      <c r="A209" s="65">
        <v>46172</v>
      </c>
      <c r="B209" s="71" t="s">
        <v>193</v>
      </c>
      <c r="C209" s="71" t="s">
        <v>1040</v>
      </c>
      <c r="D209" s="71" t="e" vm="164">
        <v>#VALUE!</v>
      </c>
      <c r="E209" s="67">
        <f t="array" aca="1" ref="E209" ca="1">_FV(D209,"Price")</f>
        <v>171.86</v>
      </c>
      <c r="F209" s="68">
        <f t="array" aca="1" ref="F209" ca="1">_FV(D209,"Previous close",TRUE)</f>
        <v>163.68</v>
      </c>
      <c r="G209" s="62">
        <v>171.86</v>
      </c>
      <c r="H209" s="62">
        <v>147.21</v>
      </c>
      <c r="I209" s="62">
        <v>140.01</v>
      </c>
      <c r="J209" s="62">
        <v>116.98</v>
      </c>
      <c r="K209" s="60"/>
      <c r="L209" s="60"/>
      <c r="M209" s="60"/>
    </row>
    <row r="210" spans="1:13" ht="26.25">
      <c r="A210" s="65">
        <v>46172</v>
      </c>
      <c r="B210" s="71" t="s">
        <v>173</v>
      </c>
      <c r="C210" s="71" t="s">
        <v>1040</v>
      </c>
      <c r="D210" s="71" t="e" vm="216">
        <v>#VALUE!</v>
      </c>
      <c r="E210" s="67">
        <f t="array" aca="1" ref="E210" ca="1">_FV(D210,"Price")</f>
        <v>1443.8</v>
      </c>
      <c r="F210" s="68">
        <f t="array" aca="1" ref="F210" ca="1">_FV(D210,"Previous close",TRUE)</f>
        <v>1396.3</v>
      </c>
      <c r="G210" s="62">
        <v>1443.8</v>
      </c>
      <c r="H210" s="62">
        <v>1252.25</v>
      </c>
      <c r="I210" s="62">
        <v>1221.28</v>
      </c>
      <c r="J210" s="62">
        <v>1130.3800000000001</v>
      </c>
      <c r="K210" s="60"/>
      <c r="L210" s="60"/>
      <c r="M210" s="60"/>
    </row>
    <row r="211" spans="1:13" ht="26.25">
      <c r="A211" s="65">
        <v>46172</v>
      </c>
      <c r="B211" s="71" t="s">
        <v>977</v>
      </c>
      <c r="C211" s="71" t="s">
        <v>1040</v>
      </c>
      <c r="D211" s="71" t="e" vm="186">
        <v>#VALUE!</v>
      </c>
      <c r="E211" s="67">
        <f t="array" aca="1" ref="E211" ca="1">_FV(D211,"Price")</f>
        <v>583.65</v>
      </c>
      <c r="F211" s="68">
        <f t="array" aca="1" ref="F211" ca="1">_FV(D211,"Previous close",TRUE)</f>
        <v>568.4</v>
      </c>
      <c r="G211" s="62">
        <v>583.65</v>
      </c>
      <c r="H211" s="62">
        <v>448.21</v>
      </c>
      <c r="I211" s="62">
        <v>419.41</v>
      </c>
      <c r="J211" s="62">
        <v>325.13</v>
      </c>
      <c r="K211" s="60"/>
      <c r="L211" s="60"/>
      <c r="M211" s="60"/>
    </row>
    <row r="212" spans="1:13" ht="26.25">
      <c r="A212" s="65">
        <v>46172</v>
      </c>
      <c r="B212" s="71" t="s">
        <v>1041</v>
      </c>
      <c r="C212" s="71" t="s">
        <v>1040</v>
      </c>
      <c r="D212" s="71" t="e" vm="276">
        <v>#VALUE!</v>
      </c>
      <c r="E212" s="67">
        <f t="array" aca="1" ref="E212" ca="1">_FV(D212,"Price")</f>
        <v>1938</v>
      </c>
      <c r="F212" s="68">
        <f t="array" aca="1" ref="F212" ca="1">_FV(D212,"Previous close",TRUE)</f>
        <v>1923.8</v>
      </c>
      <c r="G212" s="62">
        <v>1938</v>
      </c>
      <c r="H212" s="62">
        <v>1700.48</v>
      </c>
      <c r="I212" s="62">
        <v>1657.83</v>
      </c>
      <c r="J212" s="62">
        <v>1542.64</v>
      </c>
      <c r="K212" s="60"/>
      <c r="L212" s="60"/>
      <c r="M212" s="60"/>
    </row>
    <row r="213" spans="1:13" ht="26.25">
      <c r="A213" s="65">
        <v>46172</v>
      </c>
      <c r="B213" s="71" t="s">
        <v>996</v>
      </c>
      <c r="C213" s="71" t="s">
        <v>1040</v>
      </c>
      <c r="D213" s="71" t="e" vm="209">
        <v>#VALUE!</v>
      </c>
      <c r="E213" s="67">
        <f t="array" aca="1" ref="E213" ca="1">_FV(D213,"Price")</f>
        <v>2972</v>
      </c>
      <c r="F213" s="68">
        <f t="array" aca="1" ref="F213" ca="1">_FV(D213,"Previous close",TRUE)</f>
        <v>2939.3</v>
      </c>
      <c r="G213" s="62">
        <v>2972</v>
      </c>
      <c r="H213" s="62">
        <v>2724.3</v>
      </c>
      <c r="I213" s="62">
        <v>2662.33</v>
      </c>
      <c r="J213" s="62">
        <v>2476.15</v>
      </c>
      <c r="K213" s="60"/>
      <c r="L213" s="60"/>
      <c r="M213" s="60"/>
    </row>
    <row r="214" spans="1:13" ht="26.25">
      <c r="A214" s="65">
        <v>46172</v>
      </c>
      <c r="B214" s="71" t="s">
        <v>982</v>
      </c>
      <c r="C214" s="71" t="s">
        <v>1040</v>
      </c>
      <c r="D214" s="71" t="e" vm="194">
        <v>#VALUE!</v>
      </c>
      <c r="E214" s="67">
        <f t="array" aca="1" ref="E214" ca="1">_FV(D214,"Price")</f>
        <v>1287.2</v>
      </c>
      <c r="F214" s="68">
        <f t="array" aca="1" ref="F214" ca="1">_FV(D214,"Previous close",TRUE)</f>
        <v>1279.2</v>
      </c>
      <c r="G214" s="62">
        <v>1287.2</v>
      </c>
      <c r="H214" s="62">
        <v>1227.8</v>
      </c>
      <c r="I214" s="62">
        <v>1203.6400000000001</v>
      </c>
      <c r="J214" s="62">
        <v>1128.97</v>
      </c>
      <c r="K214" s="60"/>
      <c r="L214" s="60"/>
      <c r="M214" s="60"/>
    </row>
    <row r="215" spans="1:13" ht="26.25">
      <c r="A215" s="65">
        <v>46172</v>
      </c>
      <c r="B215" s="71" t="s">
        <v>203</v>
      </c>
      <c r="C215" s="71" t="s">
        <v>1040</v>
      </c>
      <c r="D215" s="71" t="e" vm="241">
        <v>#VALUE!</v>
      </c>
      <c r="E215" s="67">
        <f t="array" aca="1" ref="E215" ca="1">_FV(D215,"Price")</f>
        <v>977.15</v>
      </c>
      <c r="F215" s="68">
        <f t="array" aca="1" ref="F215" ca="1">_FV(D215,"Previous close",TRUE)</f>
        <v>937</v>
      </c>
      <c r="G215" s="62">
        <v>977.15</v>
      </c>
      <c r="H215" s="62">
        <v>822.53</v>
      </c>
      <c r="I215" s="62">
        <v>801.02</v>
      </c>
      <c r="J215" s="62">
        <v>749.71</v>
      </c>
      <c r="K215" s="60"/>
      <c r="L215" s="60"/>
      <c r="M215" s="60"/>
    </row>
    <row r="216" spans="1:13" ht="26.25">
      <c r="A216" s="65">
        <v>46172</v>
      </c>
      <c r="B216" s="71" t="s">
        <v>180</v>
      </c>
      <c r="C216" s="71" t="s">
        <v>1040</v>
      </c>
      <c r="D216" s="71" t="e" vm="163">
        <v>#VALUE!</v>
      </c>
      <c r="E216" s="67">
        <f t="array" aca="1" ref="E216" ca="1">_FV(D216,"Price")</f>
        <v>409.4</v>
      </c>
      <c r="F216" s="68">
        <f t="array" aca="1" ref="F216" ca="1">_FV(D216,"Previous close",TRUE)</f>
        <v>381.75</v>
      </c>
      <c r="G216" s="62">
        <v>409.4</v>
      </c>
      <c r="H216" s="62">
        <v>349.68</v>
      </c>
      <c r="I216" s="62">
        <v>337.34</v>
      </c>
      <c r="J216" s="62">
        <v>301.93</v>
      </c>
      <c r="K216" s="60"/>
      <c r="L216" s="60"/>
      <c r="M216" s="60"/>
    </row>
    <row r="217" spans="1:13" ht="26.25">
      <c r="A217" s="65">
        <v>46172</v>
      </c>
      <c r="B217" s="71" t="s">
        <v>595</v>
      </c>
      <c r="C217" s="71" t="s">
        <v>1040</v>
      </c>
      <c r="D217" s="71" t="e" vm="10">
        <v>#VALUE!</v>
      </c>
      <c r="E217" s="67">
        <f t="array" aca="1" ref="E217" ca="1">_FV(D217,"Price")</f>
        <v>3145.3</v>
      </c>
      <c r="F217" s="68">
        <f t="array" aca="1" ref="F217" ca="1">_FV(D217,"Previous close",TRUE)</f>
        <v>3128.1</v>
      </c>
      <c r="G217" s="62">
        <v>3145.3</v>
      </c>
      <c r="H217" s="62">
        <v>2879.69</v>
      </c>
      <c r="I217" s="62">
        <v>2804.32</v>
      </c>
      <c r="J217" s="62">
        <v>2515.56</v>
      </c>
      <c r="K217" s="60"/>
      <c r="L217" s="60"/>
      <c r="M217" s="60"/>
    </row>
    <row r="218" spans="1:13" ht="26.25">
      <c r="A218" s="65">
        <v>46172</v>
      </c>
      <c r="B218" s="71" t="s">
        <v>1029</v>
      </c>
      <c r="C218" s="71" t="s">
        <v>1040</v>
      </c>
      <c r="D218" s="71" t="e" vm="257">
        <v>#VALUE!</v>
      </c>
      <c r="E218" s="67">
        <f t="array" aca="1" ref="E218" ca="1">_FV(D218,"Price")</f>
        <v>929.55</v>
      </c>
      <c r="F218" s="68">
        <f t="array" aca="1" ref="F218" ca="1">_FV(D218,"Previous close",TRUE)</f>
        <v>885.3</v>
      </c>
      <c r="G218" s="62">
        <v>929.55</v>
      </c>
      <c r="H218" s="62">
        <v>739.92</v>
      </c>
      <c r="I218" s="62">
        <v>706.24</v>
      </c>
      <c r="J218" s="62">
        <v>595.01</v>
      </c>
      <c r="K218" s="60"/>
      <c r="L218" s="60"/>
      <c r="M218" s="60"/>
    </row>
    <row r="219" spans="1:13" ht="26.25">
      <c r="A219" s="65">
        <v>46172</v>
      </c>
      <c r="B219" s="71" t="s">
        <v>660</v>
      </c>
      <c r="C219" s="71" t="s">
        <v>1040</v>
      </c>
      <c r="D219" s="71" t="e" vm="4">
        <v>#VALUE!</v>
      </c>
      <c r="E219" s="67">
        <f t="array" aca="1" ref="E219" ca="1">_FV(D219,"Price")</f>
        <v>34325</v>
      </c>
      <c r="F219" s="68">
        <f t="array" aca="1" ref="F219" ca="1">_FV(D219,"Previous close",TRUE)</f>
        <v>33250</v>
      </c>
      <c r="G219" s="62">
        <v>34325</v>
      </c>
      <c r="H219" s="62">
        <v>33624.410000000003</v>
      </c>
      <c r="I219" s="62">
        <v>32809.230000000003</v>
      </c>
      <c r="J219" s="62">
        <v>29443.45</v>
      </c>
      <c r="K219" s="60"/>
      <c r="L219" s="60"/>
      <c r="M219" s="60"/>
    </row>
    <row r="220" spans="1:13" ht="26.25">
      <c r="A220" s="65">
        <v>46172</v>
      </c>
      <c r="B220" s="71" t="s">
        <v>1028</v>
      </c>
      <c r="C220" s="71" t="s">
        <v>1040</v>
      </c>
      <c r="D220" s="71" t="e" vm="256">
        <v>#VALUE!</v>
      </c>
      <c r="E220" s="67">
        <f t="array" aca="1" ref="E220" ca="1">_FV(D220,"Price")</f>
        <v>378.75</v>
      </c>
      <c r="F220" s="68">
        <f t="array" aca="1" ref="F220" ca="1">_FV(D220,"Previous close",TRUE)</f>
        <v>370.65</v>
      </c>
      <c r="G220" s="62">
        <v>378.75</v>
      </c>
      <c r="H220" s="62">
        <v>370.6</v>
      </c>
      <c r="I220" s="62">
        <v>362.29</v>
      </c>
      <c r="J220" s="62">
        <v>331.56</v>
      </c>
      <c r="K220" s="60"/>
      <c r="L220" s="60"/>
      <c r="M220" s="60"/>
    </row>
    <row r="221" spans="1:13" ht="26.25">
      <c r="A221" s="65">
        <v>46172</v>
      </c>
      <c r="B221" s="71" t="s">
        <v>973</v>
      </c>
      <c r="C221" s="71" t="s">
        <v>1040</v>
      </c>
      <c r="D221" s="71" t="e" vm="182">
        <v>#VALUE!</v>
      </c>
      <c r="E221" s="67">
        <f t="array" aca="1" ref="E221" ca="1">_FV(D221,"Price")</f>
        <v>7159.5</v>
      </c>
      <c r="F221" s="68">
        <f t="array" aca="1" ref="F221" ca="1">_FV(D221,"Previous close",TRUE)</f>
        <v>6306</v>
      </c>
      <c r="G221" s="62">
        <v>7159.5</v>
      </c>
      <c r="H221" s="62">
        <v>6688.2</v>
      </c>
      <c r="I221" s="62">
        <v>6412.66</v>
      </c>
      <c r="J221" s="62">
        <v>5345.4</v>
      </c>
      <c r="K221" s="60"/>
      <c r="L221" s="60"/>
      <c r="M221" s="60"/>
    </row>
    <row r="222" spans="1:13" ht="26.25">
      <c r="A222" s="65">
        <v>46172</v>
      </c>
      <c r="B222" s="71" t="s">
        <v>553</v>
      </c>
      <c r="C222" s="71" t="s">
        <v>1040</v>
      </c>
      <c r="D222" s="71" t="e" vm="24">
        <v>#VALUE!</v>
      </c>
      <c r="E222" s="67">
        <f t="array" aca="1" ref="E222" ca="1">_FV(D222,"Price")</f>
        <v>17143</v>
      </c>
      <c r="F222" s="68">
        <f t="array" aca="1" ref="F222" ca="1">_FV(D222,"Previous close",TRUE)</f>
        <v>17141</v>
      </c>
      <c r="G222" s="62">
        <v>17143</v>
      </c>
      <c r="H222" s="62">
        <v>16795.189999999999</v>
      </c>
      <c r="I222" s="62">
        <v>16495.37</v>
      </c>
      <c r="J222" s="62">
        <v>15493.01</v>
      </c>
      <c r="K222" s="60"/>
      <c r="L222" s="60"/>
      <c r="M222" s="60"/>
    </row>
    <row r="223" spans="1:13" ht="26.25">
      <c r="A223" s="65">
        <v>46172</v>
      </c>
      <c r="B223" s="71" t="s">
        <v>986</v>
      </c>
      <c r="C223" s="71" t="s">
        <v>1040</v>
      </c>
      <c r="D223" s="71" t="e" vm="199">
        <v>#VALUE!</v>
      </c>
      <c r="E223" s="67">
        <f t="array" aca="1" ref="E223" ca="1">_FV(D223,"Price")</f>
        <v>1028.7</v>
      </c>
      <c r="F223" s="68">
        <f t="array" aca="1" ref="F223" ca="1">_FV(D223,"Previous close",TRUE)</f>
        <v>1027.4000000000001</v>
      </c>
      <c r="G223" s="62">
        <v>1028.7</v>
      </c>
      <c r="H223" s="62">
        <v>938.09</v>
      </c>
      <c r="I223" s="62">
        <v>919.4</v>
      </c>
      <c r="J223" s="62">
        <v>844.24</v>
      </c>
      <c r="K223" s="60"/>
      <c r="L223" s="60"/>
      <c r="M223" s="60"/>
    </row>
    <row r="224" spans="1:13" ht="26.25">
      <c r="A224" s="65">
        <v>46172</v>
      </c>
      <c r="B224" s="71" t="s">
        <v>169</v>
      </c>
      <c r="C224" s="71" t="s">
        <v>1040</v>
      </c>
      <c r="D224" s="71" t="e" vm="214">
        <v>#VALUE!</v>
      </c>
      <c r="E224" s="67">
        <f t="array" aca="1" ref="E224" ca="1">_FV(D224,"Price")</f>
        <v>914.45</v>
      </c>
      <c r="F224" s="68">
        <f t="array" aca="1" ref="F224" ca="1">_FV(D224,"Previous close",TRUE)</f>
        <v>901.35</v>
      </c>
      <c r="G224" s="62">
        <v>914.45</v>
      </c>
      <c r="H224" s="62">
        <v>860.74</v>
      </c>
      <c r="I224" s="62">
        <v>845.09</v>
      </c>
      <c r="J224" s="62">
        <v>791.88</v>
      </c>
      <c r="K224" s="60"/>
      <c r="L224" s="60"/>
      <c r="M224" s="60"/>
    </row>
    <row r="225" spans="1:13" ht="26.25">
      <c r="A225" s="65">
        <v>46172</v>
      </c>
      <c r="B225" s="71" t="s">
        <v>997</v>
      </c>
      <c r="C225" s="71" t="s">
        <v>1040</v>
      </c>
      <c r="D225" s="71" t="e" vm="213">
        <v>#VALUE!</v>
      </c>
      <c r="E225" s="67">
        <f t="array" aca="1" ref="E225" ca="1">_FV(D225,"Price")</f>
        <v>6131.5</v>
      </c>
      <c r="F225" s="68">
        <f t="array" aca="1" ref="F225" ca="1">_FV(D225,"Previous close",TRUE)</f>
        <v>6241</v>
      </c>
      <c r="G225" s="62">
        <v>6131.5</v>
      </c>
      <c r="H225" s="62">
        <v>5301.29</v>
      </c>
      <c r="I225" s="62">
        <v>5137.17</v>
      </c>
      <c r="J225" s="62">
        <v>4611.28</v>
      </c>
      <c r="K225" s="60"/>
      <c r="L225" s="60"/>
      <c r="M225" s="60"/>
    </row>
    <row r="226" spans="1:13" ht="26.25">
      <c r="A226" s="65">
        <v>46172</v>
      </c>
      <c r="B226" s="71" t="s">
        <v>663</v>
      </c>
      <c r="C226" s="71" t="s">
        <v>1040</v>
      </c>
      <c r="D226" s="71" t="e" vm="5">
        <v>#VALUE!</v>
      </c>
      <c r="E226" s="67">
        <f t="array" aca="1" ref="E226" ca="1">_FV(D226,"Price")</f>
        <v>1266.7</v>
      </c>
      <c r="F226" s="68">
        <f t="array" aca="1" ref="F226" ca="1">_FV(D226,"Previous close",TRUE)</f>
        <v>1235.5999999999999</v>
      </c>
      <c r="G226" s="62">
        <v>1266.7</v>
      </c>
      <c r="H226" s="62">
        <v>1082.26</v>
      </c>
      <c r="I226" s="62">
        <v>1054.5999999999999</v>
      </c>
      <c r="J226" s="62">
        <v>963.31</v>
      </c>
      <c r="K226" s="60"/>
      <c r="L226" s="60"/>
      <c r="M226" s="60"/>
    </row>
    <row r="227" spans="1:13" ht="26.25">
      <c r="A227" s="65">
        <v>46172</v>
      </c>
      <c r="B227" s="71" t="s">
        <v>505</v>
      </c>
      <c r="C227" s="71" t="s">
        <v>1040</v>
      </c>
      <c r="D227" s="71" t="e" vm="30">
        <v>#VALUE!</v>
      </c>
      <c r="E227" s="67">
        <f t="array" aca="1" ref="E227" ca="1">_FV(D227,"Price")</f>
        <v>1192.8</v>
      </c>
      <c r="F227" s="68">
        <f t="array" aca="1" ref="F227" ca="1">_FV(D227,"Previous close",TRUE)</f>
        <v>1126</v>
      </c>
      <c r="G227" s="62">
        <v>1192.8</v>
      </c>
      <c r="H227" s="62">
        <v>1191.9000000000001</v>
      </c>
      <c r="I227" s="62">
        <v>1162.77</v>
      </c>
      <c r="J227" s="62">
        <v>1040.79</v>
      </c>
      <c r="K227" s="60"/>
      <c r="L227" s="60"/>
      <c r="M227" s="60"/>
    </row>
    <row r="228" spans="1:13" ht="26.25">
      <c r="A228" s="65">
        <v>46172</v>
      </c>
      <c r="B228" s="71" t="s">
        <v>1030</v>
      </c>
      <c r="C228" s="71" t="s">
        <v>1040</v>
      </c>
      <c r="D228" s="71" t="e" vm="258">
        <v>#VALUE!</v>
      </c>
      <c r="E228" s="67">
        <f t="array" aca="1" ref="E228" ca="1">_FV(D228,"Price")</f>
        <v>1284.0999999999999</v>
      </c>
      <c r="F228" s="68">
        <f t="array" aca="1" ref="F228" ca="1">_FV(D228,"Previous close",TRUE)</f>
        <v>1307.3</v>
      </c>
      <c r="G228" s="62">
        <v>1284.0999999999999</v>
      </c>
      <c r="H228" s="62">
        <v>1322.57</v>
      </c>
      <c r="I228" s="62">
        <v>1290.1300000000001</v>
      </c>
      <c r="J228" s="62">
        <v>1179.3499999999999</v>
      </c>
      <c r="K228" s="60"/>
      <c r="L228" s="60"/>
      <c r="M228" s="60"/>
    </row>
    <row r="229" spans="1:13">
      <c r="A229" s="65">
        <v>46172</v>
      </c>
      <c r="B229" s="71" t="s">
        <v>975</v>
      </c>
      <c r="C229" s="71" t="s">
        <v>1040</v>
      </c>
      <c r="D229" s="71" t="e" vm="184">
        <v>#VALUE!</v>
      </c>
      <c r="E229" s="67">
        <f t="array" aca="1" ref="E229" ca="1">_FV(D229,"Price")</f>
        <v>1018.6</v>
      </c>
      <c r="F229" s="68">
        <f t="array" aca="1" ref="F229" ca="1">_FV(D229,"Previous close",TRUE)</f>
        <v>988.5</v>
      </c>
      <c r="G229" s="62">
        <v>1018.6</v>
      </c>
      <c r="H229" s="62">
        <v>869.24</v>
      </c>
      <c r="I229" s="62">
        <v>831.8</v>
      </c>
      <c r="J229" s="62">
        <v>718.8</v>
      </c>
      <c r="K229" s="60"/>
      <c r="L229" s="60"/>
      <c r="M229" s="60"/>
    </row>
    <row r="230" spans="1:13" ht="26.25">
      <c r="A230" s="65">
        <v>46172</v>
      </c>
      <c r="B230" s="71" t="s">
        <v>1042</v>
      </c>
      <c r="C230" s="71" t="s">
        <v>1040</v>
      </c>
      <c r="D230" s="71" t="e" vm="277">
        <v>#VALUE!</v>
      </c>
      <c r="E230" s="67">
        <f t="array" aca="1" ref="E230" ca="1">_FV(D230,"Price")</f>
        <v>1122.4000000000001</v>
      </c>
      <c r="F230" s="68">
        <f t="array" aca="1" ref="F230" ca="1">_FV(D230,"Previous close",TRUE)</f>
        <v>1175.3</v>
      </c>
      <c r="G230" s="62">
        <v>1122.4000000000001</v>
      </c>
      <c r="H230" s="62">
        <v>932.82</v>
      </c>
      <c r="I230" s="62">
        <v>899.51</v>
      </c>
      <c r="J230" s="62">
        <v>812.22</v>
      </c>
      <c r="K230" s="60"/>
      <c r="L230" s="60"/>
      <c r="M230" s="60"/>
    </row>
    <row r="231" spans="1:13" ht="26.25">
      <c r="A231" s="65">
        <v>46172</v>
      </c>
      <c r="B231" s="71" t="s">
        <v>406</v>
      </c>
      <c r="C231" s="71" t="s">
        <v>1040</v>
      </c>
      <c r="D231" s="71" t="e" vm="195">
        <v>#VALUE!</v>
      </c>
      <c r="E231" s="67">
        <f t="array" aca="1" ref="E231" ca="1">_FV(D231,"Price")</f>
        <v>1945.1</v>
      </c>
      <c r="F231" s="68">
        <f t="array" aca="1" ref="F231" ca="1">_FV(D231,"Previous close",TRUE)</f>
        <v>1942.9</v>
      </c>
      <c r="G231" s="62">
        <v>1945.1</v>
      </c>
      <c r="H231" s="62">
        <v>1898.16</v>
      </c>
      <c r="I231" s="62">
        <v>1880.14</v>
      </c>
      <c r="J231" s="62">
        <v>1784.94</v>
      </c>
      <c r="K231" s="60"/>
      <c r="L231" s="60"/>
      <c r="M231" s="60"/>
    </row>
    <row r="232" spans="1:13" ht="26.25">
      <c r="A232" s="65">
        <v>46172</v>
      </c>
      <c r="B232" s="71" t="s">
        <v>431</v>
      </c>
      <c r="C232" s="71" t="s">
        <v>1040</v>
      </c>
      <c r="D232" s="71" t="e" vm="189">
        <v>#VALUE!</v>
      </c>
      <c r="E232" s="67">
        <f t="array" aca="1" ref="E232" ca="1">_FV(D232,"Price")</f>
        <v>1890.5</v>
      </c>
      <c r="F232" s="68">
        <f t="array" aca="1" ref="F232" ca="1">_FV(D232,"Previous close",TRUE)</f>
        <v>1797.9</v>
      </c>
      <c r="G232" s="62">
        <v>1890.5</v>
      </c>
      <c r="H232" s="62">
        <v>1753.44</v>
      </c>
      <c r="I232" s="62">
        <v>1716.59</v>
      </c>
      <c r="J232" s="62">
        <v>1566.71</v>
      </c>
      <c r="K232" s="60"/>
      <c r="L232" s="60"/>
      <c r="M232" s="60"/>
    </row>
    <row r="233" spans="1:13">
      <c r="A233" s="65">
        <v>46172</v>
      </c>
      <c r="B233" s="71" t="s">
        <v>988</v>
      </c>
      <c r="C233" s="71" t="s">
        <v>1040</v>
      </c>
      <c r="D233" s="71" t="e" vm="201">
        <v>#VALUE!</v>
      </c>
      <c r="E233" s="67">
        <f t="array" aca="1" ref="E233" ca="1">_FV(D233,"Price")</f>
        <v>309.64999999999998</v>
      </c>
      <c r="F233" s="68">
        <f t="array" aca="1" ref="F233" ca="1">_FV(D233,"Previous close",TRUE)</f>
        <v>304.89999999999998</v>
      </c>
      <c r="G233" s="62">
        <v>309.64999999999998</v>
      </c>
      <c r="H233" s="62">
        <v>400.45</v>
      </c>
      <c r="I233" s="62">
        <v>424.6</v>
      </c>
      <c r="J233" s="62">
        <v>490.6</v>
      </c>
      <c r="K233" s="60"/>
      <c r="L233" s="60"/>
      <c r="M233" s="60"/>
    </row>
    <row r="234" spans="1:13">
      <c r="A234" s="65">
        <v>46172</v>
      </c>
      <c r="B234" s="71" t="s">
        <v>1012</v>
      </c>
      <c r="C234" s="71" t="s">
        <v>1040</v>
      </c>
      <c r="D234" s="71" t="e" vm="231">
        <v>#VALUE!</v>
      </c>
      <c r="E234" s="67">
        <f t="array" aca="1" ref="E234" ca="1">_FV(D234,"Price")</f>
        <v>2168.1999999999998</v>
      </c>
      <c r="F234" s="68">
        <f t="array" aca="1" ref="F234" ca="1">_FV(D234,"Previous close",TRUE)</f>
        <v>2128.1</v>
      </c>
      <c r="G234" s="62">
        <v>2168.1999999999998</v>
      </c>
      <c r="H234" s="62">
        <v>1918.95</v>
      </c>
      <c r="I234" s="62">
        <v>1866.25</v>
      </c>
      <c r="J234" s="62">
        <v>1701.91</v>
      </c>
      <c r="K234" s="60"/>
      <c r="L234" s="60"/>
      <c r="M234" s="60"/>
    </row>
    <row r="235" spans="1:13" ht="26.25">
      <c r="A235" s="65">
        <v>46172</v>
      </c>
      <c r="B235" s="71" t="s">
        <v>1043</v>
      </c>
      <c r="C235" s="71" t="s">
        <v>1040</v>
      </c>
      <c r="D235" s="71" t="e" vm="278">
        <v>#VALUE!</v>
      </c>
      <c r="E235" s="67">
        <f t="array" aca="1" ref="E235" ca="1">_FV(D235,"Price")</f>
        <v>1402.3</v>
      </c>
      <c r="F235" s="68">
        <f t="array" aca="1" ref="F235" ca="1">_FV(D235,"Previous close",TRUE)</f>
        <v>1389.4</v>
      </c>
      <c r="G235" s="62">
        <v>1402.3</v>
      </c>
      <c r="H235" s="62">
        <v>1267.78</v>
      </c>
      <c r="I235" s="62">
        <v>1231.42</v>
      </c>
      <c r="J235" s="62">
        <v>1104.78</v>
      </c>
      <c r="K235" s="60"/>
      <c r="L235" s="60"/>
      <c r="M235" s="60"/>
    </row>
    <row r="236" spans="1:13" ht="26.25">
      <c r="A236" s="65">
        <v>46172</v>
      </c>
      <c r="B236" s="71" t="s">
        <v>1044</v>
      </c>
      <c r="C236" s="71" t="s">
        <v>1040</v>
      </c>
      <c r="D236" s="71" t="e" vm="279">
        <v>#VALUE!</v>
      </c>
      <c r="E236" s="67">
        <f t="array" aca="1" ref="E236" ca="1">_FV(D236,"Price")</f>
        <v>437.85</v>
      </c>
      <c r="F236" s="68">
        <f t="array" aca="1" ref="F236" ca="1">_FV(D236,"Previous close",TRUE)</f>
        <v>436.55</v>
      </c>
      <c r="G236" s="62">
        <v>437.85</v>
      </c>
      <c r="H236" s="62">
        <v>347.03</v>
      </c>
      <c r="I236" s="62">
        <v>331.81</v>
      </c>
      <c r="J236" s="62">
        <v>282.37</v>
      </c>
      <c r="K236" s="60"/>
      <c r="L236" s="60"/>
      <c r="M236" s="60"/>
    </row>
    <row r="237" spans="1:13">
      <c r="A237" s="65">
        <v>46172</v>
      </c>
      <c r="B237" s="71" t="s">
        <v>1045</v>
      </c>
      <c r="C237" s="71" t="s">
        <v>1040</v>
      </c>
      <c r="D237" s="71" t="e" vm="280">
        <v>#VALUE!</v>
      </c>
      <c r="E237" s="67">
        <f t="array" aca="1" ref="E237" ca="1">_FV(D237,"Price")</f>
        <v>181.64</v>
      </c>
      <c r="F237" s="68">
        <f t="array" aca="1" ref="F237" ca="1">_FV(D237,"Previous close",TRUE)</f>
        <v>177.8</v>
      </c>
      <c r="G237" s="62">
        <v>181.64</v>
      </c>
      <c r="H237" s="62">
        <v>171.13</v>
      </c>
      <c r="I237" s="62">
        <v>167.53</v>
      </c>
      <c r="J237" s="62">
        <v>157.87</v>
      </c>
      <c r="K237" s="60"/>
      <c r="L237" s="60"/>
      <c r="M237" s="60"/>
    </row>
    <row r="238" spans="1:13" ht="26.25">
      <c r="A238" s="65">
        <v>46172</v>
      </c>
      <c r="B238" s="71" t="s">
        <v>1046</v>
      </c>
      <c r="C238" s="71" t="s">
        <v>1040</v>
      </c>
      <c r="D238" s="71" t="e" vm="281">
        <v>#VALUE!</v>
      </c>
      <c r="E238" s="67">
        <f t="array" aca="1" ref="E238" ca="1">_FV(D238,"Price")</f>
        <v>194.13</v>
      </c>
      <c r="F238" s="68">
        <f t="array" aca="1" ref="F238" ca="1">_FV(D238,"Previous close",TRUE)</f>
        <v>184.89</v>
      </c>
      <c r="G238" s="62">
        <v>194.13</v>
      </c>
      <c r="H238" s="62">
        <v>177.66</v>
      </c>
      <c r="I238" s="62">
        <v>173.12</v>
      </c>
      <c r="J238" s="62">
        <v>160.97</v>
      </c>
      <c r="K238" s="60"/>
      <c r="L238" s="60"/>
      <c r="M238" s="60"/>
    </row>
    <row r="239" spans="1:13">
      <c r="A239" s="65">
        <v>46172</v>
      </c>
      <c r="B239" s="71" t="s">
        <v>105</v>
      </c>
      <c r="C239" s="71" t="s">
        <v>1040</v>
      </c>
      <c r="D239" s="71" t="e" vm="187">
        <v>#VALUE!</v>
      </c>
      <c r="E239" s="67">
        <f t="array" aca="1" ref="E239" ca="1">_FV(D239,"Price")</f>
        <v>159.97</v>
      </c>
      <c r="F239" s="68">
        <f t="array" aca="1" ref="F239" ca="1">_FV(D239,"Previous close",TRUE)</f>
        <v>155.18</v>
      </c>
      <c r="G239" s="62">
        <v>159.97</v>
      </c>
      <c r="H239" s="62">
        <v>127.24</v>
      </c>
      <c r="I239" s="62">
        <v>123.06</v>
      </c>
      <c r="J239" s="62">
        <v>107.6</v>
      </c>
      <c r="K239" s="60"/>
      <c r="L239" s="60"/>
      <c r="M239" s="60"/>
    </row>
    <row r="240" spans="1:13" ht="26.25">
      <c r="A240" s="65">
        <v>46172</v>
      </c>
      <c r="B240" s="71" t="s">
        <v>150</v>
      </c>
      <c r="C240" s="71" t="s">
        <v>1040</v>
      </c>
      <c r="D240" s="71" t="e" vm="188">
        <v>#VALUE!</v>
      </c>
      <c r="E240" s="67">
        <f t="array" aca="1" ref="E240" ca="1">_FV(D240,"Price")</f>
        <v>1394.3</v>
      </c>
      <c r="F240" s="68">
        <f t="array" aca="1" ref="F240" ca="1">_FV(D240,"Previous close",TRUE)</f>
        <v>1390.8</v>
      </c>
      <c r="G240" s="62">
        <v>1394.3</v>
      </c>
      <c r="H240" s="62">
        <v>1292.3499999999999</v>
      </c>
      <c r="I240" s="62">
        <v>1266.02</v>
      </c>
      <c r="J240" s="62">
        <v>1175.55</v>
      </c>
      <c r="K240" s="60"/>
      <c r="L240" s="60"/>
      <c r="M240" s="60"/>
    </row>
    <row r="241" spans="1:13" ht="26.25">
      <c r="A241" s="65">
        <v>46172</v>
      </c>
      <c r="B241" s="71" t="s">
        <v>1047</v>
      </c>
      <c r="C241" s="71" t="s">
        <v>1040</v>
      </c>
      <c r="D241" s="71" t="e" vm="282">
        <v>#VALUE!</v>
      </c>
      <c r="E241" s="67">
        <f t="array" aca="1" ref="E241" ca="1">_FV(D241,"Price")</f>
        <v>2115.1999999999998</v>
      </c>
      <c r="F241" s="68">
        <f t="array" aca="1" ref="F241" ca="1">_FV(D241,"Previous close",TRUE)</f>
        <v>2094.1</v>
      </c>
      <c r="G241" s="62">
        <v>2115.1999999999998</v>
      </c>
      <c r="H241" s="62">
        <v>1948.23</v>
      </c>
      <c r="I241" s="62">
        <v>1919.92</v>
      </c>
      <c r="J241" s="62">
        <v>1822.71</v>
      </c>
      <c r="K241" s="60"/>
      <c r="L241" s="60"/>
      <c r="M241" s="60"/>
    </row>
    <row r="242" spans="1:13" ht="26.25">
      <c r="A242" s="65">
        <v>46172</v>
      </c>
      <c r="B242" s="71" t="s">
        <v>1048</v>
      </c>
      <c r="C242" s="71" t="s">
        <v>1040</v>
      </c>
      <c r="D242" s="71" t="e" vm="283">
        <v>#VALUE!</v>
      </c>
      <c r="E242" s="67">
        <f t="array" aca="1" ref="E242" ca="1">_FV(D242,"Price")</f>
        <v>766.45</v>
      </c>
      <c r="F242" s="68">
        <f t="array" aca="1" ref="F242" ca="1">_FV(D242,"Previous close",TRUE)</f>
        <v>763.15</v>
      </c>
      <c r="G242" s="62">
        <v>766.45</v>
      </c>
      <c r="H242" s="62">
        <v>733.6</v>
      </c>
      <c r="I242" s="62">
        <v>721.41</v>
      </c>
      <c r="J242" s="62">
        <v>675.88</v>
      </c>
      <c r="K242" s="60"/>
      <c r="L242" s="60"/>
      <c r="M242" s="60"/>
    </row>
    <row r="243" spans="1:13" ht="26.25">
      <c r="A243" s="65">
        <v>46172</v>
      </c>
      <c r="B243" s="71" t="s">
        <v>1049</v>
      </c>
      <c r="C243" s="71" t="s">
        <v>1040</v>
      </c>
      <c r="D243" s="71" t="e" vm="284">
        <v>#VALUE!</v>
      </c>
      <c r="E243" s="67">
        <f t="array" aca="1" ref="E243" ca="1">_FV(D243,"Price")</f>
        <v>3606.9</v>
      </c>
      <c r="F243" s="68">
        <f t="array" aca="1" ref="F243" ca="1">_FV(D243,"Previous close",TRUE)</f>
        <v>3412.5</v>
      </c>
      <c r="G243" s="62">
        <v>3606.9</v>
      </c>
      <c r="H243" s="62">
        <v>3395.99</v>
      </c>
      <c r="I243" s="62">
        <v>3335.11</v>
      </c>
      <c r="J243" s="62">
        <v>3155.39</v>
      </c>
      <c r="K243" s="60"/>
      <c r="L243" s="60"/>
      <c r="M243" s="60"/>
    </row>
    <row r="244" spans="1:13" ht="26.25">
      <c r="A244" s="65">
        <v>46172</v>
      </c>
      <c r="B244" s="71" t="s">
        <v>1050</v>
      </c>
      <c r="C244" s="71" t="s">
        <v>1040</v>
      </c>
      <c r="D244" s="71" t="e" vm="285">
        <v>#VALUE!</v>
      </c>
      <c r="E244" s="67">
        <f t="array" aca="1" ref="E244" ca="1">_FV(D244,"Price")</f>
        <v>479.5</v>
      </c>
      <c r="F244" s="68">
        <f t="array" aca="1" ref="F244" ca="1">_FV(D244,"Previous close",TRUE)</f>
        <v>482.25</v>
      </c>
      <c r="G244" s="62">
        <v>479.5</v>
      </c>
      <c r="H244" s="62">
        <v>357.11</v>
      </c>
      <c r="I244" s="62">
        <v>337.92</v>
      </c>
      <c r="J244" s="62">
        <v>279.48</v>
      </c>
      <c r="K244" s="60"/>
      <c r="L244" s="60"/>
      <c r="M244" s="60"/>
    </row>
    <row r="245" spans="1:13" ht="26.25">
      <c r="A245" s="65">
        <v>46172</v>
      </c>
      <c r="B245" s="71" t="s">
        <v>1051</v>
      </c>
      <c r="C245" s="71" t="s">
        <v>1040</v>
      </c>
      <c r="D245" s="71" t="e" vm="286">
        <v>#VALUE!</v>
      </c>
      <c r="E245" s="67">
        <f t="array" aca="1" ref="E245" ca="1">_FV(D245,"Price")</f>
        <v>528.9</v>
      </c>
      <c r="F245" s="68">
        <f t="array" aca="1" ref="F245" ca="1">_FV(D245,"Previous close",TRUE)</f>
        <v>519.4</v>
      </c>
      <c r="G245" s="62">
        <v>528.9</v>
      </c>
      <c r="H245" s="62">
        <v>473.01</v>
      </c>
      <c r="I245" s="62">
        <v>464.3</v>
      </c>
      <c r="J245" s="62">
        <v>442.25</v>
      </c>
      <c r="K245" s="60"/>
      <c r="L245" s="60"/>
      <c r="M245" s="60"/>
    </row>
    <row r="246" spans="1:13" ht="26.25">
      <c r="A246" s="65">
        <v>46172</v>
      </c>
      <c r="B246" s="71" t="s">
        <v>1052</v>
      </c>
      <c r="C246" s="71" t="s">
        <v>1040</v>
      </c>
      <c r="D246" s="71" t="e" vm="287">
        <v>#VALUE!</v>
      </c>
      <c r="E246" s="67">
        <f t="array" aca="1" ref="E246" ca="1">_FV(D246,"Price")</f>
        <v>304.95</v>
      </c>
      <c r="F246" s="68">
        <f t="array" aca="1" ref="F246" ca="1">_FV(D246,"Previous close",TRUE)</f>
        <v>320.95</v>
      </c>
      <c r="G246" s="62">
        <v>304.95</v>
      </c>
      <c r="H246" s="62">
        <v>234.92</v>
      </c>
      <c r="I246" s="62">
        <v>222.71</v>
      </c>
      <c r="J246" s="62">
        <v>190.87</v>
      </c>
      <c r="K246" s="60"/>
      <c r="L246" s="60"/>
      <c r="M246" s="60"/>
    </row>
    <row r="247" spans="1:13" ht="26.25">
      <c r="A247" s="65">
        <v>46172</v>
      </c>
      <c r="B247" s="71" t="s">
        <v>682</v>
      </c>
      <c r="C247" s="71" t="s">
        <v>1040</v>
      </c>
      <c r="D247" s="71" t="e" vm="12">
        <v>#VALUE!</v>
      </c>
      <c r="E247" s="67">
        <f t="array" aca="1" ref="E247" ca="1">_FV(D247,"Price")</f>
        <v>15221</v>
      </c>
      <c r="F247" s="68">
        <f t="array" aca="1" ref="F247" ca="1">_FV(D247,"Previous close",TRUE)</f>
        <v>14551</v>
      </c>
      <c r="G247" s="62">
        <v>15221</v>
      </c>
      <c r="H247" s="62">
        <v>12996.21</v>
      </c>
      <c r="I247" s="62">
        <v>12686.31</v>
      </c>
      <c r="J247" s="62">
        <v>11572.72</v>
      </c>
      <c r="K247" s="60"/>
      <c r="L247" s="60"/>
      <c r="M247" s="60"/>
    </row>
    <row r="248" spans="1:13" ht="26.25">
      <c r="A248" s="65">
        <v>46172</v>
      </c>
      <c r="B248" s="71" t="s">
        <v>1053</v>
      </c>
      <c r="C248" s="71" t="s">
        <v>1040</v>
      </c>
      <c r="D248" s="71" t="e" vm="288">
        <v>#VALUE!</v>
      </c>
      <c r="E248" s="67">
        <f t="array" aca="1" ref="E248" ca="1">_FV(D248,"Price")</f>
        <v>1101.2</v>
      </c>
      <c r="F248" s="68">
        <f t="array" aca="1" ref="F248" ca="1">_FV(D248,"Previous close",TRUE)</f>
        <v>1068.5999999999999</v>
      </c>
      <c r="G248" s="62">
        <v>1101.2</v>
      </c>
      <c r="H248" s="62">
        <v>1039.33</v>
      </c>
      <c r="I248" s="62">
        <v>1027.75</v>
      </c>
      <c r="J248" s="62">
        <v>975.47</v>
      </c>
      <c r="K248" s="60"/>
      <c r="L248" s="60"/>
      <c r="M248" s="60"/>
    </row>
    <row r="249" spans="1:13">
      <c r="A249" s="65">
        <v>46172</v>
      </c>
      <c r="B249" s="71" t="s">
        <v>332</v>
      </c>
      <c r="C249" s="71" t="s">
        <v>1040</v>
      </c>
      <c r="D249" s="71" t="e" vm="154">
        <v>#VALUE!</v>
      </c>
      <c r="E249" s="67">
        <f t="array" aca="1" ref="E249" ca="1">_FV(D249,"Price")</f>
        <v>4041.1</v>
      </c>
      <c r="F249" s="68">
        <f t="array" aca="1" ref="F249" ca="1">_FV(D249,"Previous close",TRUE)</f>
        <v>3888.3</v>
      </c>
      <c r="G249" s="62">
        <v>4041.1</v>
      </c>
      <c r="H249" s="62">
        <v>3815.17</v>
      </c>
      <c r="I249" s="62">
        <v>3736.72</v>
      </c>
      <c r="J249" s="62">
        <v>3431.58</v>
      </c>
      <c r="K249" s="60"/>
      <c r="L249" s="60"/>
      <c r="M249" s="60"/>
    </row>
    <row r="250" spans="1:13" ht="26.25">
      <c r="A250" s="65">
        <v>46172</v>
      </c>
      <c r="B250" s="71" t="s">
        <v>1027</v>
      </c>
      <c r="C250" s="71" t="s">
        <v>1040</v>
      </c>
      <c r="D250" s="71" t="e" vm="255">
        <v>#VALUE!</v>
      </c>
      <c r="E250" s="67">
        <f t="array" aca="1" ref="E250" ca="1">_FV(D250,"Price")</f>
        <v>223.07</v>
      </c>
      <c r="F250" s="68">
        <f t="array" aca="1" ref="F250" ca="1">_FV(D250,"Previous close",TRUE)</f>
        <v>215.51</v>
      </c>
      <c r="G250" s="62">
        <v>223.07</v>
      </c>
      <c r="H250" s="62">
        <v>216.28</v>
      </c>
      <c r="I250" s="62">
        <v>211.26</v>
      </c>
      <c r="J250" s="62">
        <v>191.66</v>
      </c>
      <c r="K250" s="60"/>
      <c r="L250" s="60"/>
      <c r="M250" s="60"/>
    </row>
    <row r="251" spans="1:13" ht="26.25">
      <c r="A251" s="65">
        <v>46172</v>
      </c>
      <c r="B251" s="71" t="s">
        <v>976</v>
      </c>
      <c r="C251" s="71" t="s">
        <v>1040</v>
      </c>
      <c r="D251" s="71" t="e" vm="185">
        <v>#VALUE!</v>
      </c>
      <c r="E251" s="67">
        <f t="array" aca="1" ref="E251" ca="1">_FV(D251,"Price")</f>
        <v>1634.7</v>
      </c>
      <c r="F251" s="68">
        <f t="array" aca="1" ref="F251" ca="1">_FV(D251,"Previous close",TRUE)</f>
        <v>1622.2</v>
      </c>
      <c r="G251" s="62">
        <v>1634.7</v>
      </c>
      <c r="H251" s="62">
        <v>1419.16</v>
      </c>
      <c r="I251" s="62">
        <v>1372.76</v>
      </c>
      <c r="J251" s="62">
        <v>1211.3</v>
      </c>
      <c r="K251" s="60"/>
      <c r="L251" s="60"/>
      <c r="M251" s="60"/>
    </row>
    <row r="252" spans="1:13" ht="26.25">
      <c r="A252" s="65">
        <v>46172</v>
      </c>
      <c r="B252" s="71" t="s">
        <v>1054</v>
      </c>
      <c r="C252" s="71" t="s">
        <v>1040</v>
      </c>
      <c r="D252" s="71" t="e" vm="289">
        <v>#VALUE!</v>
      </c>
      <c r="E252" s="67">
        <f t="array" aca="1" ref="E252" ca="1">_FV(D252,"Price")</f>
        <v>3582.8</v>
      </c>
      <c r="F252" s="68">
        <f t="array" aca="1" ref="F252" ca="1">_FV(D252,"Previous close",TRUE)</f>
        <v>3389.8</v>
      </c>
      <c r="G252" s="62">
        <v>3582.8</v>
      </c>
      <c r="H252" s="62">
        <v>3228.09</v>
      </c>
      <c r="I252" s="62">
        <v>3167.73</v>
      </c>
      <c r="J252" s="62">
        <v>2954.13</v>
      </c>
      <c r="K252" s="60"/>
      <c r="L252" s="60"/>
      <c r="M252" s="60"/>
    </row>
    <row r="253" spans="1:13" ht="26.25">
      <c r="A253" s="65">
        <v>46172</v>
      </c>
      <c r="B253" s="71" t="s">
        <v>1055</v>
      </c>
      <c r="C253" s="71" t="s">
        <v>1040</v>
      </c>
      <c r="D253" s="71" t="e" vm="290">
        <v>#VALUE!</v>
      </c>
      <c r="E253" s="67">
        <f t="array" aca="1" ref="E253" ca="1">_FV(D253,"Price")</f>
        <v>508.95</v>
      </c>
      <c r="F253" s="68">
        <f t="array" aca="1" ref="F253" ca="1">_FV(D253,"Previous close",TRUE)</f>
        <v>490.75</v>
      </c>
      <c r="G253" s="62">
        <v>508.95</v>
      </c>
      <c r="H253" s="62">
        <v>475.34</v>
      </c>
      <c r="I253" s="62">
        <v>464.15</v>
      </c>
      <c r="J253" s="62">
        <v>424.16</v>
      </c>
      <c r="K253" s="60"/>
      <c r="L253" s="60"/>
      <c r="M253" s="60"/>
    </row>
    <row r="254" spans="1:13" ht="26.25">
      <c r="A254" s="65">
        <v>46172</v>
      </c>
      <c r="B254" s="71" t="s">
        <v>226</v>
      </c>
      <c r="C254" s="71" t="s">
        <v>954</v>
      </c>
      <c r="D254" s="71" t="e" vm="263">
        <v>#VALUE!</v>
      </c>
      <c r="E254" s="67">
        <f t="array" aca="1" ref="E254" ca="1">_FV(D254,"Price")</f>
        <v>4587.3999999999996</v>
      </c>
      <c r="F254" s="68">
        <f t="array" aca="1" ref="F254" ca="1">_FV(D254,"Previous close",TRUE)</f>
        <v>4191.3999999999996</v>
      </c>
      <c r="G254" s="62">
        <v>4587.3999999999996</v>
      </c>
      <c r="H254" s="62">
        <v>4201.84</v>
      </c>
      <c r="I254" s="62">
        <v>4117.29</v>
      </c>
      <c r="J254" s="62">
        <v>3827.5</v>
      </c>
      <c r="K254" s="60"/>
      <c r="L254" s="60"/>
      <c r="M254" s="60"/>
    </row>
    <row r="255" spans="1:13">
      <c r="A255" s="65">
        <v>46172</v>
      </c>
      <c r="B255" s="71" t="s">
        <v>1056</v>
      </c>
      <c r="C255" s="71" t="s">
        <v>954</v>
      </c>
      <c r="D255" s="71" t="s">
        <v>1056</v>
      </c>
      <c r="E255" s="67" t="e" vm="291">
        <f t="array" ref="E255">_FV(D255,"Price")</f>
        <v>#VALUE!</v>
      </c>
      <c r="F255" s="68" t="e" vm="292">
        <f t="array" ref="F255">_FV(D255,"Previous close",TRUE)</f>
        <v>#VALUE!</v>
      </c>
      <c r="G255" s="62">
        <v>493.75</v>
      </c>
      <c r="H255" s="62">
        <v>406.76</v>
      </c>
      <c r="I255" s="62">
        <v>397.89</v>
      </c>
      <c r="J255" s="62">
        <v>374.23</v>
      </c>
      <c r="K255" s="60"/>
      <c r="L255" s="60"/>
      <c r="M255" s="60"/>
    </row>
    <row r="256" spans="1:13" ht="26.25">
      <c r="A256" s="65">
        <v>46172</v>
      </c>
      <c r="B256" s="71" t="s">
        <v>256</v>
      </c>
      <c r="C256" s="71" t="s">
        <v>954</v>
      </c>
      <c r="D256" s="71" t="e" vm="293">
        <v>#VALUE!</v>
      </c>
      <c r="E256" s="67">
        <f t="array" aca="1" ref="E256" ca="1">_FV(D256,"Price")</f>
        <v>1993.3</v>
      </c>
      <c r="F256" s="68">
        <f t="array" aca="1" ref="F256" ca="1">_FV(D256,"Previous close",TRUE)</f>
        <v>1893.7</v>
      </c>
      <c r="G256" s="62">
        <v>1993.3</v>
      </c>
      <c r="H256" s="62">
        <v>1571.97</v>
      </c>
      <c r="I256" s="62">
        <v>1519.51</v>
      </c>
      <c r="J256" s="62">
        <v>1373.61</v>
      </c>
      <c r="K256" s="60"/>
      <c r="L256" s="60"/>
      <c r="M256" s="60"/>
    </row>
    <row r="257" spans="1:13" ht="39">
      <c r="A257" s="65">
        <v>46172</v>
      </c>
      <c r="B257" s="71" t="s">
        <v>1057</v>
      </c>
      <c r="C257" s="71" t="s">
        <v>954</v>
      </c>
      <c r="D257" s="71" t="e" vm="294">
        <v>#VALUE!</v>
      </c>
      <c r="E257" s="67">
        <f t="array" aca="1" ref="E257" ca="1">_FV(D257,"Price")</f>
        <v>143.4</v>
      </c>
      <c r="F257" s="68">
        <f t="array" aca="1" ref="F257" ca="1">_FV(D257,"Previous close",TRUE)</f>
        <v>140.74</v>
      </c>
      <c r="G257" s="62">
        <v>143.4</v>
      </c>
      <c r="H257" s="62">
        <v>134.99</v>
      </c>
      <c r="I257" s="62">
        <v>133.16999999999999</v>
      </c>
      <c r="J257" s="62">
        <v>126.96</v>
      </c>
      <c r="K257" s="60"/>
      <c r="L257" s="60"/>
      <c r="M257" s="60"/>
    </row>
    <row r="258" spans="1:13" ht="26.25">
      <c r="A258" s="65">
        <v>46172</v>
      </c>
      <c r="B258" s="71" t="s">
        <v>1058</v>
      </c>
      <c r="C258" s="71" t="s">
        <v>954</v>
      </c>
      <c r="D258" s="71" t="e" vm="295">
        <v>#VALUE!</v>
      </c>
      <c r="E258" s="67">
        <f t="array" aca="1" ref="E258" ca="1">_FV(D258,"Price")</f>
        <v>637.20000000000005</v>
      </c>
      <c r="F258" s="68">
        <f t="array" aca="1" ref="F258" ca="1">_FV(D258,"Previous close",TRUE)</f>
        <v>632.9</v>
      </c>
      <c r="G258" s="62">
        <v>637.20000000000005</v>
      </c>
      <c r="H258" s="62">
        <v>585.30999999999995</v>
      </c>
      <c r="I258" s="62">
        <v>578.58000000000004</v>
      </c>
      <c r="J258" s="62">
        <v>564.39</v>
      </c>
      <c r="K258" s="60"/>
      <c r="L258" s="60"/>
      <c r="M258" s="60"/>
    </row>
    <row r="259" spans="1:13" ht="26.25">
      <c r="A259" s="65">
        <v>46172</v>
      </c>
      <c r="B259" s="71" t="s">
        <v>205</v>
      </c>
      <c r="C259" s="71" t="s">
        <v>954</v>
      </c>
      <c r="D259" s="71" t="e" vm="244">
        <v>#VALUE!</v>
      </c>
      <c r="E259" s="67">
        <f t="array" aca="1" ref="E259" ca="1">_FV(D259,"Price")</f>
        <v>268.25</v>
      </c>
      <c r="F259" s="68">
        <f t="array" aca="1" ref="F259" ca="1">_FV(D259,"Previous close",TRUE)</f>
        <v>263.14999999999998</v>
      </c>
      <c r="G259" s="62">
        <v>268.25</v>
      </c>
      <c r="H259" s="62">
        <v>233.46</v>
      </c>
      <c r="I259" s="62">
        <v>226.35</v>
      </c>
      <c r="J259" s="62">
        <v>205.52</v>
      </c>
      <c r="K259" s="60"/>
      <c r="L259" s="60"/>
      <c r="M259" s="60"/>
    </row>
    <row r="260" spans="1:13" ht="26.25">
      <c r="A260" s="65">
        <v>46172</v>
      </c>
      <c r="B260" s="71" t="s">
        <v>108</v>
      </c>
      <c r="C260" s="71" t="s">
        <v>954</v>
      </c>
      <c r="D260" s="71" t="e" vm="25">
        <v>#VALUE!</v>
      </c>
      <c r="E260" s="67">
        <f t="array" aca="1" ref="E260" ca="1">_FV(D260,"Price")</f>
        <v>530.70000000000005</v>
      </c>
      <c r="F260" s="68">
        <f t="array" aca="1" ref="F260" ca="1">_FV(D260,"Previous close",TRUE)</f>
        <v>520.15</v>
      </c>
      <c r="G260" s="62">
        <v>530.70000000000005</v>
      </c>
      <c r="H260" s="62">
        <v>515.79999999999995</v>
      </c>
      <c r="I260" s="62">
        <v>510.53</v>
      </c>
      <c r="J260" s="62">
        <v>495.82</v>
      </c>
      <c r="K260" s="60"/>
      <c r="L260" s="60"/>
      <c r="M260" s="60"/>
    </row>
    <row r="261" spans="1:13" ht="26.25">
      <c r="A261" s="65">
        <v>46172</v>
      </c>
      <c r="B261" s="71" t="s">
        <v>236</v>
      </c>
      <c r="C261" s="71" t="s">
        <v>954</v>
      </c>
      <c r="D261" s="71" t="e" vm="208">
        <v>#VALUE!</v>
      </c>
      <c r="E261" s="67">
        <f t="array" aca="1" ref="E261" ca="1">_FV(D261,"Price")</f>
        <v>425.85</v>
      </c>
      <c r="F261" s="68">
        <f t="array" aca="1" ref="F261" ca="1">_FV(D261,"Previous close",TRUE)</f>
        <v>435.7</v>
      </c>
      <c r="G261" s="62">
        <v>425.85</v>
      </c>
      <c r="H261" s="62">
        <v>351.55</v>
      </c>
      <c r="I261" s="62">
        <v>341.35</v>
      </c>
      <c r="J261" s="62">
        <v>312.27999999999997</v>
      </c>
      <c r="K261" s="60"/>
      <c r="L261" s="60"/>
      <c r="M261" s="60"/>
    </row>
    <row r="262" spans="1:13" ht="39">
      <c r="A262" s="65">
        <v>46172</v>
      </c>
      <c r="B262" s="71" t="s">
        <v>1059</v>
      </c>
      <c r="C262" s="71" t="s">
        <v>1060</v>
      </c>
      <c r="D262" s="71" t="e" vm="296">
        <v>#VALUE!</v>
      </c>
      <c r="E262" s="67">
        <f t="array" aca="1" ref="E262" ca="1">_FV(D262,"Price")</f>
        <v>519.6</v>
      </c>
      <c r="F262" s="68">
        <f t="array" aca="1" ref="F262" ca="1">_FV(D262,"Previous close",TRUE)</f>
        <v>519.95000000000005</v>
      </c>
      <c r="G262" s="62">
        <v>519.6</v>
      </c>
      <c r="H262" s="62">
        <v>512.39</v>
      </c>
      <c r="I262" s="62">
        <v>508.58</v>
      </c>
      <c r="J262" s="62">
        <v>494.3</v>
      </c>
      <c r="K262" s="60"/>
      <c r="L262" s="60"/>
      <c r="M262" s="60"/>
    </row>
    <row r="263" spans="1:13" ht="26.25">
      <c r="A263" s="65">
        <v>46172</v>
      </c>
      <c r="B263" s="71" t="s">
        <v>1003</v>
      </c>
      <c r="C263" s="71" t="s">
        <v>1060</v>
      </c>
      <c r="D263" s="71" t="e" vm="222">
        <v>#VALUE!</v>
      </c>
      <c r="E263" s="67">
        <f t="array" aca="1" ref="E263" ca="1">_FV(D263,"Price")</f>
        <v>2648.7</v>
      </c>
      <c r="F263" s="68">
        <f t="array" aca="1" ref="F263" ca="1">_FV(D263,"Previous close",TRUE)</f>
        <v>2536.1</v>
      </c>
      <c r="G263" s="62">
        <v>2648.7</v>
      </c>
      <c r="H263" s="62">
        <v>2673.9</v>
      </c>
      <c r="I263" s="62">
        <v>2661.38</v>
      </c>
      <c r="J263" s="62">
        <v>2608.37</v>
      </c>
      <c r="K263" s="60"/>
      <c r="L263" s="60"/>
      <c r="M263" s="60"/>
    </row>
    <row r="264" spans="1:13">
      <c r="A264" s="65">
        <v>46172</v>
      </c>
      <c r="B264" s="71" t="s">
        <v>121</v>
      </c>
      <c r="C264" s="71" t="s">
        <v>1060</v>
      </c>
      <c r="D264" s="71" t="e" vm="172">
        <v>#VALUE!</v>
      </c>
      <c r="E264" s="67">
        <f t="array" aca="1" ref="E264" ca="1">_FV(D264,"Price")</f>
        <v>703.55</v>
      </c>
      <c r="F264" s="68">
        <f t="array" aca="1" ref="F264" ca="1">_FV(D264,"Previous close",TRUE)</f>
        <v>680.35</v>
      </c>
      <c r="G264" s="62">
        <v>703.55</v>
      </c>
      <c r="H264" s="62">
        <v>611.65</v>
      </c>
      <c r="I264" s="62">
        <v>602.67999999999995</v>
      </c>
      <c r="J264" s="62">
        <v>587.28</v>
      </c>
      <c r="K264" s="60"/>
      <c r="L264" s="60"/>
      <c r="M264" s="60"/>
    </row>
    <row r="265" spans="1:13">
      <c r="A265" s="65">
        <v>46172</v>
      </c>
      <c r="B265" s="71" t="s">
        <v>1005</v>
      </c>
      <c r="C265" s="71" t="s">
        <v>1060</v>
      </c>
      <c r="D265" s="71" t="e" vm="224">
        <v>#VALUE!</v>
      </c>
      <c r="E265" s="67">
        <f t="array" aca="1" ref="E265" ca="1">_FV(D265,"Price")</f>
        <v>1687</v>
      </c>
      <c r="F265" s="68">
        <f t="array" aca="1" ref="F265" ca="1">_FV(D265,"Previous close",TRUE)</f>
        <v>1568.2</v>
      </c>
      <c r="G265" s="62">
        <v>1687</v>
      </c>
      <c r="H265" s="62">
        <v>1406.31</v>
      </c>
      <c r="I265" s="62">
        <v>1360.01</v>
      </c>
      <c r="J265" s="62">
        <v>1218.1500000000001</v>
      </c>
      <c r="K265" s="60"/>
      <c r="L265" s="60"/>
      <c r="M265" s="60"/>
    </row>
    <row r="266" spans="1:13" ht="26.25">
      <c r="A266" s="65">
        <v>46172</v>
      </c>
      <c r="B266" s="71" t="s">
        <v>1061</v>
      </c>
      <c r="C266" s="71" t="s">
        <v>1060</v>
      </c>
      <c r="D266" s="71" t="e" vm="297">
        <v>#VALUE!</v>
      </c>
      <c r="E266" s="67">
        <f t="array" aca="1" ref="E266" ca="1">_FV(D266,"Price")</f>
        <v>1966.6</v>
      </c>
      <c r="F266" s="68">
        <f t="array" aca="1" ref="F266" ca="1">_FV(D266,"Previous close",TRUE)</f>
        <v>1966</v>
      </c>
      <c r="G266" s="62">
        <v>1966.6</v>
      </c>
      <c r="H266" s="62">
        <v>1801.64</v>
      </c>
      <c r="I266" s="62">
        <v>1771.35</v>
      </c>
      <c r="J266" s="62">
        <v>1705.8</v>
      </c>
      <c r="K266" s="60"/>
      <c r="L266" s="60"/>
      <c r="M266" s="60"/>
    </row>
    <row r="267" spans="1:13" ht="26.25">
      <c r="A267" s="65">
        <v>46172</v>
      </c>
      <c r="B267" s="71" t="s">
        <v>1062</v>
      </c>
      <c r="C267" s="71" t="s">
        <v>1060</v>
      </c>
      <c r="D267" s="71" t="e" vm="298">
        <v>#VALUE!</v>
      </c>
      <c r="E267" s="67">
        <f t="array" aca="1" ref="E267" ca="1">_FV(D267,"Price")</f>
        <v>1952.9</v>
      </c>
      <c r="F267" s="68">
        <f t="array" aca="1" ref="F267" ca="1">_FV(D267,"Previous close",TRUE)</f>
        <v>1959.9</v>
      </c>
      <c r="G267" s="62">
        <v>1952.9</v>
      </c>
      <c r="H267" s="62">
        <v>1804.09</v>
      </c>
      <c r="I267" s="62">
        <v>1770.15</v>
      </c>
      <c r="J267" s="62">
        <v>1688.84</v>
      </c>
      <c r="K267" s="60"/>
      <c r="L267" s="60"/>
      <c r="M267" s="60"/>
    </row>
    <row r="268" spans="1:13">
      <c r="A268" s="65">
        <v>46172</v>
      </c>
      <c r="B268" s="71" t="s">
        <v>1006</v>
      </c>
      <c r="C268" s="71" t="s">
        <v>1060</v>
      </c>
      <c r="D268" s="71" t="e" vm="225">
        <v>#VALUE!</v>
      </c>
      <c r="E268" s="67">
        <f t="array" aca="1" ref="E268" ca="1">_FV(D268,"Price")</f>
        <v>443.5</v>
      </c>
      <c r="F268" s="68">
        <f t="array" aca="1" ref="F268" ca="1">_FV(D268,"Previous close",TRUE)</f>
        <v>446.2</v>
      </c>
      <c r="G268" s="62">
        <v>443.5</v>
      </c>
      <c r="H268" s="62">
        <v>455.55</v>
      </c>
      <c r="I268" s="62">
        <v>454.06</v>
      </c>
      <c r="J268" s="62">
        <v>443.29</v>
      </c>
      <c r="K268" s="60"/>
      <c r="L268" s="60"/>
      <c r="M268" s="60"/>
    </row>
    <row r="269" spans="1:13" ht="26.25">
      <c r="A269" s="65">
        <v>46172</v>
      </c>
      <c r="B269" s="71" t="s">
        <v>570</v>
      </c>
      <c r="C269" s="71" t="s">
        <v>1060</v>
      </c>
      <c r="D269" s="71" t="e" vm="299">
        <v>#VALUE!</v>
      </c>
      <c r="E269" s="67">
        <f t="array" aca="1" ref="E269" ca="1">_FV(D269,"Price")</f>
        <v>9719.5</v>
      </c>
      <c r="F269" s="68">
        <f t="array" aca="1" ref="F269" ca="1">_FV(D269,"Previous close",TRUE)</f>
        <v>9531.5</v>
      </c>
      <c r="G269" s="62">
        <v>9719.5</v>
      </c>
      <c r="H269" s="62">
        <v>9649.7900000000009</v>
      </c>
      <c r="I269" s="62">
        <v>9584.9</v>
      </c>
      <c r="J269" s="62">
        <v>9214.7099999999991</v>
      </c>
      <c r="K269" s="60"/>
      <c r="L269" s="60"/>
      <c r="M269" s="60"/>
    </row>
    <row r="270" spans="1:13" ht="26.25">
      <c r="A270" s="65">
        <v>46172</v>
      </c>
      <c r="B270" s="71" t="s">
        <v>1038</v>
      </c>
      <c r="C270" s="71" t="s">
        <v>1060</v>
      </c>
      <c r="D270" s="71" t="e" vm="269">
        <v>#VALUE!</v>
      </c>
      <c r="E270" s="67">
        <f t="array" aca="1" ref="E270" ca="1">_FV(D270,"Price")</f>
        <v>37.049999999999997</v>
      </c>
      <c r="F270" s="68">
        <f t="array" aca="1" ref="F270" ca="1">_FV(D270,"Previous close",TRUE)</f>
        <v>35.31</v>
      </c>
      <c r="G270" s="62">
        <v>37.049999999999997</v>
      </c>
      <c r="H270" s="62">
        <v>36.11</v>
      </c>
      <c r="I270" s="62">
        <v>35.67</v>
      </c>
      <c r="J270" s="62">
        <v>33.42</v>
      </c>
      <c r="K270" s="60"/>
      <c r="L270" s="60"/>
      <c r="M270" s="60"/>
    </row>
    <row r="271" spans="1:13" ht="26.25">
      <c r="A271" s="65">
        <v>46172</v>
      </c>
      <c r="B271" s="71" t="s">
        <v>394</v>
      </c>
      <c r="C271" s="71" t="s">
        <v>1060</v>
      </c>
      <c r="D271" s="71" t="e" vm="58">
        <v>#VALUE!</v>
      </c>
      <c r="E271" s="67">
        <f t="array" aca="1" ref="E271" ca="1">_FV(D271,"Price")</f>
        <v>315.7</v>
      </c>
      <c r="F271" s="68">
        <f t="array" aca="1" ref="F271" ca="1">_FV(D271,"Previous close",TRUE)</f>
        <v>309.75</v>
      </c>
      <c r="G271" s="62">
        <v>315.7</v>
      </c>
      <c r="H271" s="62">
        <v>295.08999999999997</v>
      </c>
      <c r="I271" s="62">
        <v>293.05</v>
      </c>
      <c r="J271" s="62">
        <v>283.56</v>
      </c>
      <c r="K271" s="60"/>
      <c r="L271" s="60"/>
      <c r="M271" s="60"/>
    </row>
    <row r="272" spans="1:13" ht="26.25">
      <c r="A272" s="65">
        <v>46172</v>
      </c>
      <c r="B272" s="71" t="s">
        <v>869</v>
      </c>
      <c r="C272" s="71" t="s">
        <v>1060</v>
      </c>
      <c r="D272" s="71" t="e" vm="87">
        <v>#VALUE!</v>
      </c>
      <c r="E272" s="67">
        <f t="array" aca="1" ref="E272" ca="1">_FV(D272,"Price")</f>
        <v>1669.9</v>
      </c>
      <c r="F272" s="68">
        <f t="array" aca="1" ref="F272" ca="1">_FV(D272,"Previous close",TRUE)</f>
        <v>1612.4</v>
      </c>
      <c r="G272" s="62">
        <v>1669.9</v>
      </c>
      <c r="H272" s="62">
        <v>1679.62</v>
      </c>
      <c r="I272" s="62">
        <v>1669.92</v>
      </c>
      <c r="J272" s="62">
        <v>1649.65</v>
      </c>
      <c r="K272" s="60"/>
      <c r="L272" s="60"/>
      <c r="M272" s="60"/>
    </row>
    <row r="273" spans="1:13">
      <c r="A273" s="65">
        <v>46179</v>
      </c>
      <c r="B273" s="60" t="s">
        <v>945</v>
      </c>
      <c r="C273" s="60" t="s">
        <v>947</v>
      </c>
      <c r="D273" s="60" t="e" vm="157">
        <v>#VALUE!</v>
      </c>
      <c r="E273" s="67">
        <f t="array" aca="1" ref="E273" ca="1">_FV(D273,"Price")</f>
        <v>869.1</v>
      </c>
      <c r="F273" s="68">
        <f t="array" aca="1" ref="F273" ca="1">_FV(D273,"Previous close",TRUE)</f>
        <v>870.9</v>
      </c>
      <c r="G273" s="62">
        <v>869.1</v>
      </c>
      <c r="H273" s="62">
        <v>758.68</v>
      </c>
      <c r="I273" s="62">
        <v>726.97</v>
      </c>
      <c r="J273" s="62">
        <v>629.77</v>
      </c>
      <c r="K273" s="60"/>
      <c r="L273" s="60"/>
      <c r="M273" s="60"/>
    </row>
    <row r="274" spans="1:13">
      <c r="A274" s="65">
        <v>46179</v>
      </c>
      <c r="B274" s="60" t="s">
        <v>217</v>
      </c>
      <c r="C274" s="60" t="s">
        <v>947</v>
      </c>
      <c r="D274" s="60" t="e" vm="272">
        <v>#VALUE!</v>
      </c>
      <c r="E274" s="67">
        <f t="array" aca="1" ref="E274" ca="1">_FV(D274,"Price")</f>
        <v>391.95</v>
      </c>
      <c r="F274" s="68">
        <f t="array" aca="1" ref="F274" ca="1">_FV(D274,"Previous close",TRUE)</f>
        <v>385.65</v>
      </c>
      <c r="G274" s="62">
        <v>391.95</v>
      </c>
      <c r="H274" s="62">
        <v>365.76</v>
      </c>
      <c r="I274" s="62">
        <v>361.48</v>
      </c>
      <c r="J274" s="62">
        <v>353.41</v>
      </c>
      <c r="K274" s="60"/>
      <c r="L274" s="60"/>
      <c r="M274" s="60"/>
    </row>
    <row r="275" spans="1:13">
      <c r="A275" s="65">
        <v>46179</v>
      </c>
      <c r="B275" s="60" t="s">
        <v>254</v>
      </c>
      <c r="C275" s="60" t="s">
        <v>947</v>
      </c>
      <c r="D275" s="60" t="e" vm="218">
        <v>#VALUE!</v>
      </c>
      <c r="E275" s="67">
        <f t="array" aca="1" ref="E275" ca="1">_FV(D275,"Price")</f>
        <v>680.5</v>
      </c>
      <c r="F275" s="68">
        <f t="array" aca="1" ref="F275" ca="1">_FV(D275,"Previous close",TRUE)</f>
        <v>680.05</v>
      </c>
      <c r="G275" s="62">
        <v>680.5</v>
      </c>
      <c r="H275" s="62">
        <v>607.38</v>
      </c>
      <c r="I275" s="62">
        <v>593.88</v>
      </c>
      <c r="J275" s="62">
        <v>550.63</v>
      </c>
      <c r="K275" s="60"/>
      <c r="L275" s="60"/>
      <c r="M275" s="60"/>
    </row>
    <row r="276" spans="1:13">
      <c r="A276" s="65">
        <v>46179</v>
      </c>
      <c r="B276" s="60" t="s">
        <v>741</v>
      </c>
      <c r="C276" s="60" t="s">
        <v>947</v>
      </c>
      <c r="D276" s="60" t="e" vm="181">
        <v>#VALUE!</v>
      </c>
      <c r="E276" s="67">
        <f t="array" aca="1" ref="E276" ca="1">_FV(D276,"Price")</f>
        <v>1793.8</v>
      </c>
      <c r="F276" s="68">
        <f t="array" aca="1" ref="F276" ca="1">_FV(D276,"Previous close",TRUE)</f>
        <v>1715.1</v>
      </c>
      <c r="G276" s="62">
        <v>1793.8</v>
      </c>
      <c r="H276" s="62">
        <v>1659.73</v>
      </c>
      <c r="I276" s="62">
        <v>1635.89</v>
      </c>
      <c r="J276" s="62">
        <v>1561.24</v>
      </c>
      <c r="K276" s="60"/>
      <c r="L276" s="60"/>
      <c r="M276" s="60"/>
    </row>
    <row r="277" spans="1:13">
      <c r="A277" s="65">
        <v>46179</v>
      </c>
      <c r="B277" s="60" t="s">
        <v>182</v>
      </c>
      <c r="C277" s="60" t="s">
        <v>947</v>
      </c>
      <c r="D277" s="60" t="e" vm="73">
        <v>#VALUE!</v>
      </c>
      <c r="E277" s="67">
        <f t="array" aca="1" ref="E277" ca="1">_FV(D277,"Price")</f>
        <v>2133</v>
      </c>
      <c r="F277" s="68">
        <f t="array" aca="1" ref="F277" ca="1">_FV(D277,"Previous close",TRUE)</f>
        <v>2054</v>
      </c>
      <c r="G277" s="62">
        <v>2133</v>
      </c>
      <c r="H277" s="62">
        <v>1709.22</v>
      </c>
      <c r="I277" s="62">
        <v>1643.59</v>
      </c>
      <c r="J277" s="62">
        <v>1467.54</v>
      </c>
      <c r="K277" s="60"/>
      <c r="L277" s="60"/>
      <c r="M277" s="60"/>
    </row>
    <row r="278" spans="1:13">
      <c r="A278" s="65">
        <v>46179</v>
      </c>
      <c r="B278" s="60" t="s">
        <v>213</v>
      </c>
      <c r="C278" s="60" t="s">
        <v>947</v>
      </c>
      <c r="D278" s="60" t="e" vm="235">
        <v>#VALUE!</v>
      </c>
      <c r="E278" s="67">
        <f t="array" aca="1" ref="E278" ca="1">_FV(D278,"Price")</f>
        <v>70.42</v>
      </c>
      <c r="F278" s="68">
        <f t="array" aca="1" ref="F278" ca="1">_FV(D278,"Previous close",TRUE)</f>
        <v>72.56</v>
      </c>
      <c r="G278" s="62">
        <v>70.42</v>
      </c>
      <c r="H278" s="62">
        <v>62.25</v>
      </c>
      <c r="I278" s="62">
        <v>60.07</v>
      </c>
      <c r="J278" s="62">
        <v>53.09</v>
      </c>
      <c r="K278" s="60"/>
      <c r="L278" s="60"/>
      <c r="M278" s="60"/>
    </row>
    <row r="279" spans="1:13">
      <c r="A279" s="65">
        <v>46179</v>
      </c>
      <c r="B279" s="60" t="s">
        <v>1063</v>
      </c>
      <c r="C279" s="60" t="s">
        <v>947</v>
      </c>
      <c r="D279" s="60" t="e" vm="300">
        <v>#VALUE!</v>
      </c>
      <c r="E279" s="67">
        <f t="array" aca="1" ref="E279" ca="1">_FV(D279,"Price")</f>
        <v>1485.7</v>
      </c>
      <c r="F279" s="68">
        <f t="array" aca="1" ref="F279" ca="1">_FV(D279,"Previous close",TRUE)</f>
        <v>1454.5</v>
      </c>
      <c r="G279" s="62">
        <v>1485.7</v>
      </c>
      <c r="H279" s="62">
        <v>1349.48</v>
      </c>
      <c r="I279" s="62">
        <v>1312.31</v>
      </c>
      <c r="J279" s="62">
        <v>1194.8800000000001</v>
      </c>
      <c r="K279" s="60"/>
      <c r="L279" s="60"/>
      <c r="M279" s="60"/>
    </row>
    <row r="280" spans="1:13">
      <c r="A280" s="65">
        <v>46179</v>
      </c>
      <c r="B280" s="60" t="s">
        <v>956</v>
      </c>
      <c r="C280" s="60" t="s">
        <v>947</v>
      </c>
      <c r="D280" s="60" t="e" vm="166">
        <v>#VALUE!</v>
      </c>
      <c r="E280" s="67">
        <f t="array" aca="1" ref="E280" ca="1">_FV(D280,"Price")</f>
        <v>836.55</v>
      </c>
      <c r="F280" s="68">
        <f t="array" aca="1" ref="F280" ca="1">_FV(D280,"Previous close",TRUE)</f>
        <v>859.65</v>
      </c>
      <c r="G280" s="62">
        <v>836.55</v>
      </c>
      <c r="H280" s="62">
        <v>744.3</v>
      </c>
      <c r="I280" s="62">
        <v>723.93</v>
      </c>
      <c r="J280" s="62">
        <v>657.63</v>
      </c>
      <c r="K280" s="60"/>
      <c r="L280" s="60"/>
      <c r="M280" s="60"/>
    </row>
    <row r="281" spans="1:13">
      <c r="A281" s="65">
        <v>46179</v>
      </c>
      <c r="B281" s="60" t="s">
        <v>961</v>
      </c>
      <c r="C281" s="60" t="s">
        <v>947</v>
      </c>
      <c r="D281" s="60" t="e" vm="301">
        <v>#VALUE!</v>
      </c>
      <c r="E281" s="67">
        <f t="array" aca="1" ref="E281" ca="1">_FV(D281,"Price")</f>
        <v>495.4</v>
      </c>
      <c r="F281" s="68">
        <f t="array" aca="1" ref="F281" ca="1">_FV(D281,"Previous close",TRUE)</f>
        <v>503.6</v>
      </c>
      <c r="G281" s="62">
        <v>495.4</v>
      </c>
      <c r="H281" s="62">
        <v>476.96</v>
      </c>
      <c r="I281" s="62">
        <v>470.97</v>
      </c>
      <c r="J281" s="62">
        <v>454.43</v>
      </c>
      <c r="K281" s="60"/>
      <c r="L281" s="60"/>
      <c r="M281" s="60"/>
    </row>
    <row r="282" spans="1:13">
      <c r="A282" s="65">
        <v>46179</v>
      </c>
      <c r="B282" s="60" t="s">
        <v>1064</v>
      </c>
      <c r="C282" s="60" t="s">
        <v>947</v>
      </c>
      <c r="D282" s="60" t="e" vm="302">
        <v>#VALUE!</v>
      </c>
      <c r="E282" s="67">
        <f t="array" aca="1" ref="E282" ca="1">_FV(D282,"Price")</f>
        <v>108.28</v>
      </c>
      <c r="F282" s="68">
        <f t="array" aca="1" ref="F282" ca="1">_FV(D282,"Previous close",TRUE)</f>
        <v>108.23</v>
      </c>
      <c r="G282" s="62">
        <v>108.28</v>
      </c>
      <c r="H282" s="62">
        <v>99.64</v>
      </c>
      <c r="I282" s="62">
        <v>98.01</v>
      </c>
      <c r="J282" s="62">
        <v>93.12</v>
      </c>
      <c r="K282" s="60"/>
      <c r="L282" s="60"/>
      <c r="M282" s="60"/>
    </row>
    <row r="283" spans="1:13">
      <c r="A283" s="65">
        <v>46179</v>
      </c>
      <c r="B283" s="60" t="s">
        <v>963</v>
      </c>
      <c r="C283" s="60" t="s">
        <v>947</v>
      </c>
      <c r="D283" s="60" t="e" vm="303">
        <v>#VALUE!</v>
      </c>
      <c r="E283" s="67">
        <f t="array" aca="1" ref="E283" ca="1">_FV(D283,"Price")</f>
        <v>174.42</v>
      </c>
      <c r="F283" s="68">
        <f t="array" aca="1" ref="F283" ca="1">_FV(D283,"Previous close",TRUE)</f>
        <v>167.97</v>
      </c>
      <c r="G283" s="62">
        <v>174.42</v>
      </c>
      <c r="H283" s="62">
        <v>163.58000000000001</v>
      </c>
      <c r="I283" s="62">
        <v>161.47</v>
      </c>
      <c r="J283" s="62">
        <v>155.88999999999999</v>
      </c>
      <c r="K283" s="60"/>
      <c r="L283" s="60"/>
      <c r="M283" s="60"/>
    </row>
    <row r="284" spans="1:13">
      <c r="A284" s="65">
        <v>46179</v>
      </c>
      <c r="B284" s="60" t="s">
        <v>871</v>
      </c>
      <c r="C284" s="60" t="s">
        <v>947</v>
      </c>
      <c r="D284" s="60" t="e" vm="89">
        <v>#VALUE!</v>
      </c>
      <c r="E284" s="67">
        <f t="array" aca="1" ref="E284" ca="1">_FV(D284,"Price")</f>
        <v>371.25</v>
      </c>
      <c r="F284" s="68">
        <f t="array" aca="1" ref="F284" ca="1">_FV(D284,"Previous close",TRUE)</f>
        <v>353.2</v>
      </c>
      <c r="G284" s="62">
        <v>371.25</v>
      </c>
      <c r="H284" s="62">
        <v>326.27</v>
      </c>
      <c r="I284" s="62">
        <v>322.14999999999998</v>
      </c>
      <c r="J284" s="62">
        <v>316.52999999999997</v>
      </c>
      <c r="K284" s="60"/>
      <c r="L284" s="60"/>
      <c r="M284" s="60"/>
    </row>
    <row r="285" spans="1:13">
      <c r="A285" s="65">
        <v>46179</v>
      </c>
      <c r="B285" s="60" t="s">
        <v>126</v>
      </c>
      <c r="C285" s="60" t="s">
        <v>947</v>
      </c>
      <c r="D285" s="60" t="e" vm="15">
        <v>#VALUE!</v>
      </c>
      <c r="E285" s="67">
        <f t="array" aca="1" ref="E285" ca="1">_FV(D285,"Price")</f>
        <v>39.17</v>
      </c>
      <c r="F285" s="68">
        <f t="array" aca="1" ref="F285" ca="1">_FV(D285,"Previous close",TRUE)</f>
        <v>37.03</v>
      </c>
      <c r="G285" s="62">
        <v>39.17</v>
      </c>
      <c r="H285" s="62">
        <v>32.75</v>
      </c>
      <c r="I285" s="62">
        <v>31.56</v>
      </c>
      <c r="J285" s="62">
        <v>28.42</v>
      </c>
      <c r="K285" s="60"/>
      <c r="L285" s="60"/>
      <c r="M285" s="60"/>
    </row>
    <row r="286" spans="1:13">
      <c r="A286" s="65">
        <v>46179</v>
      </c>
      <c r="B286" s="60" t="s">
        <v>215</v>
      </c>
      <c r="C286" s="60" t="s">
        <v>947</v>
      </c>
      <c r="D286" s="60" t="e" vm="274">
        <v>#VALUE!</v>
      </c>
      <c r="E286" s="67">
        <f t="array" aca="1" ref="E286" ca="1">_FV(D286,"Price")</f>
        <v>386.4</v>
      </c>
      <c r="F286" s="68">
        <f t="array" aca="1" ref="F286" ca="1">_FV(D286,"Previous close",TRUE)</f>
        <v>369</v>
      </c>
      <c r="G286" s="62">
        <v>386.4</v>
      </c>
      <c r="H286" s="62">
        <v>352.69</v>
      </c>
      <c r="I286" s="62">
        <v>341.09</v>
      </c>
      <c r="J286" s="62">
        <v>306.5</v>
      </c>
      <c r="K286" s="60"/>
      <c r="L286" s="60"/>
      <c r="M286" s="60"/>
    </row>
    <row r="287" spans="1:13">
      <c r="A287" s="65">
        <v>46179</v>
      </c>
      <c r="B287" s="60" t="s">
        <v>951</v>
      </c>
      <c r="C287" s="60" t="s">
        <v>947</v>
      </c>
      <c r="D287" s="60" t="e" vm="304">
        <v>#VALUE!</v>
      </c>
      <c r="E287" s="67">
        <f t="array" aca="1" ref="E287" ca="1">_FV(D287,"Price")</f>
        <v>59.3</v>
      </c>
      <c r="F287" s="68">
        <f t="array" aca="1" ref="F287" ca="1">_FV(D287,"Previous close",TRUE)</f>
        <v>58.51</v>
      </c>
      <c r="G287" s="62">
        <v>59.3</v>
      </c>
      <c r="H287" s="62">
        <v>50.75</v>
      </c>
      <c r="I287" s="62">
        <v>49.31</v>
      </c>
      <c r="J287" s="62">
        <v>44.7</v>
      </c>
      <c r="K287" s="60"/>
      <c r="L287" s="60"/>
      <c r="M287" s="60"/>
    </row>
    <row r="288" spans="1:13">
      <c r="A288" s="65">
        <v>46179</v>
      </c>
      <c r="B288" s="60" t="s">
        <v>1065</v>
      </c>
      <c r="C288" s="60" t="s">
        <v>947</v>
      </c>
      <c r="D288" s="60" t="e" vm="305">
        <v>#VALUE!</v>
      </c>
      <c r="E288" s="67">
        <f t="array" aca="1" ref="E288" ca="1">_FV(D288,"Price")</f>
        <v>185.04</v>
      </c>
      <c r="F288" s="68">
        <f t="array" aca="1" ref="F288" ca="1">_FV(D288,"Previous close",TRUE)</f>
        <v>176.29</v>
      </c>
      <c r="G288" s="62">
        <v>185.04</v>
      </c>
      <c r="H288" s="62">
        <v>173.41</v>
      </c>
      <c r="I288" s="62">
        <v>171.35</v>
      </c>
      <c r="J288" s="62">
        <v>169.41</v>
      </c>
      <c r="K288" s="60"/>
      <c r="L288" s="60"/>
      <c r="M288" s="60"/>
    </row>
    <row r="289" spans="1:13">
      <c r="A289" s="65">
        <v>46179</v>
      </c>
      <c r="B289" s="60" t="s">
        <v>959</v>
      </c>
      <c r="C289" s="60" t="s">
        <v>947</v>
      </c>
      <c r="D289" s="60" t="e" vm="306">
        <v>#VALUE!</v>
      </c>
      <c r="E289" s="67">
        <f t="array" aca="1" ref="E289" ca="1">_FV(D289,"Price")</f>
        <v>75.540000000000006</v>
      </c>
      <c r="F289" s="68">
        <f t="array" aca="1" ref="F289" ca="1">_FV(D289,"Previous close",TRUE)</f>
        <v>71.39</v>
      </c>
      <c r="G289" s="62">
        <v>75.540000000000006</v>
      </c>
      <c r="H289" s="62">
        <v>69.510000000000005</v>
      </c>
      <c r="I289" s="62">
        <v>68.7</v>
      </c>
      <c r="J289" s="62">
        <v>66.3</v>
      </c>
      <c r="K289" s="60"/>
      <c r="L289" s="60"/>
      <c r="M289" s="60"/>
    </row>
    <row r="290" spans="1:13">
      <c r="A290" s="65">
        <v>46179</v>
      </c>
      <c r="B290" s="60" t="s">
        <v>672</v>
      </c>
      <c r="C290" s="60" t="s">
        <v>947</v>
      </c>
      <c r="D290" s="60" t="e" vm="8">
        <v>#VALUE!</v>
      </c>
      <c r="E290" s="67">
        <f t="array" aca="1" ref="E290" ca="1">_FV(D290,"Price")</f>
        <v>640.25</v>
      </c>
      <c r="F290" s="68">
        <f t="array" aca="1" ref="F290" ca="1">_FV(D290,"Previous close",TRUE)</f>
        <v>635.5</v>
      </c>
      <c r="G290" s="62">
        <v>640.25</v>
      </c>
      <c r="H290" s="62">
        <v>640.79</v>
      </c>
      <c r="I290" s="62">
        <v>632.41999999999996</v>
      </c>
      <c r="J290" s="62">
        <v>603.61</v>
      </c>
      <c r="K290" s="60"/>
      <c r="L290" s="60"/>
      <c r="M290" s="60"/>
    </row>
    <row r="291" spans="1:13">
      <c r="A291" s="65">
        <v>46179</v>
      </c>
      <c r="B291" s="60" t="s">
        <v>648</v>
      </c>
      <c r="C291" s="60" t="s">
        <v>947</v>
      </c>
      <c r="D291" s="60" t="e" vm="168">
        <v>#VALUE!</v>
      </c>
      <c r="E291" s="67">
        <f t="array" aca="1" ref="E291" ca="1">_FV(D291,"Price")</f>
        <v>1104.7</v>
      </c>
      <c r="F291" s="68">
        <f t="array" aca="1" ref="F291" ca="1">_FV(D291,"Previous close",TRUE)</f>
        <v>1105.9000000000001</v>
      </c>
      <c r="G291" s="62">
        <v>1104.7</v>
      </c>
      <c r="H291" s="62">
        <v>1021.95</v>
      </c>
      <c r="I291" s="62">
        <v>1008.55</v>
      </c>
      <c r="J291" s="62">
        <v>973.32</v>
      </c>
      <c r="K291" s="60"/>
      <c r="L291" s="60"/>
      <c r="M291" s="60"/>
    </row>
    <row r="292" spans="1:13">
      <c r="A292" s="65">
        <v>46179</v>
      </c>
      <c r="B292" s="60" t="s">
        <v>228</v>
      </c>
      <c r="C292" s="60" t="s">
        <v>947</v>
      </c>
      <c r="D292" s="60" t="e" vm="275">
        <v>#VALUE!</v>
      </c>
      <c r="E292" s="67">
        <f t="array" aca="1" ref="E292" ca="1">_FV(D292,"Price")</f>
        <v>544.65</v>
      </c>
      <c r="F292" s="68">
        <f t="array" aca="1" ref="F292" ca="1">_FV(D292,"Previous close",TRUE)</f>
        <v>520.79999999999995</v>
      </c>
      <c r="G292" s="62">
        <v>544.65</v>
      </c>
      <c r="H292" s="62">
        <v>491.47</v>
      </c>
      <c r="I292" s="62">
        <v>480.57</v>
      </c>
      <c r="J292" s="62">
        <v>454.16</v>
      </c>
      <c r="K292" s="60"/>
      <c r="L292" s="60"/>
      <c r="M292" s="60"/>
    </row>
    <row r="293" spans="1:13">
      <c r="A293" s="65">
        <v>46179</v>
      </c>
      <c r="B293" s="60" t="s">
        <v>178</v>
      </c>
      <c r="C293" s="60" t="s">
        <v>947</v>
      </c>
      <c r="D293" s="60" t="e" vm="307">
        <v>#VALUE!</v>
      </c>
      <c r="E293" s="67">
        <f t="array" aca="1" ref="E293" ca="1">_FV(D293,"Price")</f>
        <v>761</v>
      </c>
      <c r="F293" s="68">
        <f t="array" aca="1" ref="F293" ca="1">_FV(D293,"Previous close",TRUE)</f>
        <v>731.45</v>
      </c>
      <c r="G293" s="62">
        <v>761</v>
      </c>
      <c r="H293" s="62">
        <v>677.36</v>
      </c>
      <c r="I293" s="62">
        <v>665.98</v>
      </c>
      <c r="J293" s="62">
        <v>644.1</v>
      </c>
      <c r="K293" s="60"/>
      <c r="L293" s="60"/>
      <c r="M293" s="60"/>
    </row>
    <row r="294" spans="1:13">
      <c r="A294" s="65">
        <v>46179</v>
      </c>
      <c r="B294" s="60" t="s">
        <v>971</v>
      </c>
      <c r="C294" s="60" t="s">
        <v>947</v>
      </c>
      <c r="D294" s="60" t="e" vm="180">
        <v>#VALUE!</v>
      </c>
      <c r="E294" s="67">
        <f t="array" aca="1" ref="E294" ca="1">_FV(D294,"Price")</f>
        <v>226.32</v>
      </c>
      <c r="F294" s="68">
        <f t="array" aca="1" ref="F294" ca="1">_FV(D294,"Previous close",TRUE)</f>
        <v>219.69</v>
      </c>
      <c r="G294" s="62">
        <v>226.32</v>
      </c>
      <c r="H294" s="62">
        <v>207.83</v>
      </c>
      <c r="I294" s="62">
        <v>202.45</v>
      </c>
      <c r="J294" s="62">
        <v>185.07</v>
      </c>
      <c r="K294" s="60"/>
      <c r="L294" s="60"/>
      <c r="M294" s="60"/>
    </row>
    <row r="295" spans="1:13">
      <c r="A295" s="65">
        <v>46179</v>
      </c>
      <c r="B295" s="60" t="s">
        <v>189</v>
      </c>
      <c r="C295" s="60" t="s">
        <v>947</v>
      </c>
      <c r="D295" s="60" t="e" vm="248">
        <v>#VALUE!</v>
      </c>
      <c r="E295" s="67">
        <f t="array" aca="1" ref="E295" ca="1">_FV(D295,"Price")</f>
        <v>1489.6</v>
      </c>
      <c r="F295" s="68">
        <f t="array" aca="1" ref="F295" ca="1">_FV(D295,"Previous close",TRUE)</f>
        <v>1466.7</v>
      </c>
      <c r="G295" s="62">
        <v>1489.6</v>
      </c>
      <c r="H295" s="62">
        <v>1387.24</v>
      </c>
      <c r="I295" s="62">
        <v>1353.98</v>
      </c>
      <c r="J295" s="62">
        <v>1234.21</v>
      </c>
      <c r="K295" s="60"/>
      <c r="L295" s="60"/>
      <c r="M295" s="60"/>
    </row>
    <row r="296" spans="1:13">
      <c r="A296" s="65">
        <v>46179</v>
      </c>
      <c r="B296" s="60" t="s">
        <v>967</v>
      </c>
      <c r="C296" s="60" t="s">
        <v>947</v>
      </c>
      <c r="D296" s="60" t="e" vm="175">
        <v>#VALUE!</v>
      </c>
      <c r="E296" s="67">
        <f t="array" aca="1" ref="E296" ca="1">_FV(D296,"Price")</f>
        <v>1583</v>
      </c>
      <c r="F296" s="68">
        <f t="array" aca="1" ref="F296" ca="1">_FV(D296,"Previous close",TRUE)</f>
        <v>1613.6</v>
      </c>
      <c r="G296" s="62">
        <v>1583</v>
      </c>
      <c r="H296" s="62">
        <v>1568.15</v>
      </c>
      <c r="I296" s="62">
        <v>1561.05</v>
      </c>
      <c r="J296" s="62">
        <v>1530.87</v>
      </c>
      <c r="K296" s="60"/>
      <c r="L296" s="60"/>
      <c r="M296" s="60"/>
    </row>
    <row r="297" spans="1:13">
      <c r="A297" s="65">
        <v>46179</v>
      </c>
      <c r="B297" s="60" t="s">
        <v>958</v>
      </c>
      <c r="C297" s="60" t="s">
        <v>947</v>
      </c>
      <c r="D297" s="60" t="e" vm="233">
        <v>#VALUE!</v>
      </c>
      <c r="E297" s="67">
        <f t="array" aca="1" ref="E297" ca="1">_FV(D297,"Price")</f>
        <v>1578.6</v>
      </c>
      <c r="F297" s="68">
        <f t="array" aca="1" ref="F297" ca="1">_FV(D297,"Previous close",TRUE)</f>
        <v>1435.1</v>
      </c>
      <c r="G297" s="62">
        <v>1578.6</v>
      </c>
      <c r="H297" s="62">
        <v>1321.69</v>
      </c>
      <c r="I297" s="62">
        <v>1283.75</v>
      </c>
      <c r="J297" s="62">
        <v>1200.17</v>
      </c>
      <c r="K297" s="60"/>
      <c r="L297" s="60"/>
      <c r="M297" s="60"/>
    </row>
    <row r="298" spans="1:13">
      <c r="A298" s="65">
        <v>46179</v>
      </c>
      <c r="B298" s="60" t="s">
        <v>1017</v>
      </c>
      <c r="C298" s="60" t="s">
        <v>947</v>
      </c>
      <c r="D298" s="60" t="e" vm="239">
        <v>#VALUE!</v>
      </c>
      <c r="E298" s="67">
        <f t="array" aca="1" ref="E298" ca="1">_FV(D298,"Price")</f>
        <v>599.6</v>
      </c>
      <c r="F298" s="68">
        <f t="array" aca="1" ref="F298" ca="1">_FV(D298,"Previous close",TRUE)</f>
        <v>609.25</v>
      </c>
      <c r="G298" s="62">
        <v>599.6</v>
      </c>
      <c r="H298" s="62">
        <v>584.1</v>
      </c>
      <c r="I298" s="62">
        <v>576.45000000000005</v>
      </c>
      <c r="J298" s="62">
        <v>557.57000000000005</v>
      </c>
      <c r="K298" s="60"/>
      <c r="L298" s="60"/>
      <c r="M298" s="60"/>
    </row>
    <row r="299" spans="1:13">
      <c r="A299" s="65">
        <v>46179</v>
      </c>
      <c r="B299" s="60" t="s">
        <v>1066</v>
      </c>
      <c r="C299" s="60" t="s">
        <v>947</v>
      </c>
      <c r="D299" s="60" t="e" vm="308">
        <v>#VALUE!</v>
      </c>
      <c r="E299" s="67">
        <f t="array" aca="1" ref="E299" ca="1">_FV(D299,"Price")</f>
        <v>1577.8</v>
      </c>
      <c r="F299" s="68">
        <f t="array" aca="1" ref="F299" ca="1">_FV(D299,"Previous close",TRUE)</f>
        <v>1524</v>
      </c>
      <c r="G299" s="62">
        <v>1577.8</v>
      </c>
      <c r="H299" s="62">
        <v>1481.09</v>
      </c>
      <c r="I299" s="62">
        <v>1461.23</v>
      </c>
      <c r="J299" s="62">
        <v>1404.39</v>
      </c>
      <c r="K299" s="60"/>
      <c r="L299" s="60"/>
      <c r="M299" s="60"/>
    </row>
    <row r="300" spans="1:13">
      <c r="A300" s="65">
        <v>46179</v>
      </c>
      <c r="B300" s="60" t="s">
        <v>1067</v>
      </c>
      <c r="C300" s="60" t="s">
        <v>947</v>
      </c>
      <c r="D300" s="60" t="e" vm="309">
        <v>#VALUE!</v>
      </c>
      <c r="E300" s="67">
        <f t="array" aca="1" ref="E300" ca="1">_FV(D300,"Price")</f>
        <v>1598.5</v>
      </c>
      <c r="F300" s="68">
        <f t="array" aca="1" ref="F300" ca="1">_FV(D300,"Previous close",TRUE)</f>
        <v>1588.4</v>
      </c>
      <c r="G300" s="62">
        <v>1598.5</v>
      </c>
      <c r="H300" s="62">
        <v>1467.03</v>
      </c>
      <c r="I300" s="62">
        <v>1445.63</v>
      </c>
      <c r="J300" s="62">
        <v>1395.97</v>
      </c>
      <c r="K300" s="60"/>
      <c r="L300" s="60"/>
      <c r="M300" s="60"/>
    </row>
    <row r="301" spans="1:13">
      <c r="A301" s="65">
        <v>46179</v>
      </c>
      <c r="B301" s="60" t="s">
        <v>1068</v>
      </c>
      <c r="C301" s="60" t="s">
        <v>947</v>
      </c>
      <c r="D301" s="60" t="e" vm="310">
        <v>#VALUE!</v>
      </c>
      <c r="E301" s="67">
        <f t="array" aca="1" ref="E301" ca="1">_FV(D301,"Price")</f>
        <v>23.51</v>
      </c>
      <c r="F301" s="68">
        <f t="array" aca="1" ref="F301" ca="1">_FV(D301,"Previous close",TRUE)</f>
        <v>23.48</v>
      </c>
      <c r="G301" s="62">
        <v>23.51</v>
      </c>
      <c r="H301" s="62">
        <v>19.72</v>
      </c>
      <c r="I301" s="62">
        <v>19.010000000000002</v>
      </c>
      <c r="J301" s="62">
        <v>17.11</v>
      </c>
      <c r="K301" s="60"/>
      <c r="L301" s="60"/>
      <c r="M301" s="60"/>
    </row>
    <row r="302" spans="1:13">
      <c r="A302" s="65">
        <v>46179</v>
      </c>
      <c r="B302" s="60" t="s">
        <v>957</v>
      </c>
      <c r="C302" s="60" t="s">
        <v>947</v>
      </c>
      <c r="D302" s="60" t="e" vm="311">
        <v>#VALUE!</v>
      </c>
      <c r="E302" s="67">
        <f t="array" aca="1" ref="E302" ca="1">_FV(D302,"Price")</f>
        <v>112.6</v>
      </c>
      <c r="F302" s="68">
        <f t="array" aca="1" ref="F302" ca="1">_FV(D302,"Previous close",TRUE)</f>
        <v>111.45</v>
      </c>
      <c r="G302" s="62">
        <v>112.6</v>
      </c>
      <c r="H302" s="62">
        <v>96.21</v>
      </c>
      <c r="I302" s="62">
        <v>94.62</v>
      </c>
      <c r="J302" s="62">
        <v>92.24</v>
      </c>
      <c r="K302" s="60"/>
      <c r="L302" s="60"/>
      <c r="M302" s="60"/>
    </row>
    <row r="303" spans="1:13">
      <c r="A303" s="65">
        <v>46179</v>
      </c>
      <c r="B303" s="60" t="s">
        <v>1069</v>
      </c>
      <c r="C303" s="60" t="s">
        <v>947</v>
      </c>
      <c r="D303" s="60" t="e" vm="312">
        <v>#VALUE!</v>
      </c>
      <c r="E303" s="67">
        <f t="array" aca="1" ref="E303" ca="1">_FV(D303,"Price")</f>
        <v>244.02</v>
      </c>
      <c r="F303" s="68">
        <f t="array" aca="1" ref="F303" ca="1">_FV(D303,"Previous close",TRUE)</f>
        <v>242.12</v>
      </c>
      <c r="G303" s="62">
        <v>244.02</v>
      </c>
      <c r="H303" s="62">
        <v>214.9</v>
      </c>
      <c r="I303" s="62">
        <v>212</v>
      </c>
      <c r="J303" s="62">
        <v>208.52</v>
      </c>
      <c r="K303" s="60"/>
      <c r="L303" s="60"/>
      <c r="M303" s="60"/>
    </row>
    <row r="304" spans="1:13">
      <c r="A304" s="65">
        <v>46179</v>
      </c>
      <c r="B304" s="60" t="s">
        <v>207</v>
      </c>
      <c r="C304" s="60" t="s">
        <v>947</v>
      </c>
      <c r="D304" s="60" t="e" vm="246">
        <v>#VALUE!</v>
      </c>
      <c r="E304" s="67">
        <f t="array" aca="1" ref="E304" ca="1">_FV(D304,"Price")</f>
        <v>4726.3</v>
      </c>
      <c r="F304" s="68">
        <f t="array" aca="1" ref="F304" ca="1">_FV(D304,"Previous close",TRUE)</f>
        <v>4571.3</v>
      </c>
      <c r="G304" s="62">
        <v>4726.3</v>
      </c>
      <c r="H304" s="62">
        <v>4445.09</v>
      </c>
      <c r="I304" s="62">
        <v>4339.2299999999996</v>
      </c>
      <c r="J304" s="62">
        <v>3964.46</v>
      </c>
      <c r="K304" s="60"/>
      <c r="L304" s="60"/>
      <c r="M304" s="60"/>
    </row>
    <row r="305" spans="1:13">
      <c r="A305" s="65">
        <v>46179</v>
      </c>
      <c r="B305" s="60" t="s">
        <v>210</v>
      </c>
      <c r="C305" s="60" t="s">
        <v>947</v>
      </c>
      <c r="D305" s="60" t="e" vm="271">
        <v>#VALUE!</v>
      </c>
      <c r="E305" s="67">
        <f t="array" aca="1" ref="E305" ca="1">_FV(D305,"Price")</f>
        <v>6770.5</v>
      </c>
      <c r="F305" s="68">
        <f t="array" aca="1" ref="F305" ca="1">_FV(D305,"Previous close",TRUE)</f>
        <v>6719</v>
      </c>
      <c r="G305" s="62">
        <v>6770.5</v>
      </c>
      <c r="H305" s="62">
        <v>6841.8</v>
      </c>
      <c r="I305" s="62">
        <v>6780.83</v>
      </c>
      <c r="J305" s="62">
        <v>6468.11</v>
      </c>
      <c r="K305" s="60"/>
      <c r="L305" s="60"/>
      <c r="M305" s="60"/>
    </row>
    <row r="306" spans="1:13">
      <c r="A306" s="65">
        <v>46179</v>
      </c>
      <c r="B306" s="60" t="s">
        <v>953</v>
      </c>
      <c r="C306" s="60" t="s">
        <v>947</v>
      </c>
      <c r="D306" s="60" t="e" vm="161">
        <v>#VALUE!</v>
      </c>
      <c r="E306" s="67">
        <f t="array" aca="1" ref="E306" ca="1">_FV(D306,"Price")</f>
        <v>495</v>
      </c>
      <c r="F306" s="68">
        <f t="array" aca="1" ref="F306" ca="1">_FV(D306,"Previous close",TRUE)</f>
        <v>478.65</v>
      </c>
      <c r="G306" s="62">
        <v>495</v>
      </c>
      <c r="H306" s="62">
        <v>482.47</v>
      </c>
      <c r="I306" s="62">
        <v>473.6</v>
      </c>
      <c r="J306" s="62">
        <v>436.64</v>
      </c>
      <c r="K306" s="60"/>
      <c r="L306" s="60"/>
      <c r="M306" s="60"/>
    </row>
    <row r="307" spans="1:13">
      <c r="A307" s="65">
        <v>46179</v>
      </c>
      <c r="B307" s="60" t="s">
        <v>220</v>
      </c>
      <c r="C307" s="60" t="s">
        <v>947</v>
      </c>
      <c r="D307" s="60" t="e" vm="273">
        <v>#VALUE!</v>
      </c>
      <c r="E307" s="67">
        <f t="array" aca="1" ref="E307" ca="1">_FV(D307,"Price")</f>
        <v>1035.8</v>
      </c>
      <c r="F307" s="68">
        <f t="array" aca="1" ref="F307" ca="1">_FV(D307,"Previous close",TRUE)</f>
        <v>1012.9</v>
      </c>
      <c r="G307" s="62">
        <v>1035.8</v>
      </c>
      <c r="H307" s="62">
        <v>1024.53</v>
      </c>
      <c r="I307" s="62">
        <v>1009.37</v>
      </c>
      <c r="J307" s="62">
        <v>951.4</v>
      </c>
      <c r="K307" s="60"/>
      <c r="L307" s="60"/>
      <c r="M307" s="60"/>
    </row>
    <row r="308" spans="1:13">
      <c r="A308" s="65">
        <v>46179</v>
      </c>
      <c r="B308" s="60" t="s">
        <v>121</v>
      </c>
      <c r="C308" s="60" t="s">
        <v>947</v>
      </c>
      <c r="D308" s="60" t="e" vm="172">
        <v>#VALUE!</v>
      </c>
      <c r="E308" s="67">
        <f t="array" aca="1" ref="E308" ca="1">_FV(D308,"Price")</f>
        <v>703.55</v>
      </c>
      <c r="F308" s="68">
        <f t="array" aca="1" ref="F308" ca="1">_FV(D308,"Previous close",TRUE)</f>
        <v>680.35</v>
      </c>
      <c r="G308" s="62">
        <v>703.55</v>
      </c>
      <c r="H308" s="62">
        <v>611.65</v>
      </c>
      <c r="I308" s="62">
        <v>602.67999999999995</v>
      </c>
      <c r="J308" s="62">
        <v>587.28</v>
      </c>
      <c r="K308" s="60"/>
      <c r="L308" s="60"/>
      <c r="M308" s="60"/>
    </row>
    <row r="309" spans="1:13">
      <c r="A309" s="65">
        <v>46179</v>
      </c>
      <c r="B309" s="60" t="s">
        <v>952</v>
      </c>
      <c r="C309" s="60" t="s">
        <v>947</v>
      </c>
      <c r="D309" s="60" t="e" vm="313">
        <v>#VALUE!</v>
      </c>
      <c r="E309" s="67">
        <f t="array" aca="1" ref="E309" ca="1">_FV(D309,"Price")</f>
        <v>1207.0999999999999</v>
      </c>
      <c r="F309" s="68">
        <f t="array" aca="1" ref="F309" ca="1">_FV(D309,"Previous close",TRUE)</f>
        <v>1173.5999999999999</v>
      </c>
      <c r="G309" s="62">
        <v>1207.0999999999999</v>
      </c>
      <c r="H309" s="62">
        <v>1119.6500000000001</v>
      </c>
      <c r="I309" s="62">
        <v>1106.26</v>
      </c>
      <c r="J309" s="62">
        <v>1069.6400000000001</v>
      </c>
      <c r="K309" s="60"/>
      <c r="L309" s="60"/>
      <c r="M309" s="60"/>
    </row>
    <row r="310" spans="1:13">
      <c r="A310" s="65">
        <v>46179</v>
      </c>
      <c r="B310" s="60" t="s">
        <v>946</v>
      </c>
      <c r="C310" s="60" t="s">
        <v>947</v>
      </c>
      <c r="D310" s="60" t="e" vm="314">
        <v>#VALUE!</v>
      </c>
      <c r="E310" s="67">
        <f t="array" aca="1" ref="E310" ca="1">_FV(D310,"Price")</f>
        <v>593.6</v>
      </c>
      <c r="F310" s="68">
        <f t="array" aca="1" ref="F310" ca="1">_FV(D310,"Previous close",TRUE)</f>
        <v>556.54999999999995</v>
      </c>
      <c r="G310" s="62">
        <v>593.6</v>
      </c>
      <c r="H310" s="62">
        <v>439.6</v>
      </c>
      <c r="I310" s="62">
        <v>417.94</v>
      </c>
      <c r="J310" s="62">
        <v>351.58</v>
      </c>
      <c r="K310" s="60"/>
      <c r="L310" s="60"/>
      <c r="M310" s="60"/>
    </row>
    <row r="311" spans="1:13">
      <c r="A311" s="65">
        <v>46179</v>
      </c>
      <c r="B311" s="60" t="s">
        <v>851</v>
      </c>
      <c r="C311" s="60" t="s">
        <v>947</v>
      </c>
      <c r="D311" s="60" t="e" vm="67">
        <v>#VALUE!</v>
      </c>
      <c r="E311" s="67">
        <f t="array" aca="1" ref="E311" ca="1">_FV(D311,"Price")</f>
        <v>466.55</v>
      </c>
      <c r="F311" s="68">
        <f t="array" aca="1" ref="F311" ca="1">_FV(D311,"Previous close",TRUE)</f>
        <v>444.5</v>
      </c>
      <c r="G311" s="62">
        <v>466.55</v>
      </c>
      <c r="H311" s="62">
        <v>420.66</v>
      </c>
      <c r="I311" s="62">
        <v>417.08</v>
      </c>
      <c r="J311" s="62">
        <v>414.73</v>
      </c>
      <c r="K311" s="60"/>
      <c r="L311" s="60"/>
      <c r="M311" s="60"/>
    </row>
    <row r="312" spans="1:13">
      <c r="A312" s="65">
        <v>46179</v>
      </c>
      <c r="B312" s="60" t="s">
        <v>173</v>
      </c>
      <c r="C312" s="60" t="s">
        <v>1040</v>
      </c>
      <c r="D312" s="60" t="e" vm="216">
        <v>#VALUE!</v>
      </c>
      <c r="E312" s="67">
        <f t="array" aca="1" ref="E312" ca="1">_FV(D312,"Price")</f>
        <v>1443.8</v>
      </c>
      <c r="F312" s="68">
        <f t="array" aca="1" ref="F312" ca="1">_FV(D312,"Previous close",TRUE)</f>
        <v>1396.3</v>
      </c>
      <c r="G312" s="62">
        <v>1443.8</v>
      </c>
      <c r="H312" s="62">
        <v>1252.25</v>
      </c>
      <c r="I312" s="62">
        <v>1221.28</v>
      </c>
      <c r="J312" s="62">
        <v>1130.3800000000001</v>
      </c>
      <c r="K312" s="60"/>
      <c r="L312" s="60"/>
      <c r="M312" s="60"/>
    </row>
    <row r="313" spans="1:13">
      <c r="A313" s="65">
        <v>46179</v>
      </c>
      <c r="B313" s="60" t="s">
        <v>595</v>
      </c>
      <c r="C313" s="60" t="s">
        <v>1040</v>
      </c>
      <c r="D313" s="60" t="e" vm="10">
        <v>#VALUE!</v>
      </c>
      <c r="E313" s="67">
        <f t="array" aca="1" ref="E313" ca="1">_FV(D313,"Price")</f>
        <v>3145.3</v>
      </c>
      <c r="F313" s="68">
        <f t="array" aca="1" ref="F313" ca="1">_FV(D313,"Previous close",TRUE)</f>
        <v>3128.1</v>
      </c>
      <c r="G313" s="62">
        <v>3145.3</v>
      </c>
      <c r="H313" s="62">
        <v>2879.69</v>
      </c>
      <c r="I313" s="62">
        <v>2804.32</v>
      </c>
      <c r="J313" s="62">
        <v>2515.56</v>
      </c>
      <c r="K313" s="60"/>
      <c r="L313" s="60"/>
      <c r="M313" s="60"/>
    </row>
    <row r="314" spans="1:13">
      <c r="A314" s="65">
        <v>46179</v>
      </c>
      <c r="B314" s="60" t="s">
        <v>180</v>
      </c>
      <c r="C314" s="60" t="s">
        <v>1040</v>
      </c>
      <c r="D314" s="60" t="e" vm="163">
        <v>#VALUE!</v>
      </c>
      <c r="E314" s="67">
        <f t="array" aca="1" ref="E314" ca="1">_FV(D314,"Price")</f>
        <v>409.4</v>
      </c>
      <c r="F314" s="68">
        <f t="array" aca="1" ref="F314" ca="1">_FV(D314,"Previous close",TRUE)</f>
        <v>381.75</v>
      </c>
      <c r="G314" s="62">
        <v>409.4</v>
      </c>
      <c r="H314" s="62">
        <v>349.68</v>
      </c>
      <c r="I314" s="62">
        <v>337.34</v>
      </c>
      <c r="J314" s="62">
        <v>301.93</v>
      </c>
      <c r="K314" s="60"/>
      <c r="L314" s="60"/>
      <c r="M314" s="60"/>
    </row>
    <row r="315" spans="1:13">
      <c r="A315" s="65">
        <v>46179</v>
      </c>
      <c r="B315" s="60" t="s">
        <v>150</v>
      </c>
      <c r="C315" s="60" t="s">
        <v>1040</v>
      </c>
      <c r="D315" s="60" t="e" vm="188">
        <v>#VALUE!</v>
      </c>
      <c r="E315" s="67">
        <f t="array" aca="1" ref="E315" ca="1">_FV(D315,"Price")</f>
        <v>1394.3</v>
      </c>
      <c r="F315" s="68">
        <f t="array" aca="1" ref="F315" ca="1">_FV(D315,"Previous close",TRUE)</f>
        <v>1390.8</v>
      </c>
      <c r="G315" s="62">
        <v>1394.3</v>
      </c>
      <c r="H315" s="62">
        <v>1292.3499999999999</v>
      </c>
      <c r="I315" s="62">
        <v>1266.02</v>
      </c>
      <c r="J315" s="62">
        <v>1175.55</v>
      </c>
      <c r="K315" s="60"/>
      <c r="L315" s="60"/>
      <c r="M315" s="60"/>
    </row>
    <row r="316" spans="1:13">
      <c r="A316" s="65">
        <v>46179</v>
      </c>
      <c r="B316" s="60" t="s">
        <v>830</v>
      </c>
      <c r="C316" s="60" t="s">
        <v>1040</v>
      </c>
      <c r="D316" s="60" t="e" vm="42">
        <v>#VALUE!</v>
      </c>
      <c r="E316" s="67">
        <f t="array" aca="1" ref="E316" ca="1">_FV(D316,"Price")</f>
        <v>4545.7</v>
      </c>
      <c r="F316" s="68">
        <f t="array" aca="1" ref="F316" ca="1">_FV(D316,"Previous close",TRUE)</f>
        <v>4205</v>
      </c>
      <c r="G316" s="62">
        <v>4545.7</v>
      </c>
      <c r="H316" s="62">
        <v>4012.95</v>
      </c>
      <c r="I316" s="62">
        <v>3928.43</v>
      </c>
      <c r="J316" s="62">
        <v>3607.65</v>
      </c>
      <c r="K316" s="60"/>
      <c r="L316" s="60"/>
      <c r="M316" s="60"/>
    </row>
    <row r="317" spans="1:13">
      <c r="A317" s="65">
        <v>46179</v>
      </c>
      <c r="B317" s="60" t="s">
        <v>663</v>
      </c>
      <c r="C317" s="60" t="s">
        <v>1040</v>
      </c>
      <c r="D317" s="60" t="e" vm="5">
        <v>#VALUE!</v>
      </c>
      <c r="E317" s="67">
        <f t="array" aca="1" ref="E317" ca="1">_FV(D317,"Price")</f>
        <v>1266.7</v>
      </c>
      <c r="F317" s="68">
        <f t="array" aca="1" ref="F317" ca="1">_FV(D317,"Previous close",TRUE)</f>
        <v>1235.5999999999999</v>
      </c>
      <c r="G317" s="62">
        <v>1266.7</v>
      </c>
      <c r="H317" s="62">
        <v>1082.26</v>
      </c>
      <c r="I317" s="62">
        <v>1054.5999999999999</v>
      </c>
      <c r="J317" s="62">
        <v>963.31</v>
      </c>
      <c r="K317" s="60"/>
      <c r="L317" s="60"/>
      <c r="M317" s="60"/>
    </row>
    <row r="318" spans="1:13">
      <c r="A318" s="65">
        <v>46179</v>
      </c>
      <c r="B318" s="60" t="s">
        <v>986</v>
      </c>
      <c r="C318" s="60" t="s">
        <v>1040</v>
      </c>
      <c r="D318" s="60" t="e" vm="199">
        <v>#VALUE!</v>
      </c>
      <c r="E318" s="67">
        <f t="array" aca="1" ref="E318" ca="1">_FV(D318,"Price")</f>
        <v>1028.7</v>
      </c>
      <c r="F318" s="68">
        <f t="array" aca="1" ref="F318" ca="1">_FV(D318,"Previous close",TRUE)</f>
        <v>1027.4000000000001</v>
      </c>
      <c r="G318" s="62">
        <v>1028.7</v>
      </c>
      <c r="H318" s="62">
        <v>938.09</v>
      </c>
      <c r="I318" s="62">
        <v>919.4</v>
      </c>
      <c r="J318" s="62">
        <v>844.24</v>
      </c>
      <c r="K318" s="60"/>
      <c r="L318" s="60"/>
      <c r="M318" s="60"/>
    </row>
    <row r="319" spans="1:13">
      <c r="A319" s="65">
        <v>46179</v>
      </c>
      <c r="B319" s="60" t="s">
        <v>193</v>
      </c>
      <c r="C319" s="60" t="s">
        <v>1040</v>
      </c>
      <c r="D319" s="60" t="e" vm="164">
        <v>#VALUE!</v>
      </c>
      <c r="E319" s="67">
        <f t="array" aca="1" ref="E319" ca="1">_FV(D319,"Price")</f>
        <v>171.86</v>
      </c>
      <c r="F319" s="68">
        <f t="array" aca="1" ref="F319" ca="1">_FV(D319,"Previous close",TRUE)</f>
        <v>163.68</v>
      </c>
      <c r="G319" s="62">
        <v>171.86</v>
      </c>
      <c r="H319" s="62">
        <v>147.21</v>
      </c>
      <c r="I319" s="62">
        <v>140.01</v>
      </c>
      <c r="J319" s="62">
        <v>116.98</v>
      </c>
      <c r="K319" s="60"/>
      <c r="L319" s="60"/>
      <c r="M319" s="60"/>
    </row>
    <row r="320" spans="1:13">
      <c r="A320" s="65">
        <v>46179</v>
      </c>
      <c r="B320" s="60" t="s">
        <v>977</v>
      </c>
      <c r="C320" s="60" t="s">
        <v>1040</v>
      </c>
      <c r="D320" s="60" t="e" vm="186">
        <v>#VALUE!</v>
      </c>
      <c r="E320" s="67">
        <f t="array" aca="1" ref="E320" ca="1">_FV(D320,"Price")</f>
        <v>583.65</v>
      </c>
      <c r="F320" s="68">
        <f t="array" aca="1" ref="F320" ca="1">_FV(D320,"Previous close",TRUE)</f>
        <v>568.4</v>
      </c>
      <c r="G320" s="62">
        <v>583.65</v>
      </c>
      <c r="H320" s="62">
        <v>448.21</v>
      </c>
      <c r="I320" s="62">
        <v>419.41</v>
      </c>
      <c r="J320" s="62">
        <v>325.13</v>
      </c>
      <c r="K320" s="60"/>
      <c r="L320" s="60"/>
      <c r="M320" s="60"/>
    </row>
    <row r="321" spans="1:13">
      <c r="A321" s="65">
        <v>46179</v>
      </c>
      <c r="B321" s="60" t="s">
        <v>169</v>
      </c>
      <c r="C321" s="60" t="s">
        <v>1040</v>
      </c>
      <c r="D321" s="60" t="e" vm="214">
        <v>#VALUE!</v>
      </c>
      <c r="E321" s="67">
        <f t="array" aca="1" ref="E321" ca="1">_FV(D321,"Price")</f>
        <v>914.45</v>
      </c>
      <c r="F321" s="68">
        <f t="array" aca="1" ref="F321" ca="1">_FV(D321,"Previous close",TRUE)</f>
        <v>901.35</v>
      </c>
      <c r="G321" s="62">
        <v>914.45</v>
      </c>
      <c r="H321" s="62">
        <v>860.74</v>
      </c>
      <c r="I321" s="62">
        <v>845.09</v>
      </c>
      <c r="J321" s="62">
        <v>791.88</v>
      </c>
      <c r="K321" s="60"/>
      <c r="L321" s="60"/>
      <c r="M321" s="60"/>
    </row>
    <row r="322" spans="1:13">
      <c r="A322" s="65">
        <v>46179</v>
      </c>
      <c r="B322" s="60" t="s">
        <v>1070</v>
      </c>
      <c r="C322" s="60" t="s">
        <v>1040</v>
      </c>
      <c r="D322" s="60" t="e" vm="315">
        <v>#VALUE!</v>
      </c>
      <c r="E322" s="67">
        <f t="array" aca="1" ref="E322" ca="1">_FV(D322,"Price")</f>
        <v>1797.5</v>
      </c>
      <c r="F322" s="68">
        <f t="array" aca="1" ref="F322" ca="1">_FV(D322,"Previous close",TRUE)</f>
        <v>1715.1</v>
      </c>
      <c r="G322" s="62">
        <v>1797.5</v>
      </c>
      <c r="H322" s="62">
        <v>1275.97</v>
      </c>
      <c r="I322" s="62">
        <v>1219.98</v>
      </c>
      <c r="J322" s="62">
        <v>1044.51</v>
      </c>
      <c r="K322" s="60"/>
      <c r="L322" s="60"/>
      <c r="M322" s="60"/>
    </row>
    <row r="323" spans="1:13">
      <c r="A323" s="65">
        <v>46179</v>
      </c>
      <c r="B323" s="60" t="s">
        <v>682</v>
      </c>
      <c r="C323" s="60" t="s">
        <v>1040</v>
      </c>
      <c r="D323" s="60" t="e" vm="12">
        <v>#VALUE!</v>
      </c>
      <c r="E323" s="67">
        <f t="array" aca="1" ref="E323" ca="1">_FV(D323,"Price")</f>
        <v>15221</v>
      </c>
      <c r="F323" s="68">
        <f t="array" aca="1" ref="F323" ca="1">_FV(D323,"Previous close",TRUE)</f>
        <v>14551</v>
      </c>
      <c r="G323" s="62">
        <v>15221</v>
      </c>
      <c r="H323" s="62">
        <v>12996.21</v>
      </c>
      <c r="I323" s="62">
        <v>12686.31</v>
      </c>
      <c r="J323" s="62">
        <v>11572.72</v>
      </c>
      <c r="K323" s="60"/>
      <c r="L323" s="60"/>
      <c r="M323" s="60"/>
    </row>
    <row r="324" spans="1:13">
      <c r="A324" s="65">
        <v>46179</v>
      </c>
      <c r="B324" s="60" t="s">
        <v>996</v>
      </c>
      <c r="C324" s="60" t="s">
        <v>1040</v>
      </c>
      <c r="D324" s="60" t="e" vm="209">
        <v>#VALUE!</v>
      </c>
      <c r="E324" s="67">
        <f t="array" aca="1" ref="E324" ca="1">_FV(D324,"Price")</f>
        <v>2972</v>
      </c>
      <c r="F324" s="68">
        <f t="array" aca="1" ref="F324" ca="1">_FV(D324,"Previous close",TRUE)</f>
        <v>2939.3</v>
      </c>
      <c r="G324" s="62">
        <v>2972</v>
      </c>
      <c r="H324" s="62">
        <v>2724.3</v>
      </c>
      <c r="I324" s="62">
        <v>2662.33</v>
      </c>
      <c r="J324" s="62">
        <v>2476.15</v>
      </c>
      <c r="K324" s="60"/>
      <c r="L324" s="60"/>
      <c r="M324" s="60"/>
    </row>
    <row r="325" spans="1:13">
      <c r="A325" s="65">
        <v>46179</v>
      </c>
      <c r="B325" s="60" t="s">
        <v>1026</v>
      </c>
      <c r="C325" s="60" t="s">
        <v>1040</v>
      </c>
      <c r="D325" s="60" t="e" vm="254">
        <v>#VALUE!</v>
      </c>
      <c r="E325" s="67">
        <f t="array" aca="1" ref="E325" ca="1">_FV(D325,"Price")</f>
        <v>1105.7</v>
      </c>
      <c r="F325" s="68">
        <f t="array" aca="1" ref="F325" ca="1">_FV(D325,"Previous close",TRUE)</f>
        <v>1089.3</v>
      </c>
      <c r="G325" s="62">
        <v>1105.7</v>
      </c>
      <c r="H325" s="62">
        <v>1170.76</v>
      </c>
      <c r="I325" s="62">
        <v>1150.6300000000001</v>
      </c>
      <c r="J325" s="62">
        <v>1057.29</v>
      </c>
      <c r="K325" s="60"/>
      <c r="L325" s="60"/>
      <c r="M325" s="60"/>
    </row>
    <row r="326" spans="1:13">
      <c r="A326" s="65">
        <v>46179</v>
      </c>
      <c r="B326" s="60" t="s">
        <v>975</v>
      </c>
      <c r="C326" s="60" t="s">
        <v>1040</v>
      </c>
      <c r="D326" s="60" t="e" vm="184">
        <v>#VALUE!</v>
      </c>
      <c r="E326" s="67">
        <f t="array" aca="1" ref="E326" ca="1">_FV(D326,"Price")</f>
        <v>1018.6</v>
      </c>
      <c r="F326" s="68">
        <f t="array" aca="1" ref="F326" ca="1">_FV(D326,"Previous close",TRUE)</f>
        <v>988.5</v>
      </c>
      <c r="G326" s="62">
        <v>1018.6</v>
      </c>
      <c r="H326" s="62">
        <v>869.24</v>
      </c>
      <c r="I326" s="62">
        <v>831.8</v>
      </c>
      <c r="J326" s="62">
        <v>718.8</v>
      </c>
      <c r="K326" s="60"/>
      <c r="L326" s="60"/>
      <c r="M326" s="60"/>
    </row>
    <row r="327" spans="1:13">
      <c r="A327" s="65">
        <v>46179</v>
      </c>
      <c r="B327" s="60" t="s">
        <v>1012</v>
      </c>
      <c r="C327" s="60" t="s">
        <v>1040</v>
      </c>
      <c r="D327" s="60" t="e" vm="231">
        <v>#VALUE!</v>
      </c>
      <c r="E327" s="67">
        <f t="array" aca="1" ref="E327" ca="1">_FV(D327,"Price")</f>
        <v>2168.1999999999998</v>
      </c>
      <c r="F327" s="68">
        <f t="array" aca="1" ref="F327" ca="1">_FV(D327,"Previous close",TRUE)</f>
        <v>2128.1</v>
      </c>
      <c r="G327" s="62">
        <v>2168.1999999999998</v>
      </c>
      <c r="H327" s="62">
        <v>1918.95</v>
      </c>
      <c r="I327" s="62">
        <v>1866.25</v>
      </c>
      <c r="J327" s="62">
        <v>1701.91</v>
      </c>
      <c r="K327" s="60"/>
      <c r="L327" s="60"/>
      <c r="M327" s="60"/>
    </row>
    <row r="328" spans="1:13">
      <c r="A328" s="65">
        <v>46179</v>
      </c>
      <c r="B328" s="60" t="s">
        <v>1052</v>
      </c>
      <c r="C328" s="60" t="s">
        <v>1040</v>
      </c>
      <c r="D328" s="60" t="e" vm="287">
        <v>#VALUE!</v>
      </c>
      <c r="E328" s="67">
        <f t="array" aca="1" ref="E328" ca="1">_FV(D328,"Price")</f>
        <v>304.95</v>
      </c>
      <c r="F328" s="68">
        <f t="array" aca="1" ref="F328" ca="1">_FV(D328,"Previous close",TRUE)</f>
        <v>320.95</v>
      </c>
      <c r="G328" s="62">
        <v>304.95</v>
      </c>
      <c r="H328" s="62">
        <v>234.92</v>
      </c>
      <c r="I328" s="62">
        <v>222.71</v>
      </c>
      <c r="J328" s="62">
        <v>190.87</v>
      </c>
      <c r="K328" s="60"/>
      <c r="L328" s="60"/>
      <c r="M328" s="60"/>
    </row>
    <row r="329" spans="1:13">
      <c r="A329" s="65">
        <v>46179</v>
      </c>
      <c r="B329" s="60" t="s">
        <v>431</v>
      </c>
      <c r="C329" s="60" t="s">
        <v>1040</v>
      </c>
      <c r="D329" s="60" t="e" vm="189">
        <v>#VALUE!</v>
      </c>
      <c r="E329" s="67">
        <f t="array" aca="1" ref="E329" ca="1">_FV(D329,"Price")</f>
        <v>1890.5</v>
      </c>
      <c r="F329" s="68">
        <f t="array" aca="1" ref="F329" ca="1">_FV(D329,"Previous close",TRUE)</f>
        <v>1797.9</v>
      </c>
      <c r="G329" s="62">
        <v>1890.5</v>
      </c>
      <c r="H329" s="62">
        <v>1753.44</v>
      </c>
      <c r="I329" s="62">
        <v>1716.59</v>
      </c>
      <c r="J329" s="62">
        <v>1566.71</v>
      </c>
      <c r="K329" s="60"/>
      <c r="L329" s="60"/>
      <c r="M329" s="60"/>
    </row>
    <row r="330" spans="1:13">
      <c r="A330" s="65">
        <v>46179</v>
      </c>
      <c r="B330" s="60" t="s">
        <v>226</v>
      </c>
      <c r="C330" s="60" t="s">
        <v>1040</v>
      </c>
      <c r="D330" s="60" t="e" vm="263">
        <v>#VALUE!</v>
      </c>
      <c r="E330" s="67">
        <f t="array" aca="1" ref="E330" ca="1">_FV(D330,"Price")</f>
        <v>4587.3999999999996</v>
      </c>
      <c r="F330" s="68">
        <f t="array" aca="1" ref="F330" ca="1">_FV(D330,"Previous close",TRUE)</f>
        <v>4191.3999999999996</v>
      </c>
      <c r="G330" s="62">
        <v>4587.3999999999996</v>
      </c>
      <c r="H330" s="62">
        <v>4201.84</v>
      </c>
      <c r="I330" s="62">
        <v>4117.29</v>
      </c>
      <c r="J330" s="62">
        <v>3827.5</v>
      </c>
      <c r="K330" s="60"/>
      <c r="L330" s="60"/>
      <c r="M330" s="60"/>
    </row>
    <row r="331" spans="1:13">
      <c r="A331" s="65">
        <v>46179</v>
      </c>
      <c r="B331" s="60" t="s">
        <v>696</v>
      </c>
      <c r="C331" s="60" t="s">
        <v>1040</v>
      </c>
      <c r="D331" s="60" t="e" vm="16">
        <v>#VALUE!</v>
      </c>
      <c r="E331" s="67">
        <f t="array" aca="1" ref="E331" ca="1">_FV(D331,"Price")</f>
        <v>5369.5</v>
      </c>
      <c r="F331" s="68">
        <f t="array" aca="1" ref="F331" ca="1">_FV(D331,"Previous close",TRUE)</f>
        <v>5181.5</v>
      </c>
      <c r="G331" s="62">
        <v>5369.5</v>
      </c>
      <c r="H331" s="62">
        <v>5096.0200000000004</v>
      </c>
      <c r="I331" s="62">
        <v>5031.09</v>
      </c>
      <c r="J331" s="62">
        <v>4793.0200000000004</v>
      </c>
      <c r="K331" s="60"/>
      <c r="L331" s="60"/>
      <c r="M331" s="60"/>
    </row>
    <row r="332" spans="1:13">
      <c r="A332" s="65">
        <v>46179</v>
      </c>
      <c r="B332" s="60" t="s">
        <v>203</v>
      </c>
      <c r="C332" s="60" t="s">
        <v>1040</v>
      </c>
      <c r="D332" s="60" t="e" vm="241">
        <v>#VALUE!</v>
      </c>
      <c r="E332" s="67">
        <f t="array" aca="1" ref="E332" ca="1">_FV(D332,"Price")</f>
        <v>977.15</v>
      </c>
      <c r="F332" s="68">
        <f t="array" aca="1" ref="F332" ca="1">_FV(D332,"Previous close",TRUE)</f>
        <v>937</v>
      </c>
      <c r="G332" s="62">
        <v>977.15</v>
      </c>
      <c r="H332" s="62">
        <v>822.53</v>
      </c>
      <c r="I332" s="62">
        <v>801.02</v>
      </c>
      <c r="J332" s="62">
        <v>749.71</v>
      </c>
      <c r="K332" s="60"/>
      <c r="L332" s="60"/>
      <c r="M332" s="60"/>
    </row>
    <row r="333" spans="1:13">
      <c r="A333" s="65">
        <v>46179</v>
      </c>
      <c r="B333" s="60" t="s">
        <v>1044</v>
      </c>
      <c r="C333" s="60" t="s">
        <v>1040</v>
      </c>
      <c r="D333" s="60" t="e" vm="279">
        <v>#VALUE!</v>
      </c>
      <c r="E333" s="67">
        <f t="array" aca="1" ref="E333" ca="1">_FV(D333,"Price")</f>
        <v>437.85</v>
      </c>
      <c r="F333" s="68">
        <f t="array" aca="1" ref="F333" ca="1">_FV(D333,"Previous close",TRUE)</f>
        <v>436.55</v>
      </c>
      <c r="G333" s="62">
        <v>437.85</v>
      </c>
      <c r="H333" s="62">
        <v>347.03</v>
      </c>
      <c r="I333" s="62">
        <v>331.81</v>
      </c>
      <c r="J333" s="62">
        <v>282.37</v>
      </c>
      <c r="K333" s="60"/>
      <c r="L333" s="60"/>
      <c r="M333" s="60"/>
    </row>
    <row r="334" spans="1:13">
      <c r="A334" s="65">
        <v>46179</v>
      </c>
      <c r="B334" s="60" t="s">
        <v>1071</v>
      </c>
      <c r="C334" s="60" t="s">
        <v>1040</v>
      </c>
      <c r="D334" s="60" t="e" vm="316">
        <v>#VALUE!</v>
      </c>
      <c r="E334" s="67">
        <f t="array" aca="1" ref="E334" ca="1">_FV(D334,"Price")</f>
        <v>332.2</v>
      </c>
      <c r="F334" s="68">
        <f t="array" aca="1" ref="F334" ca="1">_FV(D334,"Previous close",TRUE)</f>
        <v>342.9</v>
      </c>
      <c r="G334" s="62">
        <v>332.2</v>
      </c>
      <c r="H334" s="62">
        <v>268.89999999999998</v>
      </c>
      <c r="I334" s="62">
        <v>261.63</v>
      </c>
      <c r="J334" s="62">
        <v>242.45</v>
      </c>
      <c r="K334" s="60"/>
      <c r="L334" s="60"/>
      <c r="M334" s="60"/>
    </row>
    <row r="335" spans="1:13">
      <c r="A335" s="65">
        <v>46179</v>
      </c>
      <c r="B335" s="60" t="s">
        <v>505</v>
      </c>
      <c r="C335" s="60" t="s">
        <v>1040</v>
      </c>
      <c r="D335" s="60" t="e" vm="30">
        <v>#VALUE!</v>
      </c>
      <c r="E335" s="67">
        <f t="array" aca="1" ref="E335" ca="1">_FV(D335,"Price")</f>
        <v>1192.8</v>
      </c>
      <c r="F335" s="68">
        <f t="array" aca="1" ref="F335" ca="1">_FV(D335,"Previous close",TRUE)</f>
        <v>1126</v>
      </c>
      <c r="G335" s="62">
        <v>1192.8</v>
      </c>
      <c r="H335" s="62">
        <v>1191.9000000000001</v>
      </c>
      <c r="I335" s="62">
        <v>1162.77</v>
      </c>
      <c r="J335" s="62">
        <v>1040.79</v>
      </c>
      <c r="K335" s="60"/>
      <c r="L335" s="60"/>
      <c r="M335" s="60"/>
    </row>
    <row r="336" spans="1:13">
      <c r="A336" s="65">
        <v>46179</v>
      </c>
      <c r="B336" s="60" t="s">
        <v>553</v>
      </c>
      <c r="C336" s="60" t="s">
        <v>1040</v>
      </c>
      <c r="D336" s="60" t="e" vm="24">
        <v>#VALUE!</v>
      </c>
      <c r="E336" s="67">
        <f t="array" aca="1" ref="E336" ca="1">_FV(D336,"Price")</f>
        <v>17143</v>
      </c>
      <c r="F336" s="68">
        <f t="array" aca="1" ref="F336" ca="1">_FV(D336,"Previous close",TRUE)</f>
        <v>17141</v>
      </c>
      <c r="G336" s="62">
        <v>17143</v>
      </c>
      <c r="H336" s="62">
        <v>16795.189999999999</v>
      </c>
      <c r="I336" s="62">
        <v>16495.37</v>
      </c>
      <c r="J336" s="62">
        <v>15493.01</v>
      </c>
      <c r="K336" s="60"/>
      <c r="L336" s="60"/>
      <c r="M336" s="60"/>
    </row>
    <row r="337" spans="1:13">
      <c r="A337" s="65">
        <v>46179</v>
      </c>
      <c r="B337" s="60" t="s">
        <v>660</v>
      </c>
      <c r="C337" s="60" t="s">
        <v>1040</v>
      </c>
      <c r="D337" s="60" t="e" vm="4">
        <v>#VALUE!</v>
      </c>
      <c r="E337" s="67">
        <f t="array" aca="1" ref="E337" ca="1">_FV(D337,"Price")</f>
        <v>34325</v>
      </c>
      <c r="F337" s="68">
        <f t="array" aca="1" ref="F337" ca="1">_FV(D337,"Previous close",TRUE)</f>
        <v>33250</v>
      </c>
      <c r="G337" s="62">
        <v>34325</v>
      </c>
      <c r="H337" s="62">
        <v>33624.410000000003</v>
      </c>
      <c r="I337" s="62">
        <v>32809.230000000003</v>
      </c>
      <c r="J337" s="62">
        <v>29443.45</v>
      </c>
      <c r="K337" s="60"/>
      <c r="L337" s="60"/>
      <c r="M337" s="60"/>
    </row>
    <row r="338" spans="1:13">
      <c r="A338" s="65">
        <v>46179</v>
      </c>
      <c r="B338" s="60" t="s">
        <v>332</v>
      </c>
      <c r="C338" s="60" t="s">
        <v>1040</v>
      </c>
      <c r="D338" s="60" t="e" vm="154">
        <v>#VALUE!</v>
      </c>
      <c r="E338" s="67">
        <f t="array" aca="1" ref="E338" ca="1">_FV(D338,"Price")</f>
        <v>4041.1</v>
      </c>
      <c r="F338" s="68">
        <f t="array" aca="1" ref="F338" ca="1">_FV(D338,"Previous close",TRUE)</f>
        <v>3888.3</v>
      </c>
      <c r="G338" s="62">
        <v>4041.1</v>
      </c>
      <c r="H338" s="62">
        <v>3815.17</v>
      </c>
      <c r="I338" s="62">
        <v>3736.72</v>
      </c>
      <c r="J338" s="62">
        <v>3431.58</v>
      </c>
      <c r="K338" s="60"/>
      <c r="L338" s="60"/>
      <c r="M338" s="60"/>
    </row>
    <row r="339" spans="1:13">
      <c r="A339" s="65">
        <v>46179</v>
      </c>
      <c r="B339" s="60" t="s">
        <v>978</v>
      </c>
      <c r="C339" s="60" t="s">
        <v>1040</v>
      </c>
      <c r="D339" s="60" t="e" vm="190">
        <v>#VALUE!</v>
      </c>
      <c r="E339" s="67">
        <f t="array" aca="1" ref="E339" ca="1">_FV(D339,"Price")</f>
        <v>5621.5</v>
      </c>
      <c r="F339" s="68">
        <f t="array" aca="1" ref="F339" ca="1">_FV(D339,"Previous close",TRUE)</f>
        <v>5557</v>
      </c>
      <c r="G339" s="62">
        <v>5621.5</v>
      </c>
      <c r="H339" s="62">
        <v>5445.19</v>
      </c>
      <c r="I339" s="62">
        <v>5371.63</v>
      </c>
      <c r="J339" s="62">
        <v>5070.08</v>
      </c>
      <c r="K339" s="60"/>
      <c r="L339" s="60"/>
      <c r="M339" s="60"/>
    </row>
    <row r="340" spans="1:13">
      <c r="A340" s="65">
        <v>46179</v>
      </c>
      <c r="B340" s="60" t="s">
        <v>1027</v>
      </c>
      <c r="C340" s="60" t="s">
        <v>1040</v>
      </c>
      <c r="D340" s="60" t="e" vm="255">
        <v>#VALUE!</v>
      </c>
      <c r="E340" s="67">
        <f t="array" aca="1" ref="E340" ca="1">_FV(D340,"Price")</f>
        <v>223.07</v>
      </c>
      <c r="F340" s="68">
        <f t="array" aca="1" ref="F340" ca="1">_FV(D340,"Previous close",TRUE)</f>
        <v>215.51</v>
      </c>
      <c r="G340" s="62">
        <v>223.07</v>
      </c>
      <c r="H340" s="62">
        <v>216.28</v>
      </c>
      <c r="I340" s="62">
        <v>211.26</v>
      </c>
      <c r="J340" s="62">
        <v>191.66</v>
      </c>
      <c r="K340" s="60"/>
      <c r="L340" s="60"/>
      <c r="M340" s="60"/>
    </row>
    <row r="341" spans="1:13">
      <c r="A341" s="65">
        <v>46179</v>
      </c>
      <c r="B341" s="60" t="s">
        <v>1028</v>
      </c>
      <c r="C341" s="60" t="s">
        <v>1040</v>
      </c>
      <c r="D341" s="60" t="e" vm="256">
        <v>#VALUE!</v>
      </c>
      <c r="E341" s="67">
        <f t="array" aca="1" ref="E341" ca="1">_FV(D341,"Price")</f>
        <v>378.75</v>
      </c>
      <c r="F341" s="68">
        <f t="array" aca="1" ref="F341" ca="1">_FV(D341,"Previous close",TRUE)</f>
        <v>370.65</v>
      </c>
      <c r="G341" s="62">
        <v>378.75</v>
      </c>
      <c r="H341" s="62">
        <v>370.6</v>
      </c>
      <c r="I341" s="62">
        <v>362.29</v>
      </c>
      <c r="J341" s="62">
        <v>331.56</v>
      </c>
      <c r="K341" s="60"/>
      <c r="L341" s="60"/>
      <c r="M341" s="60"/>
    </row>
    <row r="342" spans="1:13">
      <c r="A342" s="65">
        <v>46179</v>
      </c>
      <c r="B342" s="60" t="s">
        <v>1029</v>
      </c>
      <c r="C342" s="60" t="s">
        <v>1040</v>
      </c>
      <c r="D342" s="60" t="e" vm="257">
        <v>#VALUE!</v>
      </c>
      <c r="E342" s="67">
        <f t="array" aca="1" ref="E342" ca="1">_FV(D342,"Price")</f>
        <v>929.55</v>
      </c>
      <c r="F342" s="68">
        <f t="array" aca="1" ref="F342" ca="1">_FV(D342,"Previous close",TRUE)</f>
        <v>885.3</v>
      </c>
      <c r="G342" s="62">
        <v>929.55</v>
      </c>
      <c r="H342" s="62">
        <v>739.92</v>
      </c>
      <c r="I342" s="62">
        <v>706.24</v>
      </c>
      <c r="J342" s="62">
        <v>595.01</v>
      </c>
      <c r="K342" s="60"/>
      <c r="L342" s="60"/>
      <c r="M342" s="60"/>
    </row>
    <row r="343" spans="1:13">
      <c r="A343" s="65">
        <v>46179</v>
      </c>
      <c r="B343" s="60" t="s">
        <v>1023</v>
      </c>
      <c r="C343" s="60" t="s">
        <v>1040</v>
      </c>
      <c r="D343" s="60" t="e" vm="251">
        <v>#VALUE!</v>
      </c>
      <c r="E343" s="67">
        <f t="array" aca="1" ref="E343" ca="1">_FV(D343,"Price")</f>
        <v>2914.2</v>
      </c>
      <c r="F343" s="68">
        <f t="array" aca="1" ref="F343" ca="1">_FV(D343,"Previous close",TRUE)</f>
        <v>2861.5</v>
      </c>
      <c r="G343" s="62">
        <v>2914.2</v>
      </c>
      <c r="H343" s="62">
        <v>2678.19</v>
      </c>
      <c r="I343" s="62">
        <v>2620.77</v>
      </c>
      <c r="J343" s="62">
        <v>2389.81</v>
      </c>
      <c r="K343" s="60"/>
      <c r="L343" s="60"/>
      <c r="M343" s="60"/>
    </row>
    <row r="344" spans="1:13">
      <c r="A344" s="65">
        <v>46179</v>
      </c>
      <c r="B344" s="60" t="s">
        <v>979</v>
      </c>
      <c r="C344" s="60" t="s">
        <v>1040</v>
      </c>
      <c r="D344" s="60" t="e" vm="191">
        <v>#VALUE!</v>
      </c>
      <c r="E344" s="67">
        <f t="array" aca="1" ref="E344" ca="1">_FV(D344,"Price")</f>
        <v>1812.9</v>
      </c>
      <c r="F344" s="68">
        <f t="array" aca="1" ref="F344" ca="1">_FV(D344,"Previous close",TRUE)</f>
        <v>1787.1</v>
      </c>
      <c r="G344" s="62">
        <v>1812.9</v>
      </c>
      <c r="H344" s="62">
        <v>1722.47</v>
      </c>
      <c r="I344" s="62">
        <v>1697.07</v>
      </c>
      <c r="J344" s="62">
        <v>1612.07</v>
      </c>
      <c r="K344" s="60"/>
      <c r="L344" s="60"/>
      <c r="M344" s="60"/>
    </row>
    <row r="345" spans="1:13">
      <c r="A345" s="65">
        <v>46179</v>
      </c>
      <c r="B345" s="60" t="s">
        <v>105</v>
      </c>
      <c r="C345" s="60" t="s">
        <v>954</v>
      </c>
      <c r="D345" s="60" t="e" vm="187">
        <v>#VALUE!</v>
      </c>
      <c r="E345" s="67">
        <f t="array" aca="1" ref="E345" ca="1">_FV(D345,"Price")</f>
        <v>159.97</v>
      </c>
      <c r="F345" s="68">
        <f t="array" aca="1" ref="F345" ca="1">_FV(D345,"Previous close",TRUE)</f>
        <v>155.18</v>
      </c>
      <c r="G345" s="62">
        <v>159.97</v>
      </c>
      <c r="H345" s="62">
        <v>127.24</v>
      </c>
      <c r="I345" s="62">
        <v>123.06</v>
      </c>
      <c r="J345" s="62">
        <v>107.6</v>
      </c>
      <c r="K345" s="60"/>
      <c r="L345" s="60"/>
      <c r="M345" s="60"/>
    </row>
    <row r="346" spans="1:13">
      <c r="A346" s="65">
        <v>46179</v>
      </c>
      <c r="B346" s="60" t="s">
        <v>1058</v>
      </c>
      <c r="C346" s="60" t="s">
        <v>954</v>
      </c>
      <c r="D346" s="60" t="e" vm="295">
        <v>#VALUE!</v>
      </c>
      <c r="E346" s="67">
        <f t="array" aca="1" ref="E346" ca="1">_FV(D346,"Price")</f>
        <v>637.20000000000005</v>
      </c>
      <c r="F346" s="68">
        <f t="array" aca="1" ref="F346" ca="1">_FV(D346,"Previous close",TRUE)</f>
        <v>632.9</v>
      </c>
      <c r="G346" s="62">
        <v>637.20000000000005</v>
      </c>
      <c r="H346" s="62">
        <v>585.30999999999995</v>
      </c>
      <c r="I346" s="62">
        <v>578.58000000000004</v>
      </c>
      <c r="J346" s="62">
        <v>564.39</v>
      </c>
      <c r="K346" s="60"/>
      <c r="L346" s="60"/>
      <c r="M346" s="60"/>
    </row>
    <row r="347" spans="1:13">
      <c r="A347" s="65">
        <v>46179</v>
      </c>
      <c r="B347" s="60" t="s">
        <v>199</v>
      </c>
      <c r="C347" s="60" t="s">
        <v>954</v>
      </c>
      <c r="D347" s="60" t="e" vm="211">
        <v>#VALUE!</v>
      </c>
      <c r="E347" s="67">
        <f t="array" aca="1" ref="E347" ca="1">_FV(D347,"Price")</f>
        <v>546.75</v>
      </c>
      <c r="F347" s="68">
        <f t="array" aca="1" ref="F347" ca="1">_FV(D347,"Previous close",TRUE)</f>
        <v>538.85</v>
      </c>
      <c r="G347" s="62">
        <v>546.75</v>
      </c>
      <c r="H347" s="62">
        <v>477.47</v>
      </c>
      <c r="I347" s="62">
        <v>464.41</v>
      </c>
      <c r="J347" s="62">
        <v>423.63</v>
      </c>
      <c r="K347" s="60"/>
      <c r="L347" s="60"/>
      <c r="M347" s="60"/>
    </row>
    <row r="348" spans="1:13">
      <c r="A348" s="65">
        <v>46179</v>
      </c>
      <c r="B348" s="60" t="s">
        <v>236</v>
      </c>
      <c r="C348" s="60" t="s">
        <v>954</v>
      </c>
      <c r="D348" s="60" t="e" vm="208">
        <v>#VALUE!</v>
      </c>
      <c r="E348" s="67">
        <f t="array" aca="1" ref="E348" ca="1">_FV(D348,"Price")</f>
        <v>425.85</v>
      </c>
      <c r="F348" s="68">
        <f t="array" aca="1" ref="F348" ca="1">_FV(D348,"Previous close",TRUE)</f>
        <v>435.7</v>
      </c>
      <c r="G348" s="62">
        <v>425.85</v>
      </c>
      <c r="H348" s="62">
        <v>351.55</v>
      </c>
      <c r="I348" s="62">
        <v>341.35</v>
      </c>
      <c r="J348" s="62">
        <v>312.27999999999997</v>
      </c>
      <c r="K348" s="60"/>
      <c r="L348" s="60"/>
      <c r="M348" s="60"/>
    </row>
    <row r="349" spans="1:13">
      <c r="A349" s="65">
        <v>46179</v>
      </c>
      <c r="B349" s="60" t="s">
        <v>1072</v>
      </c>
      <c r="C349" s="60" t="s">
        <v>954</v>
      </c>
      <c r="D349" s="60" t="e" vm="317">
        <v>#VALUE!</v>
      </c>
      <c r="E349" s="67">
        <f t="array" aca="1" ref="E349" ca="1">_FV(D349,"Price")</f>
        <v>1189.05</v>
      </c>
      <c r="F349" s="68">
        <f t="array" aca="1" ref="F349" ca="1">_FV(D349,"Previous close",TRUE)</f>
        <v>1155.5999999999999</v>
      </c>
      <c r="G349" s="62">
        <v>1189.05</v>
      </c>
      <c r="H349" s="62">
        <v>936.39</v>
      </c>
      <c r="I349" s="62">
        <v>907.8</v>
      </c>
      <c r="J349" s="62">
        <v>840.6</v>
      </c>
      <c r="K349" s="60"/>
      <c r="L349" s="60"/>
      <c r="M349" s="60"/>
    </row>
    <row r="350" spans="1:13">
      <c r="A350" s="65">
        <v>46179</v>
      </c>
      <c r="B350" s="60" t="s">
        <v>1073</v>
      </c>
      <c r="C350" s="60" t="s">
        <v>954</v>
      </c>
      <c r="D350" s="60" t="e" vm="318">
        <v>#VALUE!</v>
      </c>
      <c r="E350" s="67">
        <f t="array" aca="1" ref="E350" ca="1">_FV(D350,"Price")</f>
        <v>366.2</v>
      </c>
      <c r="F350" s="68">
        <f t="array" aca="1" ref="F350" ca="1">_FV(D350,"Previous close",TRUE)</f>
        <v>362</v>
      </c>
      <c r="G350" s="62">
        <v>366.2</v>
      </c>
      <c r="H350" s="62">
        <v>340.43</v>
      </c>
      <c r="I350" s="62">
        <v>334.24</v>
      </c>
      <c r="J350" s="62">
        <v>317.64999999999998</v>
      </c>
      <c r="K350" s="60"/>
      <c r="L350" s="60"/>
      <c r="M350" s="60"/>
    </row>
    <row r="351" spans="1:13">
      <c r="A351" s="65">
        <v>46179</v>
      </c>
      <c r="B351" s="60" t="s">
        <v>394</v>
      </c>
      <c r="C351" s="60" t="s">
        <v>954</v>
      </c>
      <c r="D351" s="60" t="e" vm="58">
        <v>#VALUE!</v>
      </c>
      <c r="E351" s="67">
        <f t="array" aca="1" ref="E351" ca="1">_FV(D351,"Price")</f>
        <v>315.7</v>
      </c>
      <c r="F351" s="68">
        <f t="array" aca="1" ref="F351" ca="1">_FV(D351,"Previous close",TRUE)</f>
        <v>309.75</v>
      </c>
      <c r="G351" s="62">
        <v>315.7</v>
      </c>
      <c r="H351" s="62">
        <v>295.08999999999997</v>
      </c>
      <c r="I351" s="62">
        <v>293.05</v>
      </c>
      <c r="J351" s="62">
        <v>283.56</v>
      </c>
      <c r="K351" s="60"/>
      <c r="L351" s="60"/>
      <c r="M351" s="60"/>
    </row>
    <row r="352" spans="1:13">
      <c r="A352" s="65">
        <v>46179</v>
      </c>
      <c r="B352" s="60" t="s">
        <v>1074</v>
      </c>
      <c r="C352" s="60" t="s">
        <v>954</v>
      </c>
      <c r="D352" s="60" t="e" vm="319">
        <v>#VALUE!</v>
      </c>
      <c r="E352" s="67">
        <f t="array" aca="1" ref="E352" ca="1">_FV(D352,"Price")</f>
        <v>819.95</v>
      </c>
      <c r="F352" s="68">
        <f t="array" aca="1" ref="F352" ca="1">_FV(D352,"Previous close",TRUE)</f>
        <v>818.35</v>
      </c>
      <c r="G352" s="62">
        <v>819.95</v>
      </c>
      <c r="H352" s="62">
        <v>701.55</v>
      </c>
      <c r="I352" s="62">
        <v>674.91</v>
      </c>
      <c r="J352" s="62">
        <v>580.97</v>
      </c>
      <c r="K352" s="60"/>
      <c r="L352" s="60"/>
      <c r="M352" s="60"/>
    </row>
    <row r="353" spans="1:13">
      <c r="A353" s="65">
        <v>46179</v>
      </c>
      <c r="B353" s="60" t="s">
        <v>1033</v>
      </c>
      <c r="C353" s="60" t="s">
        <v>1060</v>
      </c>
      <c r="D353" s="60" t="e" vm="264">
        <v>#VALUE!</v>
      </c>
      <c r="E353" s="67">
        <f t="array" aca="1" ref="E353" ca="1">_FV(D353,"Price")</f>
        <v>1097.1500000000001</v>
      </c>
      <c r="F353" s="68">
        <f t="array" aca="1" ref="F353" ca="1">_FV(D353,"Previous close",TRUE)</f>
        <v>989.1</v>
      </c>
      <c r="G353" s="62">
        <v>1097.1500000000001</v>
      </c>
      <c r="H353" s="62">
        <v>869.98</v>
      </c>
      <c r="I353" s="62">
        <v>848.31</v>
      </c>
      <c r="J353" s="62">
        <v>787.27</v>
      </c>
      <c r="K353" s="60"/>
      <c r="L353" s="60"/>
      <c r="M353" s="60"/>
    </row>
    <row r="354" spans="1:13">
      <c r="A354" s="65">
        <v>46179</v>
      </c>
      <c r="B354" s="60" t="s">
        <v>1038</v>
      </c>
      <c r="C354" s="60" t="s">
        <v>1060</v>
      </c>
      <c r="D354" s="60" t="e" vm="269">
        <v>#VALUE!</v>
      </c>
      <c r="E354" s="67">
        <f t="array" aca="1" ref="E354" ca="1">_FV(D354,"Price")</f>
        <v>37.049999999999997</v>
      </c>
      <c r="F354" s="68">
        <f t="array" aca="1" ref="F354" ca="1">_FV(D354,"Previous close",TRUE)</f>
        <v>35.31</v>
      </c>
      <c r="G354" s="62">
        <v>37.049999999999997</v>
      </c>
      <c r="H354" s="62">
        <v>36.11</v>
      </c>
      <c r="I354" s="62">
        <v>35.67</v>
      </c>
      <c r="J354" s="62">
        <v>33.42</v>
      </c>
      <c r="K354" s="60"/>
      <c r="L354" s="60"/>
      <c r="M354" s="60"/>
    </row>
    <row r="355" spans="1:13">
      <c r="A355" s="65">
        <v>46179</v>
      </c>
      <c r="B355" s="60" t="s">
        <v>1075</v>
      </c>
      <c r="C355" s="60" t="s">
        <v>1060</v>
      </c>
      <c r="D355" s="60" t="e" vm="320">
        <v>#VALUE!</v>
      </c>
      <c r="E355" s="67">
        <f t="array" aca="1" ref="E355" ca="1">_FV(D355,"Price")</f>
        <v>570.35</v>
      </c>
      <c r="F355" s="68">
        <f t="array" aca="1" ref="F355" ca="1">_FV(D355,"Previous close",TRUE)</f>
        <v>543.6</v>
      </c>
      <c r="G355" s="62">
        <v>570.35</v>
      </c>
      <c r="H355" s="62">
        <v>457.39</v>
      </c>
      <c r="I355" s="62">
        <v>444.22</v>
      </c>
      <c r="J355" s="62">
        <v>411.49</v>
      </c>
      <c r="K355" s="60"/>
      <c r="L355" s="60"/>
      <c r="M355" s="60"/>
    </row>
    <row r="356" spans="1:13">
      <c r="A356" s="65">
        <v>46179</v>
      </c>
      <c r="B356" s="60" t="s">
        <v>1076</v>
      </c>
      <c r="C356" s="60" t="s">
        <v>1060</v>
      </c>
      <c r="D356" s="60" t="e" vm="321">
        <v>#VALUE!</v>
      </c>
      <c r="E356" s="67">
        <f t="array" aca="1" ref="E356" ca="1">_FV(D356,"Price")</f>
        <v>335.75</v>
      </c>
      <c r="F356" s="68">
        <f t="array" aca="1" ref="F356" ca="1">_FV(D356,"Previous close",TRUE)</f>
        <v>334.45</v>
      </c>
      <c r="G356" s="62">
        <v>335.75</v>
      </c>
      <c r="H356" s="62">
        <v>307.64999999999998</v>
      </c>
      <c r="I356" s="62">
        <v>301.97000000000003</v>
      </c>
      <c r="J356" s="62">
        <v>283.5</v>
      </c>
      <c r="K356" s="60"/>
      <c r="L356" s="60"/>
      <c r="M356" s="60"/>
    </row>
    <row r="357" spans="1:13">
      <c r="A357" s="65">
        <v>46179</v>
      </c>
      <c r="B357" s="60" t="s">
        <v>1077</v>
      </c>
      <c r="C357" s="60" t="s">
        <v>1060</v>
      </c>
      <c r="D357" s="60" t="e" vm="322">
        <v>#VALUE!</v>
      </c>
      <c r="E357" s="67">
        <f t="array" aca="1" ref="E357" ca="1">_FV(D357,"Price")</f>
        <v>421.05</v>
      </c>
      <c r="F357" s="68">
        <f t="array" aca="1" ref="F357" ca="1">_FV(D357,"Previous close",TRUE)</f>
        <v>413.55</v>
      </c>
      <c r="G357" s="62">
        <v>421.05</v>
      </c>
      <c r="H357" s="62">
        <v>432.14</v>
      </c>
      <c r="I357" s="62">
        <v>430.76</v>
      </c>
      <c r="J357" s="62">
        <v>420.35</v>
      </c>
      <c r="K357" s="60"/>
      <c r="L357" s="60"/>
      <c r="M357" s="60"/>
    </row>
    <row r="358" spans="1:13">
      <c r="A358" s="65">
        <v>46179</v>
      </c>
      <c r="B358" s="60" t="s">
        <v>176</v>
      </c>
      <c r="C358" s="60" t="s">
        <v>1060</v>
      </c>
      <c r="D358" s="60" t="e" vm="221">
        <v>#VALUE!</v>
      </c>
      <c r="E358" s="67">
        <f t="array" aca="1" ref="E358" ca="1">_FV(D358,"Price")</f>
        <v>2921.6</v>
      </c>
      <c r="F358" s="68">
        <f t="array" aca="1" ref="F358" ca="1">_FV(D358,"Previous close",TRUE)</f>
        <v>2908.8</v>
      </c>
      <c r="G358" s="62">
        <v>2921.6</v>
      </c>
      <c r="H358" s="62">
        <v>2677.37</v>
      </c>
      <c r="I358" s="62">
        <v>2616</v>
      </c>
      <c r="J358" s="62">
        <v>2451.29</v>
      </c>
      <c r="K358" s="60"/>
      <c r="L358" s="60"/>
      <c r="M358" s="60"/>
    </row>
    <row r="359" spans="1:13">
      <c r="A359" s="65">
        <v>46179</v>
      </c>
      <c r="B359" s="60" t="s">
        <v>1078</v>
      </c>
      <c r="C359" s="60" t="s">
        <v>1060</v>
      </c>
      <c r="D359" s="60" t="e" vm="323">
        <v>#VALUE!</v>
      </c>
      <c r="E359" s="67">
        <f t="array" aca="1" ref="E359" ca="1">_FV(D359,"Price")</f>
        <v>989.9</v>
      </c>
      <c r="F359" s="68">
        <f t="array" aca="1" ref="F359" ca="1">_FV(D359,"Previous close",TRUE)</f>
        <v>953.9</v>
      </c>
      <c r="G359" s="62">
        <v>989.9</v>
      </c>
      <c r="H359" s="62">
        <v>996.46</v>
      </c>
      <c r="I359" s="62">
        <v>986.31</v>
      </c>
      <c r="J359" s="62">
        <v>950.68</v>
      </c>
      <c r="K359" s="60"/>
      <c r="L359" s="60"/>
      <c r="M359" s="60"/>
    </row>
    <row r="360" spans="1:13">
      <c r="A360" s="65">
        <v>46179</v>
      </c>
      <c r="B360" s="60" t="s">
        <v>1006</v>
      </c>
      <c r="C360" s="60" t="s">
        <v>1060</v>
      </c>
      <c r="D360" s="60" t="e" vm="225">
        <v>#VALUE!</v>
      </c>
      <c r="E360" s="67">
        <f t="array" aca="1" ref="E360" ca="1">_FV(D360,"Price")</f>
        <v>443.5</v>
      </c>
      <c r="F360" s="68">
        <f t="array" aca="1" ref="F360" ca="1">_FV(D360,"Previous close",TRUE)</f>
        <v>446.2</v>
      </c>
      <c r="G360" s="62">
        <v>443.5</v>
      </c>
      <c r="H360" s="62">
        <v>455.55</v>
      </c>
      <c r="I360" s="62">
        <v>454.06</v>
      </c>
      <c r="J360" s="62">
        <v>443.29</v>
      </c>
      <c r="K360" s="60"/>
      <c r="L360" s="60"/>
      <c r="M360" s="60"/>
    </row>
    <row r="361" spans="1:13">
      <c r="A361" s="65">
        <v>46179</v>
      </c>
      <c r="B361" s="60" t="s">
        <v>1007</v>
      </c>
      <c r="C361" s="60" t="s">
        <v>1060</v>
      </c>
      <c r="D361" s="60" t="e" vm="226">
        <v>#VALUE!</v>
      </c>
      <c r="E361" s="67">
        <f t="array" aca="1" ref="E361" ca="1">_FV(D361,"Price")</f>
        <v>1060.0999999999999</v>
      </c>
      <c r="F361" s="68">
        <f t="array" aca="1" ref="F361" ca="1">_FV(D361,"Previous close",TRUE)</f>
        <v>1034.0999999999999</v>
      </c>
      <c r="G361" s="62">
        <v>1060.0999999999999</v>
      </c>
      <c r="H361" s="62">
        <v>1225.6500000000001</v>
      </c>
      <c r="I361" s="62">
        <v>1230.25</v>
      </c>
      <c r="J361" s="62">
        <v>1186.03</v>
      </c>
      <c r="K361" s="60"/>
      <c r="L361" s="60"/>
      <c r="M361" s="60"/>
    </row>
    <row r="362" spans="1:13">
      <c r="A362" s="65">
        <v>46179</v>
      </c>
      <c r="B362" s="60" t="s">
        <v>501</v>
      </c>
      <c r="C362" s="60" t="s">
        <v>1060</v>
      </c>
      <c r="D362" s="60" t="e" vm="36">
        <v>#VALUE!</v>
      </c>
      <c r="E362" s="67">
        <f t="array" aca="1" ref="E362" ca="1">_FV(D362,"Price")</f>
        <v>1817.6</v>
      </c>
      <c r="F362" s="68">
        <f t="array" aca="1" ref="F362" ca="1">_FV(D362,"Previous close",TRUE)</f>
        <v>1764.1</v>
      </c>
      <c r="G362" s="62">
        <v>1817.6</v>
      </c>
      <c r="H362" s="62">
        <v>1890.53</v>
      </c>
      <c r="I362" s="62">
        <v>1904.13</v>
      </c>
      <c r="J362" s="62">
        <v>1925.89</v>
      </c>
      <c r="K362" s="60"/>
      <c r="L362" s="60"/>
      <c r="M362" s="60"/>
    </row>
    <row r="363" spans="1:13">
      <c r="A363" s="65">
        <v>46179</v>
      </c>
      <c r="B363" s="60" t="s">
        <v>459</v>
      </c>
      <c r="C363" s="60" t="s">
        <v>1060</v>
      </c>
      <c r="D363" s="60" t="e" vm="324">
        <v>#VALUE!</v>
      </c>
      <c r="E363" s="67">
        <f t="array" aca="1" ref="E363" ca="1">_FV(D363,"Price")</f>
        <v>46.66</v>
      </c>
      <c r="F363" s="68">
        <f t="array" aca="1" ref="F363" ca="1">_FV(D363,"Previous close",TRUE)</f>
        <v>45.32</v>
      </c>
      <c r="G363" s="62">
        <v>46.66</v>
      </c>
      <c r="H363" s="62">
        <v>41.84</v>
      </c>
      <c r="I363" s="62">
        <v>41.42</v>
      </c>
      <c r="J363" s="62">
        <v>40.130000000000003</v>
      </c>
      <c r="K363" s="60"/>
      <c r="L363" s="60"/>
      <c r="M363" s="60"/>
    </row>
    <row r="364" spans="1:13">
      <c r="A364" s="65">
        <v>46179</v>
      </c>
      <c r="B364" s="60" t="s">
        <v>1030</v>
      </c>
      <c r="C364" s="60" t="s">
        <v>1060</v>
      </c>
      <c r="D364" s="60" t="e" vm="258">
        <v>#VALUE!</v>
      </c>
      <c r="E364" s="67">
        <f t="array" aca="1" ref="E364" ca="1">_FV(D364,"Price")</f>
        <v>1284.0999999999999</v>
      </c>
      <c r="F364" s="68">
        <f t="array" aca="1" ref="F364" ca="1">_FV(D364,"Previous close",TRUE)</f>
        <v>1307.3</v>
      </c>
      <c r="G364" s="62">
        <v>1284.0999999999999</v>
      </c>
      <c r="H364" s="62">
        <v>1322.57</v>
      </c>
      <c r="I364" s="62">
        <v>1290.1300000000001</v>
      </c>
      <c r="J364" s="62">
        <v>1179.3499999999999</v>
      </c>
      <c r="K364" s="60"/>
      <c r="L364" s="60"/>
      <c r="M364" s="60"/>
    </row>
    <row r="365" spans="1:13">
      <c r="A365" s="65">
        <v>46179</v>
      </c>
      <c r="B365" s="60" t="s">
        <v>1079</v>
      </c>
      <c r="C365" s="60" t="s">
        <v>1060</v>
      </c>
      <c r="D365" s="60" t="e" vm="325">
        <v>#VALUE!</v>
      </c>
      <c r="E365" s="67">
        <f t="array" aca="1" ref="E365" ca="1">_FV(D365,"Price")</f>
        <v>954.95</v>
      </c>
      <c r="F365" s="68">
        <f t="array" aca="1" ref="F365" ca="1">_FV(D365,"Previous close",TRUE)</f>
        <v>886.25</v>
      </c>
      <c r="G365" s="62">
        <v>954.95</v>
      </c>
      <c r="H365" s="62">
        <v>956.28</v>
      </c>
      <c r="I365" s="62">
        <v>958.62</v>
      </c>
      <c r="J365" s="62">
        <v>950.11</v>
      </c>
      <c r="K365" s="60"/>
      <c r="L365" s="60"/>
      <c r="M365" s="60"/>
    </row>
    <row r="366" spans="1:13" ht="15.75" thickBot="1">
      <c r="A366" s="65">
        <v>46179</v>
      </c>
      <c r="B366" s="60" t="s">
        <v>1080</v>
      </c>
      <c r="C366" s="60" t="s">
        <v>1060</v>
      </c>
      <c r="D366" s="60" t="e" vm="326">
        <v>#VALUE!</v>
      </c>
      <c r="E366" s="67">
        <f t="array" aca="1" ref="E366" ca="1">_FV(D366,"Price")</f>
        <v>1293</v>
      </c>
      <c r="F366" s="68">
        <f t="array" aca="1" ref="F366" ca="1">_FV(D366,"Previous close",TRUE)</f>
        <v>1263</v>
      </c>
      <c r="G366" s="62">
        <v>1293</v>
      </c>
      <c r="H366" s="62">
        <v>1334.98</v>
      </c>
      <c r="I366" s="62">
        <v>1342.22</v>
      </c>
      <c r="J366" s="62">
        <v>1369.17</v>
      </c>
      <c r="K366" s="60"/>
      <c r="L366" s="60"/>
      <c r="M366" s="60"/>
    </row>
    <row r="367" spans="1:13" ht="27" thickBot="1">
      <c r="A367" s="95">
        <v>46186</v>
      </c>
      <c r="B367" s="96" t="s">
        <v>182</v>
      </c>
      <c r="C367" s="96" t="s">
        <v>942</v>
      </c>
      <c r="D367" s="96" t="e" vm="73">
        <v>#VALUE!</v>
      </c>
      <c r="E367" s="67">
        <f t="array" aca="1" ref="E367" ca="1">_FV(D367,"Price")</f>
        <v>2133</v>
      </c>
      <c r="F367" s="68">
        <f t="array" aca="1" ref="F367" ca="1">_FV(D367,"Previous close",TRUE)</f>
        <v>2054</v>
      </c>
      <c r="G367" s="62">
        <v>1294</v>
      </c>
    </row>
    <row r="368" spans="1:13" ht="15.75" thickBot="1">
      <c r="A368" s="95">
        <v>46186</v>
      </c>
      <c r="B368" s="96" t="s">
        <v>851</v>
      </c>
      <c r="C368" s="96" t="s">
        <v>942</v>
      </c>
      <c r="D368" s="96" t="e" vm="67">
        <v>#VALUE!</v>
      </c>
      <c r="E368" s="67">
        <f t="array" aca="1" ref="E368" ca="1">_FV(D368,"Price")</f>
        <v>466.55</v>
      </c>
      <c r="F368" s="68">
        <f t="array" aca="1" ref="F368" ca="1">_FV(D368,"Previous close",TRUE)</f>
        <v>444.5</v>
      </c>
      <c r="G368" s="62">
        <v>1295</v>
      </c>
    </row>
    <row r="369" spans="1:7" ht="15.75" thickBot="1">
      <c r="A369" s="95">
        <v>46186</v>
      </c>
      <c r="B369" s="96" t="s">
        <v>121</v>
      </c>
      <c r="C369" s="96" t="s">
        <v>942</v>
      </c>
      <c r="D369" s="96" t="e" vm="172">
        <v>#VALUE!</v>
      </c>
      <c r="E369" s="67">
        <f t="array" aca="1" ref="E369" ca="1">_FV(D369,"Price")</f>
        <v>703.55</v>
      </c>
      <c r="F369" s="68">
        <f t="array" aca="1" ref="F369" ca="1">_FV(D369,"Previous close",TRUE)</f>
        <v>680.35</v>
      </c>
      <c r="G369" s="62">
        <v>1296</v>
      </c>
    </row>
    <row r="370" spans="1:7" ht="27" thickBot="1">
      <c r="A370" s="95">
        <v>46186</v>
      </c>
      <c r="B370" s="96" t="s">
        <v>945</v>
      </c>
      <c r="C370" s="96" t="s">
        <v>942</v>
      </c>
      <c r="D370" s="96" t="e" vm="157">
        <v>#VALUE!</v>
      </c>
      <c r="E370" s="67">
        <f t="array" aca="1" ref="E370" ca="1">_FV(D370,"Price")</f>
        <v>869.1</v>
      </c>
      <c r="F370" s="68">
        <f t="array" aca="1" ref="F370" ca="1">_FV(D370,"Previous close",TRUE)</f>
        <v>870.9</v>
      </c>
      <c r="G370" s="62">
        <v>1297</v>
      </c>
    </row>
    <row r="371" spans="1:7" ht="27" thickBot="1">
      <c r="A371" s="95">
        <v>46186</v>
      </c>
      <c r="B371" s="96" t="s">
        <v>648</v>
      </c>
      <c r="C371" s="96" t="s">
        <v>942</v>
      </c>
      <c r="D371" s="96" t="e" vm="168">
        <v>#VALUE!</v>
      </c>
      <c r="E371" s="67">
        <f t="array" aca="1" ref="E371" ca="1">_FV(D371,"Price")</f>
        <v>1104.7</v>
      </c>
      <c r="F371" s="68">
        <f t="array" aca="1" ref="F371" ca="1">_FV(D371,"Previous close",TRUE)</f>
        <v>1105.9000000000001</v>
      </c>
      <c r="G371" s="62">
        <v>1298</v>
      </c>
    </row>
    <row r="372" spans="1:7" ht="15.75" thickBot="1">
      <c r="A372" s="95">
        <v>46186</v>
      </c>
      <c r="B372" s="96" t="s">
        <v>1195</v>
      </c>
      <c r="C372" s="96" t="s">
        <v>942</v>
      </c>
      <c r="D372" s="96" t="e" vm="327">
        <v>#VALUE!</v>
      </c>
      <c r="E372" s="67">
        <f t="array" aca="1" ref="E372" ca="1">_FV(D372,"Price")</f>
        <v>504.05</v>
      </c>
      <c r="F372" s="68">
        <f t="array" aca="1" ref="F372" ca="1">_FV(D372,"Previous close",TRUE)</f>
        <v>470</v>
      </c>
      <c r="G372" s="62">
        <v>1299</v>
      </c>
    </row>
    <row r="373" spans="1:7" ht="27" thickBot="1">
      <c r="A373" s="95">
        <v>46186</v>
      </c>
      <c r="B373" s="96" t="s">
        <v>1196</v>
      </c>
      <c r="C373" s="96" t="s">
        <v>942</v>
      </c>
      <c r="D373" s="96" t="e" vm="328">
        <v>#VALUE!</v>
      </c>
      <c r="E373" s="67">
        <f t="array" aca="1" ref="E373" ca="1">_FV(D373,"Price")</f>
        <v>917.1</v>
      </c>
      <c r="F373" s="68">
        <f t="array" aca="1" ref="F373" ca="1">_FV(D373,"Previous close",TRUE)</f>
        <v>845.95</v>
      </c>
      <c r="G373" s="62">
        <v>1300</v>
      </c>
    </row>
    <row r="374" spans="1:7" ht="27" thickBot="1">
      <c r="A374" s="95">
        <v>46186</v>
      </c>
      <c r="B374" s="96" t="s">
        <v>217</v>
      </c>
      <c r="C374" s="96" t="s">
        <v>942</v>
      </c>
      <c r="D374" s="96" t="e" vm="272">
        <v>#VALUE!</v>
      </c>
      <c r="E374" s="67">
        <f t="array" aca="1" ref="E374" ca="1">_FV(D374,"Price")</f>
        <v>391.95</v>
      </c>
      <c r="F374" s="68">
        <f t="array" aca="1" ref="F374" ca="1">_FV(D374,"Previous close",TRUE)</f>
        <v>385.65</v>
      </c>
      <c r="G374" s="62">
        <v>1301</v>
      </c>
    </row>
    <row r="375" spans="1:7" ht="27" thickBot="1">
      <c r="A375" s="95">
        <v>46186</v>
      </c>
      <c r="B375" s="96" t="s">
        <v>741</v>
      </c>
      <c r="C375" s="96" t="s">
        <v>942</v>
      </c>
      <c r="D375" s="96" t="e" vm="181">
        <v>#VALUE!</v>
      </c>
      <c r="E375" s="67">
        <f t="array" aca="1" ref="E375" ca="1">_FV(D375,"Price")</f>
        <v>1793.8</v>
      </c>
      <c r="F375" s="68">
        <f t="array" aca="1" ref="F375" ca="1">_FV(D375,"Previous close",TRUE)</f>
        <v>1715.1</v>
      </c>
      <c r="G375" s="62">
        <v>1302</v>
      </c>
    </row>
    <row r="376" spans="1:7" ht="27" thickBot="1">
      <c r="A376" s="95">
        <v>46186</v>
      </c>
      <c r="B376" s="96" t="s">
        <v>126</v>
      </c>
      <c r="C376" s="96" t="s">
        <v>942</v>
      </c>
      <c r="D376" s="96" t="e" vm="15">
        <v>#VALUE!</v>
      </c>
      <c r="E376" s="67">
        <f t="array" aca="1" ref="E376" ca="1">_FV(D376,"Price")</f>
        <v>39.17</v>
      </c>
      <c r="F376" s="68">
        <f t="array" aca="1" ref="F376" ca="1">_FV(D376,"Previous close",TRUE)</f>
        <v>37.03</v>
      </c>
      <c r="G376" s="62">
        <v>1303</v>
      </c>
    </row>
    <row r="377" spans="1:7" ht="27" thickBot="1">
      <c r="A377" s="95">
        <v>46186</v>
      </c>
      <c r="B377" s="96" t="s">
        <v>871</v>
      </c>
      <c r="C377" s="96" t="s">
        <v>942</v>
      </c>
      <c r="D377" s="96" t="e" vm="89">
        <v>#VALUE!</v>
      </c>
      <c r="E377" s="67">
        <f t="array" aca="1" ref="E377" ca="1">_FV(D377,"Price")</f>
        <v>371.25</v>
      </c>
      <c r="F377" s="68">
        <f t="array" aca="1" ref="F377" ca="1">_FV(D377,"Previous close",TRUE)</f>
        <v>353.2</v>
      </c>
      <c r="G377" s="62">
        <v>1304</v>
      </c>
    </row>
    <row r="378" spans="1:7" ht="15.75" thickBot="1">
      <c r="A378" s="95">
        <v>46186</v>
      </c>
      <c r="B378" s="96" t="s">
        <v>958</v>
      </c>
      <c r="C378" s="96" t="s">
        <v>942</v>
      </c>
      <c r="D378" s="96" t="e" vm="233">
        <v>#VALUE!</v>
      </c>
      <c r="E378" s="67">
        <f t="array" aca="1" ref="E378" ca="1">_FV(D378,"Price")</f>
        <v>1578.6</v>
      </c>
      <c r="F378" s="68">
        <f t="array" aca="1" ref="F378" ca="1">_FV(D378,"Previous close",TRUE)</f>
        <v>1435.1</v>
      </c>
      <c r="G378" s="62">
        <v>1305</v>
      </c>
    </row>
    <row r="379" spans="1:7" ht="15.75" thickBot="1">
      <c r="A379" s="95">
        <v>46186</v>
      </c>
      <c r="B379" s="96" t="s">
        <v>1197</v>
      </c>
      <c r="C379" s="96" t="s">
        <v>942</v>
      </c>
      <c r="D379" s="96" t="e" vm="329">
        <v>#VALUE!</v>
      </c>
      <c r="E379" s="67">
        <f t="array" aca="1" ref="E379" ca="1">_FV(D379,"Price")</f>
        <v>7681.5</v>
      </c>
      <c r="F379" s="68">
        <f t="array" aca="1" ref="F379" ca="1">_FV(D379,"Previous close",TRUE)</f>
        <v>6783</v>
      </c>
      <c r="G379" s="62">
        <v>1306</v>
      </c>
    </row>
    <row r="380" spans="1:7" ht="27" thickBot="1">
      <c r="A380" s="95">
        <v>46186</v>
      </c>
      <c r="B380" s="96" t="s">
        <v>201</v>
      </c>
      <c r="C380" s="96" t="s">
        <v>942</v>
      </c>
      <c r="D380" s="96" t="e" vm="242">
        <v>#VALUE!</v>
      </c>
      <c r="E380" s="67">
        <f t="array" aca="1" ref="E380" ca="1">_FV(D380,"Price")</f>
        <v>223.76</v>
      </c>
      <c r="F380" s="68">
        <f t="array" aca="1" ref="F380" ca="1">_FV(D380,"Previous close",TRUE)</f>
        <v>204.11</v>
      </c>
      <c r="G380" s="62">
        <v>1307</v>
      </c>
    </row>
    <row r="381" spans="1:7" ht="27" thickBot="1">
      <c r="A381" s="95">
        <v>46186</v>
      </c>
      <c r="B381" s="96" t="s">
        <v>946</v>
      </c>
      <c r="C381" s="96" t="s">
        <v>942</v>
      </c>
      <c r="D381" s="96" t="e" vm="314">
        <v>#VALUE!</v>
      </c>
      <c r="E381" s="67">
        <f t="array" aca="1" ref="E381" ca="1">_FV(D381,"Price")</f>
        <v>593.6</v>
      </c>
      <c r="F381" s="68">
        <f t="array" aca="1" ref="F381" ca="1">_FV(D381,"Previous close",TRUE)</f>
        <v>556.54999999999995</v>
      </c>
      <c r="G381" s="62">
        <v>1308</v>
      </c>
    </row>
    <row r="382" spans="1:7" ht="27" thickBot="1">
      <c r="A382" s="95">
        <v>46186</v>
      </c>
      <c r="B382" s="96" t="s">
        <v>849</v>
      </c>
      <c r="C382" s="96" t="s">
        <v>942</v>
      </c>
      <c r="D382" s="96" t="e" vm="65">
        <v>#VALUE!</v>
      </c>
      <c r="E382" s="67">
        <f t="array" aca="1" ref="E382" ca="1">_FV(D382,"Price")</f>
        <v>931.05</v>
      </c>
      <c r="F382" s="68">
        <f t="array" aca="1" ref="F382" ca="1">_FV(D382,"Previous close",TRUE)</f>
        <v>891.95</v>
      </c>
      <c r="G382" s="62">
        <v>1309</v>
      </c>
    </row>
    <row r="383" spans="1:7" ht="27" thickBot="1">
      <c r="A383" s="95">
        <v>46186</v>
      </c>
      <c r="B383" s="96" t="s">
        <v>1198</v>
      </c>
      <c r="C383" s="96" t="s">
        <v>942</v>
      </c>
      <c r="D383" s="96" t="e" vm="330">
        <v>#VALUE!</v>
      </c>
      <c r="E383" s="67">
        <f t="array" aca="1" ref="E383" ca="1">_FV(D383,"Price")</f>
        <v>529.29999999999995</v>
      </c>
      <c r="F383" s="68">
        <f t="array" aca="1" ref="F383" ca="1">_FV(D383,"Previous close",TRUE)</f>
        <v>521.75</v>
      </c>
      <c r="G383" s="62">
        <v>1310</v>
      </c>
    </row>
    <row r="384" spans="1:7" ht="15.75" thickBot="1">
      <c r="A384" s="95">
        <v>46186</v>
      </c>
      <c r="B384" s="96" t="s">
        <v>1199</v>
      </c>
      <c r="C384" s="96" t="s">
        <v>942</v>
      </c>
      <c r="D384" s="96" t="e" vm="331">
        <v>#VALUE!</v>
      </c>
      <c r="E384" s="67">
        <f t="array" aca="1" ref="E384" ca="1">_FV(D384,"Price")</f>
        <v>365.85</v>
      </c>
      <c r="F384" s="68">
        <f t="array" aca="1" ref="F384" ca="1">_FV(D384,"Previous close",TRUE)</f>
        <v>359.1</v>
      </c>
      <c r="G384" s="62">
        <v>1311</v>
      </c>
    </row>
    <row r="385" spans="1:7" ht="27" thickBot="1">
      <c r="A385" s="95">
        <v>46186</v>
      </c>
      <c r="B385" s="96" t="s">
        <v>222</v>
      </c>
      <c r="C385" s="96" t="s">
        <v>942</v>
      </c>
      <c r="D385" s="96" t="e" vm="177">
        <v>#VALUE!</v>
      </c>
      <c r="E385" s="67">
        <f t="array" aca="1" ref="E385" ca="1">_FV(D385,"Price")</f>
        <v>252.37</v>
      </c>
      <c r="F385" s="68">
        <f t="array" aca="1" ref="F385" ca="1">_FV(D385,"Previous close",TRUE)</f>
        <v>249.83</v>
      </c>
      <c r="G385" s="62">
        <v>1312</v>
      </c>
    </row>
    <row r="386" spans="1:7" ht="15.75" thickBot="1">
      <c r="A386" s="95">
        <v>46186</v>
      </c>
      <c r="B386" s="96" t="s">
        <v>1069</v>
      </c>
      <c r="C386" s="96" t="s">
        <v>942</v>
      </c>
      <c r="D386" s="96" t="e" vm="312">
        <v>#VALUE!</v>
      </c>
      <c r="E386" s="67">
        <f t="array" aca="1" ref="E386" ca="1">_FV(D386,"Price")</f>
        <v>244.02</v>
      </c>
      <c r="F386" s="68">
        <f t="array" aca="1" ref="F386" ca="1">_FV(D386,"Previous close",TRUE)</f>
        <v>242.12</v>
      </c>
      <c r="G386" s="62">
        <v>1313</v>
      </c>
    </row>
    <row r="387" spans="1:7" ht="27" thickBot="1">
      <c r="A387" s="95">
        <v>46186</v>
      </c>
      <c r="B387" s="96" t="s">
        <v>896</v>
      </c>
      <c r="C387" s="96" t="s">
        <v>942</v>
      </c>
      <c r="D387" s="96" t="e" vm="119">
        <v>#VALUE!</v>
      </c>
      <c r="E387" s="67">
        <f t="array" aca="1" ref="E387" ca="1">_FV(D387,"Price")</f>
        <v>6144</v>
      </c>
      <c r="F387" s="68">
        <f t="array" aca="1" ref="F387" ca="1">_FV(D387,"Previous close",TRUE)</f>
        <v>5854.5</v>
      </c>
      <c r="G387" s="62">
        <v>1314</v>
      </c>
    </row>
    <row r="388" spans="1:7" ht="27" thickBot="1">
      <c r="A388" s="95">
        <v>46186</v>
      </c>
      <c r="B388" s="96" t="s">
        <v>220</v>
      </c>
      <c r="C388" s="96" t="s">
        <v>942</v>
      </c>
      <c r="D388" s="96" t="e" vm="273">
        <v>#VALUE!</v>
      </c>
      <c r="E388" s="67">
        <f t="array" aca="1" ref="E388" ca="1">_FV(D388,"Price")</f>
        <v>1035.8</v>
      </c>
      <c r="F388" s="68">
        <f t="array" aca="1" ref="F388" ca="1">_FV(D388,"Previous close",TRUE)</f>
        <v>1012.9</v>
      </c>
      <c r="G388" s="62">
        <v>1315</v>
      </c>
    </row>
    <row r="389" spans="1:7" ht="15.75" thickBot="1">
      <c r="A389" s="95">
        <v>46186</v>
      </c>
      <c r="B389" s="96" t="s">
        <v>105</v>
      </c>
      <c r="C389" s="96" t="s">
        <v>972</v>
      </c>
      <c r="D389" s="96" t="e" vm="187">
        <v>#VALUE!</v>
      </c>
      <c r="E389" s="67">
        <f t="array" aca="1" ref="E389" ca="1">_FV(D389,"Price")</f>
        <v>159.97</v>
      </c>
      <c r="F389" s="68">
        <f t="array" aca="1" ref="F389" ca="1">_FV(D389,"Previous close",TRUE)</f>
        <v>155.18</v>
      </c>
      <c r="G389" s="62">
        <v>1316</v>
      </c>
    </row>
    <row r="390" spans="1:7" ht="27" thickBot="1">
      <c r="A390" s="95">
        <v>46186</v>
      </c>
      <c r="B390" s="96" t="s">
        <v>682</v>
      </c>
      <c r="C390" s="96" t="s">
        <v>972</v>
      </c>
      <c r="D390" s="96" t="e" vm="12">
        <v>#VALUE!</v>
      </c>
      <c r="E390" s="67">
        <f t="array" aca="1" ref="E390" ca="1">_FV(D390,"Price")</f>
        <v>15221</v>
      </c>
      <c r="F390" s="68">
        <f t="array" aca="1" ref="F390" ca="1">_FV(D390,"Previous close",TRUE)</f>
        <v>14551</v>
      </c>
      <c r="G390" s="62">
        <v>1317</v>
      </c>
    </row>
    <row r="391" spans="1:7" ht="27" thickBot="1">
      <c r="A391" s="95">
        <v>46186</v>
      </c>
      <c r="B391" s="96" t="s">
        <v>830</v>
      </c>
      <c r="C391" s="96" t="s">
        <v>972</v>
      </c>
      <c r="D391" s="96" t="e" vm="42">
        <v>#VALUE!</v>
      </c>
      <c r="E391" s="67">
        <f t="array" aca="1" ref="E391" ca="1">_FV(D391,"Price")</f>
        <v>4545.7</v>
      </c>
      <c r="F391" s="68">
        <f t="array" aca="1" ref="F391" ca="1">_FV(D391,"Previous close",TRUE)</f>
        <v>4205</v>
      </c>
      <c r="G391" s="62">
        <v>1318</v>
      </c>
    </row>
    <row r="392" spans="1:7" ht="27" thickBot="1">
      <c r="A392" s="95">
        <v>46186</v>
      </c>
      <c r="B392" s="96" t="s">
        <v>180</v>
      </c>
      <c r="C392" s="96" t="s">
        <v>972</v>
      </c>
      <c r="D392" s="96" t="e" vm="163">
        <v>#VALUE!</v>
      </c>
      <c r="E392" s="67">
        <f t="array" aca="1" ref="E392" ca="1">_FV(D392,"Price")</f>
        <v>409.4</v>
      </c>
      <c r="F392" s="68">
        <f t="array" aca="1" ref="F392" ca="1">_FV(D392,"Previous close",TRUE)</f>
        <v>381.75</v>
      </c>
      <c r="G392" s="62">
        <v>1319</v>
      </c>
    </row>
    <row r="393" spans="1:7" ht="27" thickBot="1">
      <c r="A393" s="95">
        <v>46186</v>
      </c>
      <c r="B393" s="96" t="s">
        <v>173</v>
      </c>
      <c r="C393" s="96" t="s">
        <v>972</v>
      </c>
      <c r="D393" s="96" t="e" vm="216">
        <v>#VALUE!</v>
      </c>
      <c r="E393" s="67">
        <f t="array" aca="1" ref="E393" ca="1">_FV(D393,"Price")</f>
        <v>1443.8</v>
      </c>
      <c r="F393" s="68">
        <f t="array" aca="1" ref="F393" ca="1">_FV(D393,"Previous close",TRUE)</f>
        <v>1396.3</v>
      </c>
      <c r="G393" s="62">
        <v>1320</v>
      </c>
    </row>
    <row r="394" spans="1:7" ht="27" thickBot="1">
      <c r="A394" s="95">
        <v>46186</v>
      </c>
      <c r="B394" s="96" t="s">
        <v>973</v>
      </c>
      <c r="C394" s="96" t="s">
        <v>972</v>
      </c>
      <c r="D394" s="96" t="e" vm="182">
        <v>#VALUE!</v>
      </c>
      <c r="E394" s="67">
        <f t="array" aca="1" ref="E394" ca="1">_FV(D394,"Price")</f>
        <v>7159.5</v>
      </c>
      <c r="F394" s="68">
        <f t="array" aca="1" ref="F394" ca="1">_FV(D394,"Previous close",TRUE)</f>
        <v>6306</v>
      </c>
      <c r="G394" s="62">
        <v>1321</v>
      </c>
    </row>
    <row r="395" spans="1:7" ht="39.75" thickBot="1">
      <c r="A395" s="95">
        <v>46186</v>
      </c>
      <c r="B395" s="96" t="s">
        <v>1033</v>
      </c>
      <c r="C395" s="96" t="s">
        <v>972</v>
      </c>
      <c r="D395" s="96" t="e" vm="264">
        <v>#VALUE!</v>
      </c>
      <c r="E395" s="67">
        <f t="array" aca="1" ref="E395" ca="1">_FV(D395,"Price")</f>
        <v>1097.1500000000001</v>
      </c>
      <c r="F395" s="68">
        <f t="array" aca="1" ref="F395" ca="1">_FV(D395,"Previous close",TRUE)</f>
        <v>989.1</v>
      </c>
      <c r="G395" s="62">
        <v>1322</v>
      </c>
    </row>
    <row r="396" spans="1:7" ht="27" thickBot="1">
      <c r="A396" s="95">
        <v>46186</v>
      </c>
      <c r="B396" s="96" t="s">
        <v>505</v>
      </c>
      <c r="C396" s="96" t="s">
        <v>972</v>
      </c>
      <c r="D396" s="96" t="e" vm="30">
        <v>#VALUE!</v>
      </c>
      <c r="E396" s="67">
        <f t="array" aca="1" ref="E396" ca="1">_FV(D396,"Price")</f>
        <v>1192.8</v>
      </c>
      <c r="F396" s="68">
        <f t="array" aca="1" ref="F396" ca="1">_FV(D396,"Previous close",TRUE)</f>
        <v>1126</v>
      </c>
      <c r="G396" s="62">
        <v>1323</v>
      </c>
    </row>
    <row r="397" spans="1:7" ht="27" thickBot="1">
      <c r="A397" s="95">
        <v>46186</v>
      </c>
      <c r="B397" s="96" t="s">
        <v>226</v>
      </c>
      <c r="C397" s="96" t="s">
        <v>972</v>
      </c>
      <c r="D397" s="96" t="e" vm="263">
        <v>#VALUE!</v>
      </c>
      <c r="E397" s="67">
        <f t="array" aca="1" ref="E397" ca="1">_FV(D397,"Price")</f>
        <v>4587.3999999999996</v>
      </c>
      <c r="F397" s="68">
        <f t="array" aca="1" ref="F397" ca="1">_FV(D397,"Previous close",TRUE)</f>
        <v>4191.3999999999996</v>
      </c>
      <c r="G397" s="62">
        <v>1324</v>
      </c>
    </row>
    <row r="398" spans="1:7" ht="27" thickBot="1">
      <c r="A398" s="95">
        <v>46186</v>
      </c>
      <c r="B398" s="96" t="s">
        <v>1072</v>
      </c>
      <c r="C398" s="96" t="s">
        <v>972</v>
      </c>
      <c r="D398" s="96" t="e" vm="317">
        <v>#VALUE!</v>
      </c>
      <c r="E398" s="67">
        <f t="array" aca="1" ref="E398" ca="1">_FV(D398,"Price")</f>
        <v>1189.05</v>
      </c>
      <c r="F398" s="68">
        <f t="array" aca="1" ref="F398" ca="1">_FV(D398,"Previous close",TRUE)</f>
        <v>1155.5999999999999</v>
      </c>
      <c r="G398" s="62">
        <v>1325</v>
      </c>
    </row>
    <row r="399" spans="1:7" ht="15.75" thickBot="1">
      <c r="A399" s="95">
        <v>46186</v>
      </c>
      <c r="B399" s="96" t="s">
        <v>696</v>
      </c>
      <c r="C399" s="96" t="s">
        <v>972</v>
      </c>
      <c r="D399" s="96" t="e" vm="16">
        <v>#VALUE!</v>
      </c>
      <c r="E399" s="67">
        <f t="array" aca="1" ref="E399" ca="1">_FV(D399,"Price")</f>
        <v>5369.5</v>
      </c>
      <c r="F399" s="68">
        <f t="array" aca="1" ref="F399" ca="1">_FV(D399,"Previous close",TRUE)</f>
        <v>5181.5</v>
      </c>
      <c r="G399" s="62">
        <v>1326</v>
      </c>
    </row>
    <row r="400" spans="1:7" ht="27" thickBot="1">
      <c r="A400" s="95">
        <v>46186</v>
      </c>
      <c r="B400" s="96" t="s">
        <v>236</v>
      </c>
      <c r="C400" s="96" t="s">
        <v>972</v>
      </c>
      <c r="D400" s="96" t="e" vm="208">
        <v>#VALUE!</v>
      </c>
      <c r="E400" s="67">
        <f t="array" aca="1" ref="E400" ca="1">_FV(D400,"Price")</f>
        <v>425.85</v>
      </c>
      <c r="F400" s="68">
        <f t="array" aca="1" ref="F400" ca="1">_FV(D400,"Previous close",TRUE)</f>
        <v>435.7</v>
      </c>
      <c r="G400" s="62">
        <v>1327</v>
      </c>
    </row>
    <row r="401" spans="1:7" ht="27" thickBot="1">
      <c r="A401" s="95">
        <v>46186</v>
      </c>
      <c r="B401" s="96" t="s">
        <v>1009</v>
      </c>
      <c r="C401" s="96" t="s">
        <v>972</v>
      </c>
      <c r="D401" s="96" t="e" vm="228">
        <v>#VALUE!</v>
      </c>
      <c r="E401" s="67">
        <f t="array" aca="1" ref="E401" ca="1">_FV(D401,"Price")</f>
        <v>591.65</v>
      </c>
      <c r="F401" s="68">
        <f t="array" aca="1" ref="F401" ca="1">_FV(D401,"Previous close",TRUE)</f>
        <v>566.25</v>
      </c>
      <c r="G401" s="62">
        <v>1328</v>
      </c>
    </row>
    <row r="402" spans="1:7" ht="27" thickBot="1">
      <c r="A402" s="95">
        <v>46186</v>
      </c>
      <c r="B402" s="96" t="s">
        <v>199</v>
      </c>
      <c r="C402" s="96" t="s">
        <v>972</v>
      </c>
      <c r="D402" s="96" t="e" vm="211">
        <v>#VALUE!</v>
      </c>
      <c r="E402" s="67">
        <f t="array" aca="1" ref="E402" ca="1">_FV(D402,"Price")</f>
        <v>546.75</v>
      </c>
      <c r="F402" s="68">
        <f t="array" aca="1" ref="F402" ca="1">_FV(D402,"Previous close",TRUE)</f>
        <v>538.85</v>
      </c>
      <c r="G402" s="62">
        <v>1329</v>
      </c>
    </row>
    <row r="403" spans="1:7" ht="27" thickBot="1">
      <c r="A403" s="95">
        <v>46186</v>
      </c>
      <c r="B403" s="96" t="s">
        <v>1200</v>
      </c>
      <c r="C403" s="96" t="s">
        <v>972</v>
      </c>
      <c r="D403" s="96" t="e" vm="332">
        <v>#VALUE!</v>
      </c>
      <c r="E403" s="67">
        <f t="array" aca="1" ref="E403" ca="1">_FV(D403,"Price")</f>
        <v>448.1</v>
      </c>
      <c r="F403" s="68">
        <f t="array" aca="1" ref="F403" ca="1">_FV(D403,"Previous close",TRUE)</f>
        <v>408.55</v>
      </c>
      <c r="G403" s="62">
        <v>1330</v>
      </c>
    </row>
    <row r="404" spans="1:7" ht="27" thickBot="1">
      <c r="A404" s="95">
        <v>46186</v>
      </c>
      <c r="B404" s="96" t="s">
        <v>1201</v>
      </c>
      <c r="C404" s="96" t="s">
        <v>972</v>
      </c>
      <c r="D404" s="96" t="e" vm="333">
        <v>#VALUE!</v>
      </c>
      <c r="E404" s="67">
        <f t="array" aca="1" ref="E404" ca="1">_FV(D404,"Price")</f>
        <v>343.55</v>
      </c>
      <c r="F404" s="68">
        <f t="array" aca="1" ref="F404" ca="1">_FV(D404,"Previous close",TRUE)</f>
        <v>321.60000000000002</v>
      </c>
      <c r="G404" s="62">
        <v>1331</v>
      </c>
    </row>
    <row r="405" spans="1:7" ht="27" thickBot="1">
      <c r="A405" s="95">
        <v>46186</v>
      </c>
      <c r="B405" s="96" t="s">
        <v>595</v>
      </c>
      <c r="C405" s="96" t="s">
        <v>972</v>
      </c>
      <c r="D405" s="96" t="e" vm="10">
        <v>#VALUE!</v>
      </c>
      <c r="E405" s="67">
        <f t="array" aca="1" ref="E405" ca="1">_FV(D405,"Price")</f>
        <v>3145.3</v>
      </c>
      <c r="F405" s="68">
        <f t="array" aca="1" ref="F405" ca="1">_FV(D405,"Previous close",TRUE)</f>
        <v>3128.1</v>
      </c>
      <c r="G405" s="62">
        <v>1332</v>
      </c>
    </row>
    <row r="406" spans="1:7" ht="27" thickBot="1">
      <c r="A406" s="95">
        <v>46186</v>
      </c>
      <c r="B406" s="96" t="s">
        <v>468</v>
      </c>
      <c r="C406" s="96" t="s">
        <v>972</v>
      </c>
      <c r="D406" s="96" t="e" vm="334">
        <v>#VALUE!</v>
      </c>
      <c r="E406" s="67">
        <f t="array" aca="1" ref="E406" ca="1">_FV(D406,"Price")</f>
        <v>87.3</v>
      </c>
      <c r="F406" s="68">
        <f t="array" aca="1" ref="F406" ca="1">_FV(D406,"Previous close",TRUE)</f>
        <v>83.08</v>
      </c>
      <c r="G406" s="62">
        <v>1333</v>
      </c>
    </row>
    <row r="407" spans="1:7" ht="27" thickBot="1">
      <c r="A407" s="95">
        <v>46186</v>
      </c>
      <c r="B407" s="96" t="s">
        <v>394</v>
      </c>
      <c r="C407" s="96" t="s">
        <v>972</v>
      </c>
      <c r="D407" s="96" t="e" vm="58">
        <v>#VALUE!</v>
      </c>
      <c r="E407" s="67">
        <f t="array" aca="1" ref="E407" ca="1">_FV(D407,"Price")</f>
        <v>315.7</v>
      </c>
      <c r="F407" s="68">
        <f t="array" aca="1" ref="F407" ca="1">_FV(D407,"Previous close",TRUE)</f>
        <v>309.75</v>
      </c>
      <c r="G407" s="62">
        <v>1334</v>
      </c>
    </row>
    <row r="408" spans="1:7" ht="27" thickBot="1">
      <c r="A408" s="95">
        <v>46186</v>
      </c>
      <c r="B408" s="96" t="s">
        <v>663</v>
      </c>
      <c r="C408" s="96" t="s">
        <v>972</v>
      </c>
      <c r="D408" s="96" t="e" vm="5">
        <v>#VALUE!</v>
      </c>
      <c r="E408" s="67">
        <f t="array" aca="1" ref="E408" ca="1">_FV(D408,"Price")</f>
        <v>1266.7</v>
      </c>
      <c r="F408" s="68">
        <f t="array" aca="1" ref="F408" ca="1">_FV(D408,"Previous close",TRUE)</f>
        <v>1235.5999999999999</v>
      </c>
      <c r="G408" s="62">
        <v>1335</v>
      </c>
    </row>
    <row r="409" spans="1:7" ht="27" thickBot="1">
      <c r="A409" s="95">
        <v>46186</v>
      </c>
      <c r="B409" s="96" t="s">
        <v>256</v>
      </c>
      <c r="C409" s="96" t="s">
        <v>972</v>
      </c>
      <c r="D409" s="96" t="e" vm="293">
        <v>#VALUE!</v>
      </c>
      <c r="E409" s="67">
        <f t="array" aca="1" ref="E409" ca="1">_FV(D409,"Price")</f>
        <v>1993.3</v>
      </c>
      <c r="F409" s="68">
        <f t="array" aca="1" ref="F409" ca="1">_FV(D409,"Previous close",TRUE)</f>
        <v>1893.7</v>
      </c>
      <c r="G409" s="62">
        <v>1336</v>
      </c>
    </row>
    <row r="410" spans="1:7" ht="27" thickBot="1">
      <c r="A410" s="95">
        <v>46186</v>
      </c>
      <c r="B410" s="96" t="s">
        <v>1202</v>
      </c>
      <c r="C410" s="96" t="s">
        <v>972</v>
      </c>
      <c r="D410" s="96" t="e" vm="335">
        <v>#VALUE!</v>
      </c>
      <c r="E410" s="67">
        <f t="array" aca="1" ref="E410" ca="1">_FV(D410,"Price")</f>
        <v>157.4</v>
      </c>
      <c r="F410" s="68">
        <f t="array" aca="1" ref="F410" ca="1">_FV(D410,"Previous close",TRUE)</f>
        <v>153.07</v>
      </c>
      <c r="G410" s="62">
        <v>1337</v>
      </c>
    </row>
    <row r="411" spans="1:7" ht="27" thickBot="1">
      <c r="A411" s="95">
        <v>46186</v>
      </c>
      <c r="B411" s="96" t="s">
        <v>1203</v>
      </c>
      <c r="C411" s="96" t="s">
        <v>972</v>
      </c>
      <c r="D411" s="96" t="e" vm="336">
        <v>#VALUE!</v>
      </c>
      <c r="E411" s="67">
        <f t="array" aca="1" ref="E411" ca="1">_FV(D411,"Price")</f>
        <v>2870.4</v>
      </c>
      <c r="F411" s="68">
        <f t="array" aca="1" ref="F411" ca="1">_FV(D411,"Previous close",TRUE)</f>
        <v>2553.1999999999998</v>
      </c>
      <c r="G411" s="62">
        <v>1338</v>
      </c>
    </row>
    <row r="412" spans="1:7" ht="27" thickBot="1">
      <c r="A412" s="95">
        <v>46186</v>
      </c>
      <c r="B412" s="96" t="s">
        <v>977</v>
      </c>
      <c r="C412" s="96" t="s">
        <v>972</v>
      </c>
      <c r="D412" s="96" t="e" vm="186">
        <v>#VALUE!</v>
      </c>
      <c r="E412" s="67">
        <f t="array" aca="1" ref="E412" ca="1">_FV(D412,"Price")</f>
        <v>583.65</v>
      </c>
      <c r="F412" s="68">
        <f t="array" aca="1" ref="F412" ca="1">_FV(D412,"Previous close",TRUE)</f>
        <v>568.4</v>
      </c>
      <c r="G412" s="62">
        <v>1339</v>
      </c>
    </row>
    <row r="413" spans="1:7" ht="15.75" thickBot="1">
      <c r="A413" s="95">
        <v>46186</v>
      </c>
      <c r="B413" s="96" t="s">
        <v>332</v>
      </c>
      <c r="C413" s="96" t="s">
        <v>972</v>
      </c>
      <c r="D413" s="96" t="e" vm="154">
        <v>#VALUE!</v>
      </c>
      <c r="E413" s="67">
        <f t="array" aca="1" ref="E413" ca="1">_FV(D413,"Price")</f>
        <v>4041.1</v>
      </c>
      <c r="F413" s="68">
        <f t="array" aca="1" ref="F413" ca="1">_FV(D413,"Previous close",TRUE)</f>
        <v>3888.3</v>
      </c>
      <c r="G413" s="62">
        <v>1340</v>
      </c>
    </row>
    <row r="414" spans="1:7" ht="27" thickBot="1">
      <c r="A414" s="95">
        <v>46186</v>
      </c>
      <c r="B414" s="96" t="s">
        <v>1054</v>
      </c>
      <c r="C414" s="96" t="s">
        <v>972</v>
      </c>
      <c r="D414" s="96" t="e" vm="289">
        <v>#VALUE!</v>
      </c>
      <c r="E414" s="67">
        <f t="array" aca="1" ref="E414" ca="1">_FV(D414,"Price")</f>
        <v>3582.8</v>
      </c>
      <c r="F414" s="68">
        <f t="array" aca="1" ref="F414" ca="1">_FV(D414,"Previous close",TRUE)</f>
        <v>3389.8</v>
      </c>
      <c r="G414" s="62">
        <v>1341</v>
      </c>
    </row>
    <row r="415" spans="1:7" ht="27" thickBot="1">
      <c r="A415" s="95">
        <v>46186</v>
      </c>
      <c r="B415" s="96" t="s">
        <v>406</v>
      </c>
      <c r="C415" s="96" t="s">
        <v>972</v>
      </c>
      <c r="D415" s="96" t="e" vm="195">
        <v>#VALUE!</v>
      </c>
      <c r="E415" s="67">
        <f t="array" aca="1" ref="E415" ca="1">_FV(D415,"Price")</f>
        <v>1945.1</v>
      </c>
      <c r="F415" s="68">
        <f t="array" aca="1" ref="F415" ca="1">_FV(D415,"Previous close",TRUE)</f>
        <v>1942.9</v>
      </c>
      <c r="G415" s="62">
        <v>1342</v>
      </c>
    </row>
    <row r="416" spans="1:7" ht="27" thickBot="1">
      <c r="A416" s="95">
        <v>46186</v>
      </c>
      <c r="B416" s="96" t="s">
        <v>203</v>
      </c>
      <c r="C416" s="96" t="s">
        <v>972</v>
      </c>
      <c r="D416" s="96" t="e" vm="241">
        <v>#VALUE!</v>
      </c>
      <c r="E416" s="67">
        <f t="array" aca="1" ref="E416" ca="1">_FV(D416,"Price")</f>
        <v>977.15</v>
      </c>
      <c r="F416" s="68">
        <f t="array" aca="1" ref="F416" ca="1">_FV(D416,"Previous close",TRUE)</f>
        <v>937</v>
      </c>
      <c r="G416" s="62">
        <v>1343</v>
      </c>
    </row>
    <row r="417" spans="1:7" ht="27" thickBot="1">
      <c r="A417" s="95">
        <v>46186</v>
      </c>
      <c r="B417" s="96" t="s">
        <v>990</v>
      </c>
      <c r="C417" s="96" t="s">
        <v>972</v>
      </c>
      <c r="D417" s="96" t="e" vm="203">
        <v>#VALUE!</v>
      </c>
      <c r="E417" s="67">
        <f t="array" aca="1" ref="E417" ca="1">_FV(D417,"Price")</f>
        <v>1261.2</v>
      </c>
      <c r="F417" s="68">
        <f t="array" aca="1" ref="F417" ca="1">_FV(D417,"Previous close",TRUE)</f>
        <v>1201.2</v>
      </c>
      <c r="G417" s="62">
        <v>1344</v>
      </c>
    </row>
    <row r="418" spans="1:7" ht="27" thickBot="1">
      <c r="A418" s="95">
        <v>46186</v>
      </c>
      <c r="B418" s="96" t="s">
        <v>195</v>
      </c>
      <c r="C418" s="96" t="s">
        <v>972</v>
      </c>
      <c r="D418" s="96" t="e" vm="259">
        <v>#VALUE!</v>
      </c>
      <c r="E418" s="67">
        <f t="array" aca="1" ref="E418" ca="1">_FV(D418,"Price")</f>
        <v>793.2</v>
      </c>
      <c r="F418" s="68">
        <f t="array" aca="1" ref="F418" ca="1">_FV(D418,"Previous close",TRUE)</f>
        <v>793.1</v>
      </c>
      <c r="G418" s="62">
        <v>1345</v>
      </c>
    </row>
    <row r="419" spans="1:7" ht="27" thickBot="1">
      <c r="A419" s="95">
        <v>46186</v>
      </c>
      <c r="B419" s="96" t="s">
        <v>994</v>
      </c>
      <c r="C419" s="96" t="s">
        <v>972</v>
      </c>
      <c r="D419" s="96" t="e" vm="207">
        <v>#VALUE!</v>
      </c>
      <c r="E419" s="67">
        <f t="array" aca="1" ref="E419" ca="1">_FV(D419,"Price")</f>
        <v>814.95</v>
      </c>
      <c r="F419" s="68">
        <f t="array" aca="1" ref="F419" ca="1">_FV(D419,"Previous close",TRUE)</f>
        <v>813.75</v>
      </c>
      <c r="G419" s="62">
        <v>1346</v>
      </c>
    </row>
    <row r="420" spans="1:7" ht="27" thickBot="1">
      <c r="A420" s="95">
        <v>46186</v>
      </c>
      <c r="B420" s="96" t="s">
        <v>1016</v>
      </c>
      <c r="C420" s="96" t="s">
        <v>972</v>
      </c>
      <c r="D420" s="96" t="e" vm="238">
        <v>#VALUE!</v>
      </c>
      <c r="E420" s="67">
        <f t="array" aca="1" ref="E420" ca="1">_FV(D420,"Price")</f>
        <v>712</v>
      </c>
      <c r="F420" s="68">
        <f t="array" aca="1" ref="F420" ca="1">_FV(D420,"Previous close",TRUE)</f>
        <v>734.65</v>
      </c>
      <c r="G420" s="62">
        <v>1347</v>
      </c>
    </row>
    <row r="421" spans="1:7" ht="27" thickBot="1">
      <c r="A421" s="95">
        <v>46186</v>
      </c>
      <c r="B421" s="96" t="s">
        <v>974</v>
      </c>
      <c r="C421" s="96" t="s">
        <v>972</v>
      </c>
      <c r="D421" s="96" t="e" vm="183">
        <v>#VALUE!</v>
      </c>
      <c r="E421" s="67">
        <f t="array" aca="1" ref="E421" ca="1">_FV(D421,"Price")</f>
        <v>2853</v>
      </c>
      <c r="F421" s="68">
        <f t="array" aca="1" ref="F421" ca="1">_FV(D421,"Previous close",TRUE)</f>
        <v>2778.8</v>
      </c>
      <c r="G421" s="62">
        <v>1348</v>
      </c>
    </row>
    <row r="422" spans="1:7" ht="27" thickBot="1">
      <c r="A422" s="95">
        <v>46186</v>
      </c>
      <c r="B422" s="96" t="s">
        <v>986</v>
      </c>
      <c r="C422" s="96" t="s">
        <v>972</v>
      </c>
      <c r="D422" s="96" t="e" vm="199">
        <v>#VALUE!</v>
      </c>
      <c r="E422" s="67">
        <f t="array" aca="1" ref="E422" ca="1">_FV(D422,"Price")</f>
        <v>1028.7</v>
      </c>
      <c r="F422" s="68">
        <f t="array" aca="1" ref="F422" ca="1">_FV(D422,"Previous close",TRUE)</f>
        <v>1027.4000000000001</v>
      </c>
      <c r="G422" s="62">
        <v>1349</v>
      </c>
    </row>
    <row r="423" spans="1:7" ht="27" thickBot="1">
      <c r="A423" s="95">
        <v>46186</v>
      </c>
      <c r="B423" s="96" t="s">
        <v>996</v>
      </c>
      <c r="C423" s="96" t="s">
        <v>972</v>
      </c>
      <c r="D423" s="96" t="e" vm="209">
        <v>#VALUE!</v>
      </c>
      <c r="E423" s="67">
        <f t="array" aca="1" ref="E423" ca="1">_FV(D423,"Price")</f>
        <v>2972</v>
      </c>
      <c r="F423" s="68">
        <f t="array" aca="1" ref="F423" ca="1">_FV(D423,"Previous close",TRUE)</f>
        <v>2939.3</v>
      </c>
      <c r="G423" s="62">
        <v>1350</v>
      </c>
    </row>
    <row r="424" spans="1:7" ht="27" thickBot="1">
      <c r="A424" s="95">
        <v>46186</v>
      </c>
      <c r="B424" s="96" t="s">
        <v>1029</v>
      </c>
      <c r="C424" s="96" t="s">
        <v>972</v>
      </c>
      <c r="D424" s="96" t="e" vm="257">
        <v>#VALUE!</v>
      </c>
      <c r="E424" s="67">
        <f t="array" aca="1" ref="E424" ca="1">_FV(D424,"Price")</f>
        <v>929.55</v>
      </c>
      <c r="F424" s="68">
        <f t="array" aca="1" ref="F424" ca="1">_FV(D424,"Previous close",TRUE)</f>
        <v>885.3</v>
      </c>
      <c r="G424" s="62">
        <v>1351</v>
      </c>
    </row>
    <row r="425" spans="1:7" ht="27" thickBot="1">
      <c r="A425" s="95">
        <v>46186</v>
      </c>
      <c r="B425" s="96" t="s">
        <v>997</v>
      </c>
      <c r="C425" s="96" t="s">
        <v>972</v>
      </c>
      <c r="D425" s="96" t="e" vm="213">
        <v>#VALUE!</v>
      </c>
      <c r="E425" s="67">
        <f t="array" aca="1" ref="E425" ca="1">_FV(D425,"Price")</f>
        <v>6131.5</v>
      </c>
      <c r="F425" s="68">
        <f t="array" aca="1" ref="F425" ca="1">_FV(D425,"Previous close",TRUE)</f>
        <v>6241</v>
      </c>
      <c r="G425" s="62">
        <v>1352</v>
      </c>
    </row>
    <row r="426" spans="1:7" ht="27" thickBot="1">
      <c r="A426" s="95">
        <v>46186</v>
      </c>
      <c r="B426" s="96" t="s">
        <v>719</v>
      </c>
      <c r="C426" s="96" t="s">
        <v>972</v>
      </c>
      <c r="D426" s="96" t="e" vm="26">
        <v>#VALUE!</v>
      </c>
      <c r="E426" s="67">
        <f t="array" aca="1" ref="E426" ca="1">_FV(D426,"Price")</f>
        <v>7303</v>
      </c>
      <c r="F426" s="68">
        <f t="array" aca="1" ref="F426" ca="1">_FV(D426,"Previous close",TRUE)</f>
        <v>7157</v>
      </c>
      <c r="G426" s="62">
        <v>1353</v>
      </c>
    </row>
    <row r="427" spans="1:7" ht="27" thickBot="1">
      <c r="A427" s="95">
        <v>46186</v>
      </c>
      <c r="B427" s="96" t="s">
        <v>1070</v>
      </c>
      <c r="C427" s="96" t="s">
        <v>972</v>
      </c>
      <c r="D427" s="96" t="e" vm="315">
        <v>#VALUE!</v>
      </c>
      <c r="E427" s="67">
        <f t="array" aca="1" ref="E427" ca="1">_FV(D427,"Price")</f>
        <v>1797.5</v>
      </c>
      <c r="F427" s="68">
        <f t="array" aca="1" ref="F427" ca="1">_FV(D427,"Previous close",TRUE)</f>
        <v>1715.1</v>
      </c>
      <c r="G427" s="62">
        <v>1354</v>
      </c>
    </row>
    <row r="428" spans="1:7" ht="15.75" thickBot="1">
      <c r="A428" s="95">
        <v>46186</v>
      </c>
      <c r="B428" s="96" t="s">
        <v>655</v>
      </c>
      <c r="C428" s="96" t="s">
        <v>972</v>
      </c>
      <c r="D428" s="96" t="e" vm="1">
        <v>#VALUE!</v>
      </c>
      <c r="E428" s="67">
        <f t="array" aca="1" ref="E428" ca="1">_FV(D428,"Price")</f>
        <v>1178.9000000000001</v>
      </c>
      <c r="F428" s="68">
        <f t="array" aca="1" ref="F428" ca="1">_FV(D428,"Previous close",TRUE)</f>
        <v>1163.8</v>
      </c>
      <c r="G428" s="62">
        <v>1355</v>
      </c>
    </row>
    <row r="429" spans="1:7" ht="27" thickBot="1">
      <c r="A429" s="95">
        <v>46186</v>
      </c>
      <c r="B429" s="96" t="s">
        <v>1204</v>
      </c>
      <c r="C429" s="96" t="s">
        <v>972</v>
      </c>
      <c r="D429" s="96" t="e" vm="337">
        <v>#VALUE!</v>
      </c>
      <c r="E429" s="67">
        <f t="array" aca="1" ref="E429" ca="1">_FV(D429,"Price")</f>
        <v>2345.3000000000002</v>
      </c>
      <c r="F429" s="68">
        <f t="array" aca="1" ref="F429" ca="1">_FV(D429,"Previous close",TRUE)</f>
        <v>2385.4</v>
      </c>
      <c r="G429" s="62">
        <v>1356</v>
      </c>
    </row>
    <row r="430" spans="1:7" ht="27" thickBot="1">
      <c r="A430" s="95">
        <v>46186</v>
      </c>
      <c r="B430" s="96" t="s">
        <v>1205</v>
      </c>
      <c r="C430" s="96" t="s">
        <v>972</v>
      </c>
      <c r="D430" s="96" t="e" vm="338">
        <v>#VALUE!</v>
      </c>
      <c r="E430" s="67">
        <f t="array" aca="1" ref="E430" ca="1">_FV(D430,"Price")</f>
        <v>3179.9</v>
      </c>
      <c r="F430" s="68">
        <f t="array" aca="1" ref="F430" ca="1">_FV(D430,"Previous close",TRUE)</f>
        <v>3056.6</v>
      </c>
      <c r="G430" s="62">
        <v>1357</v>
      </c>
    </row>
    <row r="431" spans="1:7" ht="27" thickBot="1">
      <c r="A431" s="95">
        <v>46186</v>
      </c>
      <c r="B431" s="96" t="s">
        <v>431</v>
      </c>
      <c r="C431" s="96" t="s">
        <v>972</v>
      </c>
      <c r="D431" s="96" t="e" vm="189">
        <v>#VALUE!</v>
      </c>
      <c r="E431" s="67">
        <f t="array" aca="1" ref="E431" ca="1">_FV(D431,"Price")</f>
        <v>1890.5</v>
      </c>
      <c r="F431" s="68">
        <f t="array" aca="1" ref="F431" ca="1">_FV(D431,"Previous close",TRUE)</f>
        <v>1797.9</v>
      </c>
      <c r="G431" s="62">
        <v>1358</v>
      </c>
    </row>
    <row r="432" spans="1:7" ht="27" thickBot="1">
      <c r="A432" s="95">
        <v>46186</v>
      </c>
      <c r="B432" s="96" t="s">
        <v>1053</v>
      </c>
      <c r="C432" s="96" t="s">
        <v>972</v>
      </c>
      <c r="D432" s="96" t="e" vm="288">
        <v>#VALUE!</v>
      </c>
      <c r="E432" s="67">
        <f t="array" aca="1" ref="E432" ca="1">_FV(D432,"Price")</f>
        <v>1101.2</v>
      </c>
      <c r="F432" s="68">
        <f t="array" aca="1" ref="F432" ca="1">_FV(D432,"Previous close",TRUE)</f>
        <v>1068.5999999999999</v>
      </c>
      <c r="G432" s="62">
        <v>1359</v>
      </c>
    </row>
    <row r="433" spans="1:7" ht="27" thickBot="1">
      <c r="A433" s="95">
        <v>46186</v>
      </c>
      <c r="B433" s="96" t="s">
        <v>169</v>
      </c>
      <c r="C433" s="96" t="s">
        <v>972</v>
      </c>
      <c r="D433" s="96" t="e" vm="214">
        <v>#VALUE!</v>
      </c>
      <c r="E433" s="67">
        <f t="array" aca="1" ref="E433" ca="1">_FV(D433,"Price")</f>
        <v>914.45</v>
      </c>
      <c r="F433" s="68">
        <f t="array" aca="1" ref="F433" ca="1">_FV(D433,"Previous close",TRUE)</f>
        <v>901.35</v>
      </c>
      <c r="G433" s="62">
        <v>1360</v>
      </c>
    </row>
    <row r="434" spans="1:7" ht="15.75" thickBot="1">
      <c r="A434" s="95">
        <v>46186</v>
      </c>
      <c r="B434" s="96" t="s">
        <v>1056</v>
      </c>
      <c r="C434" s="96" t="s">
        <v>972</v>
      </c>
      <c r="D434" s="96" t="e" vm="339">
        <v>#VALUE!</v>
      </c>
      <c r="E434" s="67">
        <f t="array" aca="1" ref="E434" ca="1">_FV(D434,"Price")</f>
        <v>493.65</v>
      </c>
      <c r="F434" s="68">
        <f t="array" aca="1" ref="F434" ca="1">_FV(D434,"Previous close",TRUE)</f>
        <v>455.55</v>
      </c>
      <c r="G434" s="62">
        <v>1361</v>
      </c>
    </row>
    <row r="435" spans="1:7" ht="27" thickBot="1">
      <c r="A435" s="95">
        <v>46186</v>
      </c>
      <c r="B435" s="96" t="s">
        <v>724</v>
      </c>
      <c r="C435" s="96" t="s">
        <v>995</v>
      </c>
      <c r="D435" s="96" t="e" vm="28">
        <v>#VALUE!</v>
      </c>
      <c r="E435" s="67">
        <f t="array" aca="1" ref="E435" ca="1">_FV(D435,"Price")</f>
        <v>2407.8000000000002</v>
      </c>
      <c r="F435" s="68">
        <f t="array" aca="1" ref="F435" ca="1">_FV(D435,"Previous close",TRUE)</f>
        <v>2331</v>
      </c>
      <c r="G435" s="62">
        <v>1362</v>
      </c>
    </row>
    <row r="436" spans="1:7" ht="27" thickBot="1">
      <c r="A436" s="95">
        <v>46186</v>
      </c>
      <c r="B436" s="96" t="s">
        <v>1015</v>
      </c>
      <c r="C436" s="96" t="s">
        <v>995</v>
      </c>
      <c r="D436" s="96" t="e" vm="237">
        <v>#VALUE!</v>
      </c>
      <c r="E436" s="67">
        <f t="array" aca="1" ref="E436" ca="1">_FV(D436,"Price")</f>
        <v>387.95</v>
      </c>
      <c r="F436" s="68">
        <f t="array" aca="1" ref="F436" ca="1">_FV(D436,"Previous close",TRUE)</f>
        <v>371.3</v>
      </c>
      <c r="G436" s="62">
        <v>1363</v>
      </c>
    </row>
    <row r="437" spans="1:7" ht="27" thickBot="1">
      <c r="A437" s="95">
        <v>46186</v>
      </c>
      <c r="B437" s="96" t="s">
        <v>837</v>
      </c>
      <c r="C437" s="96" t="s">
        <v>995</v>
      </c>
      <c r="D437" s="96" t="e" vm="50">
        <v>#VALUE!</v>
      </c>
      <c r="E437" s="67">
        <f t="array" aca="1" ref="E437" ca="1">_FV(D437,"Price")</f>
        <v>3444.3</v>
      </c>
      <c r="F437" s="68">
        <f t="array" aca="1" ref="F437" ca="1">_FV(D437,"Previous close",TRUE)</f>
        <v>3243.2</v>
      </c>
      <c r="G437" s="62">
        <v>1364</v>
      </c>
    </row>
    <row r="438" spans="1:7" ht="27" thickBot="1">
      <c r="A438" s="95">
        <v>46186</v>
      </c>
      <c r="B438" s="96" t="s">
        <v>254</v>
      </c>
      <c r="C438" s="96" t="s">
        <v>995</v>
      </c>
      <c r="D438" s="96" t="e" vm="218">
        <v>#VALUE!</v>
      </c>
      <c r="E438" s="67">
        <f t="array" aca="1" ref="E438" ca="1">_FV(D438,"Price")</f>
        <v>680.5</v>
      </c>
      <c r="F438" s="68">
        <f t="array" aca="1" ref="F438" ca="1">_FV(D438,"Previous close",TRUE)</f>
        <v>680.05</v>
      </c>
      <c r="G438" s="62">
        <v>1365</v>
      </c>
    </row>
    <row r="439" spans="1:7" ht="27" thickBot="1">
      <c r="A439" s="95">
        <v>46186</v>
      </c>
      <c r="B439" s="96" t="s">
        <v>197</v>
      </c>
      <c r="C439" s="96" t="s">
        <v>995</v>
      </c>
      <c r="D439" s="96" t="e" vm="27">
        <v>#VALUE!</v>
      </c>
      <c r="E439" s="67">
        <f t="array" aca="1" ref="E439" ca="1">_FV(D439,"Price")</f>
        <v>3048.8</v>
      </c>
      <c r="F439" s="68">
        <f t="array" aca="1" ref="F439" ca="1">_FV(D439,"Previous close",TRUE)</f>
        <v>2716.5</v>
      </c>
      <c r="G439" s="62">
        <v>1366</v>
      </c>
    </row>
    <row r="440" spans="1:7" ht="27" thickBot="1">
      <c r="A440" s="95">
        <v>46186</v>
      </c>
      <c r="B440" s="96" t="s">
        <v>1051</v>
      </c>
      <c r="C440" s="96" t="s">
        <v>995</v>
      </c>
      <c r="D440" s="96" t="e" vm="286">
        <v>#VALUE!</v>
      </c>
      <c r="E440" s="67">
        <f t="array" aca="1" ref="E440" ca="1">_FV(D440,"Price")</f>
        <v>528.9</v>
      </c>
      <c r="F440" s="68">
        <f t="array" aca="1" ref="F440" ca="1">_FV(D440,"Previous close",TRUE)</f>
        <v>519.4</v>
      </c>
      <c r="G440" s="62">
        <v>1367</v>
      </c>
    </row>
    <row r="441" spans="1:7" ht="15.75" thickBot="1">
      <c r="A441" s="95">
        <v>46186</v>
      </c>
      <c r="B441" s="96" t="s">
        <v>193</v>
      </c>
      <c r="C441" s="96" t="s">
        <v>995</v>
      </c>
      <c r="D441" s="96" t="e" vm="164">
        <v>#VALUE!</v>
      </c>
      <c r="E441" s="67">
        <f t="array" aca="1" ref="E441" ca="1">_FV(D441,"Price")</f>
        <v>171.86</v>
      </c>
      <c r="F441" s="68">
        <f t="array" aca="1" ref="F441" ca="1">_FV(D441,"Previous close",TRUE)</f>
        <v>163.68</v>
      </c>
      <c r="G441" s="62">
        <v>1368</v>
      </c>
    </row>
    <row r="442" spans="1:7" ht="15.75" thickBot="1">
      <c r="A442" s="95">
        <v>46186</v>
      </c>
      <c r="B442" s="96" t="s">
        <v>856</v>
      </c>
      <c r="C442" s="96" t="s">
        <v>995</v>
      </c>
      <c r="D442" s="96" t="e" vm="72">
        <v>#VALUE!</v>
      </c>
      <c r="E442" s="67">
        <f t="array" aca="1" ref="E442" ca="1">_FV(D442,"Price")</f>
        <v>568.54999999999995</v>
      </c>
      <c r="F442" s="68">
        <f t="array" aca="1" ref="F442" ca="1">_FV(D442,"Previous close",TRUE)</f>
        <v>560.75</v>
      </c>
      <c r="G442" s="62">
        <v>1369</v>
      </c>
    </row>
    <row r="443" spans="1:7" ht="27" thickBot="1">
      <c r="A443" s="95">
        <v>46186</v>
      </c>
      <c r="B443" s="96" t="s">
        <v>459</v>
      </c>
      <c r="C443" s="96" t="s">
        <v>1001</v>
      </c>
      <c r="D443" s="96" t="e" vm="324">
        <v>#VALUE!</v>
      </c>
      <c r="E443" s="67">
        <f t="array" aca="1" ref="E443" ca="1">_FV(D443,"Price")</f>
        <v>46.66</v>
      </c>
      <c r="F443" s="68">
        <f t="array" aca="1" ref="F443" ca="1">_FV(D443,"Previous close",TRUE)</f>
        <v>45.32</v>
      </c>
      <c r="G443" s="62">
        <v>1370</v>
      </c>
    </row>
    <row r="444" spans="1:7" ht="27" thickBot="1">
      <c r="A444" s="95">
        <v>46186</v>
      </c>
      <c r="B444" s="96" t="s">
        <v>1206</v>
      </c>
      <c r="C444" s="96" t="s">
        <v>1001</v>
      </c>
      <c r="D444" s="96" t="e" vm="340">
        <v>#VALUE!</v>
      </c>
      <c r="E444" s="67">
        <f t="array" aca="1" ref="E444" ca="1">_FV(D444,"Price")</f>
        <v>109.78</v>
      </c>
      <c r="F444" s="68">
        <f t="array" aca="1" ref="F444" ca="1">_FV(D444,"Previous close",TRUE)</f>
        <v>102.84</v>
      </c>
      <c r="G444" s="62">
        <v>1371</v>
      </c>
    </row>
    <row r="445" spans="1:7" ht="27" thickBot="1">
      <c r="A445" s="95">
        <v>46186</v>
      </c>
      <c r="B445" s="96" t="s">
        <v>1207</v>
      </c>
      <c r="C445" s="96" t="s">
        <v>1001</v>
      </c>
      <c r="D445" s="96" t="e" vm="341">
        <v>#VALUE!</v>
      </c>
      <c r="E445" s="67">
        <f t="array" aca="1" ref="E445" ca="1">_FV(D445,"Price")</f>
        <v>944.4</v>
      </c>
      <c r="F445" s="68">
        <f t="array" aca="1" ref="F445" ca="1">_FV(D445,"Previous close",TRUE)</f>
        <v>925.9</v>
      </c>
      <c r="G445" s="62">
        <v>1372</v>
      </c>
    </row>
    <row r="446" spans="1:7" ht="27" thickBot="1">
      <c r="A446" s="95">
        <v>46186</v>
      </c>
      <c r="B446" s="96" t="s">
        <v>1208</v>
      </c>
      <c r="C446" s="96" t="s">
        <v>1001</v>
      </c>
      <c r="D446" s="96" t="e" vm="342">
        <v>#VALUE!</v>
      </c>
      <c r="E446" s="67">
        <f t="array" aca="1" ref="E446" ca="1">_FV(D446,"Price")</f>
        <v>290.98</v>
      </c>
      <c r="F446" s="68">
        <f t="array" aca="1" ref="F446" ca="1">_FV(D446,"Previous close",TRUE)</f>
        <v>292.5</v>
      </c>
      <c r="G446" s="62">
        <v>1373</v>
      </c>
    </row>
    <row r="447" spans="1:7" ht="15.75" thickBot="1">
      <c r="A447" s="95">
        <v>46186</v>
      </c>
      <c r="B447" s="96" t="s">
        <v>1005</v>
      </c>
      <c r="C447" s="96" t="s">
        <v>1001</v>
      </c>
      <c r="D447" s="96" t="e" vm="224">
        <v>#VALUE!</v>
      </c>
      <c r="E447" s="67">
        <f t="array" aca="1" ref="E447" ca="1">_FV(D447,"Price")</f>
        <v>1687</v>
      </c>
      <c r="F447" s="68">
        <f t="array" aca="1" ref="F447" ca="1">_FV(D447,"Previous close",TRUE)</f>
        <v>1568.2</v>
      </c>
      <c r="G447" s="62">
        <v>1374</v>
      </c>
    </row>
    <row r="448" spans="1:7" ht="27" thickBot="1">
      <c r="A448" s="95">
        <v>46186</v>
      </c>
      <c r="B448" s="96" t="s">
        <v>1209</v>
      </c>
      <c r="C448" s="96" t="s">
        <v>1001</v>
      </c>
      <c r="D448" s="96" t="e" vm="343">
        <v>#VALUE!</v>
      </c>
      <c r="E448" s="67">
        <f t="array" aca="1" ref="E448" ca="1">_FV(D448,"Price")</f>
        <v>478.8</v>
      </c>
      <c r="F448" s="68">
        <f t="array" aca="1" ref="F448" ca="1">_FV(D448,"Previous close",TRUE)</f>
        <v>423.8</v>
      </c>
      <c r="G448" s="62">
        <v>1375</v>
      </c>
    </row>
    <row r="449" spans="1:7" ht="27" thickBot="1">
      <c r="A449" s="95">
        <v>46186</v>
      </c>
      <c r="B449" s="96" t="s">
        <v>305</v>
      </c>
      <c r="C449" s="96" t="s">
        <v>1001</v>
      </c>
      <c r="D449" s="96" t="e" vm="99">
        <v>#VALUE!</v>
      </c>
      <c r="E449" s="67">
        <f t="array" aca="1" ref="E449" ca="1">_FV(D449,"Price")</f>
        <v>1535.5</v>
      </c>
      <c r="F449" s="68">
        <f t="array" aca="1" ref="F449" ca="1">_FV(D449,"Previous close",TRUE)</f>
        <v>1498.8</v>
      </c>
      <c r="G449" s="62">
        <v>1376</v>
      </c>
    </row>
    <row r="450" spans="1:7" ht="27" thickBot="1">
      <c r="A450" s="95">
        <v>46186</v>
      </c>
      <c r="B450" s="96" t="s">
        <v>1210</v>
      </c>
      <c r="C450" s="96" t="s">
        <v>1001</v>
      </c>
      <c r="D450" s="96" t="e" vm="344">
        <v>#VALUE!</v>
      </c>
      <c r="E450" s="67">
        <f t="array" aca="1" ref="E450" ca="1">_FV(D450,"Price")</f>
        <v>44.52</v>
      </c>
      <c r="F450" s="68">
        <f t="array" aca="1" ref="F450" ca="1">_FV(D450,"Previous close",TRUE)</f>
        <v>43.37</v>
      </c>
      <c r="G450" s="62">
        <v>1377</v>
      </c>
    </row>
    <row r="451" spans="1:7" ht="27" thickBot="1">
      <c r="A451" s="95">
        <v>46186</v>
      </c>
      <c r="B451" s="96" t="s">
        <v>950</v>
      </c>
      <c r="C451" s="96" t="s">
        <v>1001</v>
      </c>
      <c r="D451" s="96" t="e" vm="160">
        <v>#VALUE!</v>
      </c>
      <c r="E451" s="67">
        <f t="array" aca="1" ref="E451" ca="1">_FV(D451,"Price")</f>
        <v>246.2</v>
      </c>
      <c r="F451" s="68">
        <f t="array" aca="1" ref="F451" ca="1">_FV(D451,"Previous close",TRUE)</f>
        <v>252.6</v>
      </c>
      <c r="G451" s="62">
        <v>1378</v>
      </c>
    </row>
    <row r="452" spans="1:7" ht="15.75" thickBot="1">
      <c r="A452" s="95">
        <v>46186</v>
      </c>
      <c r="B452" s="96" t="s">
        <v>1211</v>
      </c>
      <c r="C452" s="96" t="s">
        <v>1001</v>
      </c>
      <c r="D452" s="96" t="e" vm="345">
        <v>#VALUE!</v>
      </c>
      <c r="E452" s="67">
        <f t="array" aca="1" ref="E452" ca="1">_FV(D452,"Price")</f>
        <v>1356.3</v>
      </c>
      <c r="F452" s="68">
        <f t="array" aca="1" ref="F452" ca="1">_FV(D452,"Previous close",TRUE)</f>
        <v>1317.3</v>
      </c>
      <c r="G452" s="62">
        <v>1379</v>
      </c>
    </row>
    <row r="453" spans="1:7" ht="15.75" thickBot="1">
      <c r="A453" s="95">
        <v>46186</v>
      </c>
      <c r="B453" s="96" t="s">
        <v>891</v>
      </c>
      <c r="C453" s="96" t="s">
        <v>1001</v>
      </c>
      <c r="D453" s="96" t="e" vm="113">
        <v>#VALUE!</v>
      </c>
      <c r="E453" s="67">
        <f t="array" aca="1" ref="E453" ca="1">_FV(D453,"Price")</f>
        <v>1340.8</v>
      </c>
      <c r="F453" s="68">
        <f t="array" aca="1" ref="F453" ca="1">_FV(D453,"Previous close",TRUE)</f>
        <v>1317</v>
      </c>
      <c r="G453" s="62">
        <v>1380</v>
      </c>
    </row>
    <row r="454" spans="1:7" ht="27" thickBot="1">
      <c r="A454" s="95">
        <v>46186</v>
      </c>
      <c r="B454" s="96" t="s">
        <v>1002</v>
      </c>
      <c r="C454" s="96" t="s">
        <v>1001</v>
      </c>
      <c r="D454" s="96" t="e" vm="220">
        <v>#VALUE!</v>
      </c>
      <c r="E454" s="67">
        <f t="array" aca="1" ref="E454" ca="1">_FV(D454,"Price")</f>
        <v>201.91</v>
      </c>
      <c r="F454" s="68">
        <f t="array" aca="1" ref="F454" ca="1">_FV(D454,"Previous close",TRUE)</f>
        <v>193.73</v>
      </c>
      <c r="G454" s="62">
        <v>1381</v>
      </c>
    </row>
    <row r="455" spans="1:7" ht="27" thickBot="1">
      <c r="A455" s="95">
        <v>46186</v>
      </c>
      <c r="B455" s="96" t="s">
        <v>1212</v>
      </c>
      <c r="C455" s="96" t="s">
        <v>1001</v>
      </c>
      <c r="D455" s="96" t="e" vm="346">
        <v>#VALUE!</v>
      </c>
      <c r="E455" s="67">
        <f t="array" aca="1" ref="E455" ca="1">_FV(D455,"Price")</f>
        <v>556.45000000000005</v>
      </c>
      <c r="F455" s="68">
        <f t="array" aca="1" ref="F455" ca="1">_FV(D455,"Previous close",TRUE)</f>
        <v>536.4</v>
      </c>
      <c r="G455" s="62">
        <v>1382</v>
      </c>
    </row>
    <row r="456" spans="1:7" ht="15.75" thickBot="1">
      <c r="A456" s="95">
        <v>46186</v>
      </c>
      <c r="B456" s="96" t="s">
        <v>1213</v>
      </c>
      <c r="C456" s="96" t="s">
        <v>1001</v>
      </c>
      <c r="D456" s="96" t="e" vm="347">
        <v>#VALUE!</v>
      </c>
      <c r="E456" s="67">
        <f t="array" aca="1" ref="E456" ca="1">_FV(D456,"Price")</f>
        <v>366.8</v>
      </c>
      <c r="F456" s="68">
        <f t="array" aca="1" ref="F456" ca="1">_FV(D456,"Previous close",TRUE)</f>
        <v>345.4</v>
      </c>
      <c r="G456" s="62">
        <v>1383</v>
      </c>
    </row>
    <row r="457" spans="1:7" ht="15.75" thickBot="1">
      <c r="A457" s="95">
        <v>46186</v>
      </c>
      <c r="B457" s="96" t="s">
        <v>1214</v>
      </c>
      <c r="C457" s="96" t="s">
        <v>1001</v>
      </c>
      <c r="D457" s="96" t="e" vm="348">
        <v>#VALUE!</v>
      </c>
      <c r="E457" s="67">
        <f t="array" aca="1" ref="E457" ca="1">_FV(D457,"Price")</f>
        <v>98.41</v>
      </c>
      <c r="F457" s="68">
        <f t="array" aca="1" ref="F457" ca="1">_FV(D457,"Previous close",TRUE)</f>
        <v>93.75</v>
      </c>
      <c r="G457" s="62">
        <v>1384</v>
      </c>
    </row>
    <row r="458" spans="1:7" ht="27" thickBot="1">
      <c r="A458" s="95">
        <v>46186</v>
      </c>
      <c r="B458" s="96" t="s">
        <v>984</v>
      </c>
      <c r="C458" s="96" t="s">
        <v>1001</v>
      </c>
      <c r="D458" s="96" t="e" vm="197">
        <v>#VALUE!</v>
      </c>
      <c r="E458" s="67">
        <f t="array" aca="1" ref="E458" ca="1">_FV(D458,"Price")</f>
        <v>376.85</v>
      </c>
      <c r="F458" s="68">
        <f t="array" aca="1" ref="F458" ca="1">_FV(D458,"Previous close",TRUE)</f>
        <v>370.6</v>
      </c>
      <c r="G458" s="62">
        <v>1385</v>
      </c>
    </row>
    <row r="459" spans="1:7" ht="15.75" thickBot="1">
      <c r="A459" s="95">
        <v>46186</v>
      </c>
      <c r="B459" s="96" t="s">
        <v>388</v>
      </c>
      <c r="C459" s="96" t="s">
        <v>1001</v>
      </c>
      <c r="D459" s="96" t="e" vm="349">
        <v>#VALUE!</v>
      </c>
      <c r="E459" s="67">
        <f t="array" aca="1" ref="E459" ca="1">_FV(D459,"Price")</f>
        <v>1017.15</v>
      </c>
      <c r="F459" s="68">
        <f t="array" aca="1" ref="F459" ca="1">_FV(D459,"Previous close",TRUE)</f>
        <v>1000.7</v>
      </c>
      <c r="G459" s="62">
        <v>1386</v>
      </c>
    </row>
    <row r="460" spans="1:7" ht="27" thickBot="1">
      <c r="A460" s="95">
        <v>46186</v>
      </c>
      <c r="B460" s="96" t="s">
        <v>1215</v>
      </c>
      <c r="C460" s="96" t="s">
        <v>1001</v>
      </c>
      <c r="D460" s="96" t="e" vm="350">
        <v>#VALUE!</v>
      </c>
      <c r="E460" s="67">
        <f t="array" aca="1" ref="E460" ca="1">_FV(D460,"Price")</f>
        <v>152.44999999999999</v>
      </c>
      <c r="F460" s="68">
        <f t="array" aca="1" ref="F460" ca="1">_FV(D460,"Previous close",TRUE)</f>
        <v>138.58000000000001</v>
      </c>
      <c r="G460" s="62">
        <v>1387</v>
      </c>
    </row>
    <row r="461" spans="1:7" ht="27" thickBot="1">
      <c r="A461" s="95">
        <v>46186</v>
      </c>
      <c r="B461" s="96" t="s">
        <v>155</v>
      </c>
      <c r="C461" s="96" t="s">
        <v>1001</v>
      </c>
      <c r="D461" s="96" t="e" vm="210">
        <v>#VALUE!</v>
      </c>
      <c r="E461" s="67">
        <f t="array" aca="1" ref="E461" ca="1">_FV(D461,"Price")</f>
        <v>1263.5999999999999</v>
      </c>
      <c r="F461" s="68">
        <f t="array" aca="1" ref="F461" ca="1">_FV(D461,"Previous close",TRUE)</f>
        <v>1183.4000000000001</v>
      </c>
      <c r="G461" s="62">
        <v>1388</v>
      </c>
    </row>
  </sheetData>
  <autoFilter ref="A1:J272" xr:uid="{00000000-0009-0000-0000-000006000000}"/>
  <mergeCells count="1">
    <mergeCell ref="M1:Q1"/>
  </mergeCells>
  <conditionalFormatting sqref="F2:F461">
    <cfRule type="expression" dxfId="9" priority="3">
      <formula>$E2&gt;$F2</formula>
    </cfRule>
  </conditionalFormatting>
  <conditionalFormatting sqref="G2:G461">
    <cfRule type="expression" dxfId="8" priority="4">
      <formula>$F2&gt;$G2</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1"/>
  <sheetViews>
    <sheetView workbookViewId="0">
      <pane ySplit="1" topLeftCell="A2" activePane="bottomLeft" state="frozen"/>
      <selection pane="bottomLeft" sqref="A1:A101"/>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7" customWidth="1"/>
    <col min="16" max="16" width="16" customWidth="1"/>
    <col min="17" max="18" width="17" customWidth="1"/>
    <col min="19" max="19" width="32" customWidth="1"/>
    <col min="20" max="20" width="16" customWidth="1"/>
    <col min="21" max="21" width="25" customWidth="1"/>
    <col min="22" max="22" width="14" customWidth="1"/>
    <col min="23" max="23" width="10" customWidth="1"/>
  </cols>
  <sheetData>
    <row r="1" spans="1:23">
      <c r="A1" s="72" t="s">
        <v>77</v>
      </c>
      <c r="B1" s="72" t="s">
        <v>53</v>
      </c>
      <c r="C1" s="72" t="s">
        <v>788</v>
      </c>
      <c r="D1" s="72" t="s">
        <v>136</v>
      </c>
      <c r="E1" s="72" t="s">
        <v>789</v>
      </c>
      <c r="F1" s="72" t="s">
        <v>1081</v>
      </c>
      <c r="G1" s="72" t="s">
        <v>1082</v>
      </c>
      <c r="H1" s="72" t="s">
        <v>791</v>
      </c>
      <c r="I1" s="72" t="s">
        <v>1083</v>
      </c>
      <c r="J1" s="72" t="s">
        <v>1084</v>
      </c>
      <c r="K1" s="72" t="s">
        <v>1085</v>
      </c>
      <c r="L1" s="72" t="s">
        <v>790</v>
      </c>
      <c r="M1" s="72" t="s">
        <v>795</v>
      </c>
      <c r="N1" s="72" t="s">
        <v>79</v>
      </c>
      <c r="O1" s="72" t="s">
        <v>802</v>
      </c>
      <c r="P1" s="72" t="s">
        <v>1086</v>
      </c>
      <c r="Q1" s="72" t="s">
        <v>803</v>
      </c>
      <c r="R1" s="72" t="s">
        <v>1087</v>
      </c>
      <c r="S1" s="72" t="s">
        <v>1088</v>
      </c>
      <c r="T1" s="72" t="s">
        <v>805</v>
      </c>
      <c r="U1" s="72" t="s">
        <v>806</v>
      </c>
      <c r="V1" s="72" t="s">
        <v>807</v>
      </c>
      <c r="W1" s="72" t="s">
        <v>792</v>
      </c>
    </row>
    <row r="2" spans="1:23">
      <c r="A2" s="60" t="s">
        <v>595</v>
      </c>
      <c r="B2" s="60" t="s">
        <v>64</v>
      </c>
      <c r="C2" s="60" t="s">
        <v>87</v>
      </c>
      <c r="D2" s="60" t="s">
        <v>74</v>
      </c>
      <c r="E2" s="60" t="s">
        <v>46</v>
      </c>
      <c r="F2" s="60">
        <v>35</v>
      </c>
      <c r="G2" s="62">
        <v>102284</v>
      </c>
      <c r="H2" s="62">
        <v>2922.4</v>
      </c>
      <c r="I2" s="60">
        <v>0</v>
      </c>
      <c r="J2" s="62">
        <v>0</v>
      </c>
      <c r="K2" s="62">
        <v>0</v>
      </c>
      <c r="L2" s="60">
        <v>35</v>
      </c>
      <c r="M2" s="62">
        <v>102284</v>
      </c>
      <c r="N2" s="62">
        <f ca="1">IFERROR(INDEX(Price_Update!$F:$F, MATCH(A2, Price_Update!$A:$A, 0)), 3145.3)</f>
        <v>3145.3</v>
      </c>
      <c r="O2" s="62">
        <f t="shared" ref="O2:O65" ca="1" si="0">L2*N2</f>
        <v>110085.5</v>
      </c>
      <c r="P2" s="62">
        <v>0</v>
      </c>
      <c r="Q2" s="62">
        <f t="shared" ref="Q2:Q65" ca="1" si="1">O2-M2</f>
        <v>7801.5</v>
      </c>
      <c r="R2" s="62">
        <f t="shared" ref="R2:R65" ca="1" si="2">P2+Q2</f>
        <v>7801.5</v>
      </c>
      <c r="S2" s="64">
        <f t="shared" ref="S2:S65" ca="1" si="3">IF(G2&gt;0, R2/G2, 0)</f>
        <v>7.6272926361894339E-2</v>
      </c>
      <c r="T2" s="60">
        <v>30</v>
      </c>
      <c r="U2" s="60"/>
      <c r="V2" s="60" t="s">
        <v>107</v>
      </c>
      <c r="W2" s="60" t="s">
        <v>1089</v>
      </c>
    </row>
    <row r="3" spans="1:23">
      <c r="A3" s="60" t="s">
        <v>176</v>
      </c>
      <c r="B3" s="60" t="s">
        <v>62</v>
      </c>
      <c r="C3" s="60" t="s">
        <v>86</v>
      </c>
      <c r="D3" s="60" t="s">
        <v>75</v>
      </c>
      <c r="E3" s="60" t="s">
        <v>46</v>
      </c>
      <c r="F3" s="60">
        <v>36</v>
      </c>
      <c r="G3" s="62">
        <v>102039.39939999999</v>
      </c>
      <c r="H3" s="62">
        <v>2834.43</v>
      </c>
      <c r="I3" s="60">
        <v>0</v>
      </c>
      <c r="J3" s="62">
        <v>0</v>
      </c>
      <c r="K3" s="62">
        <v>0</v>
      </c>
      <c r="L3" s="60">
        <v>36</v>
      </c>
      <c r="M3" s="62">
        <v>102039.48</v>
      </c>
      <c r="N3" s="62">
        <f ca="1">IFERROR(INDEX(Price_Update!$F:$F, MATCH(A3, Price_Update!$A:$A, 0)), 2921.6)</f>
        <v>2921.6</v>
      </c>
      <c r="O3" s="62">
        <f t="shared" ca="1" si="0"/>
        <v>105177.59999999999</v>
      </c>
      <c r="P3" s="62">
        <v>0</v>
      </c>
      <c r="Q3" s="62">
        <f t="shared" ca="1" si="1"/>
        <v>3138.1199999999953</v>
      </c>
      <c r="R3" s="62">
        <f t="shared" ca="1" si="2"/>
        <v>3138.1199999999953</v>
      </c>
      <c r="S3" s="64">
        <f t="shared" ca="1" si="3"/>
        <v>3.0754003046395778E-2</v>
      </c>
      <c r="T3" s="60">
        <v>30</v>
      </c>
      <c r="U3" s="60"/>
      <c r="V3" s="60" t="s">
        <v>107</v>
      </c>
      <c r="W3" s="60" t="s">
        <v>1089</v>
      </c>
    </row>
    <row r="4" spans="1:23">
      <c r="A4" s="60" t="s">
        <v>675</v>
      </c>
      <c r="B4" s="60" t="s">
        <v>63</v>
      </c>
      <c r="C4" s="60" t="s">
        <v>86</v>
      </c>
      <c r="D4" s="60" t="s">
        <v>74</v>
      </c>
      <c r="E4" s="60" t="s">
        <v>46</v>
      </c>
      <c r="F4" s="60">
        <v>22</v>
      </c>
      <c r="G4" s="62">
        <v>100632.1011</v>
      </c>
      <c r="H4" s="62">
        <v>4574.1899999999996</v>
      </c>
      <c r="I4" s="60">
        <v>0</v>
      </c>
      <c r="J4" s="62">
        <v>0</v>
      </c>
      <c r="K4" s="62">
        <v>0</v>
      </c>
      <c r="L4" s="60">
        <v>22</v>
      </c>
      <c r="M4" s="62">
        <v>100632.18</v>
      </c>
      <c r="N4" s="62">
        <f ca="1">IFERROR(INDEX(Price_Update!$F:$F, MATCH(A4, Price_Update!$A:$A, 0)), 4333.7)</f>
        <v>4333.7</v>
      </c>
      <c r="O4" s="62">
        <f t="shared" ca="1" si="0"/>
        <v>95341.4</v>
      </c>
      <c r="P4" s="62">
        <v>0</v>
      </c>
      <c r="Q4" s="62">
        <f t="shared" ca="1" si="1"/>
        <v>-5290.7799999999988</v>
      </c>
      <c r="R4" s="62">
        <f t="shared" ca="1" si="2"/>
        <v>-5290.7799999999988</v>
      </c>
      <c r="S4" s="64">
        <f t="shared" ca="1" si="3"/>
        <v>-5.2575469876579961E-2</v>
      </c>
      <c r="T4" s="60">
        <v>12</v>
      </c>
      <c r="U4" s="60"/>
      <c r="V4" s="60" t="s">
        <v>107</v>
      </c>
      <c r="W4" s="60" t="s">
        <v>1089</v>
      </c>
    </row>
    <row r="5" spans="1:23">
      <c r="A5" s="60" t="s">
        <v>118</v>
      </c>
      <c r="B5" s="60" t="s">
        <v>63</v>
      </c>
      <c r="C5" s="60" t="s">
        <v>87</v>
      </c>
      <c r="D5" s="60" t="s">
        <v>75</v>
      </c>
      <c r="E5" s="60" t="s">
        <v>40</v>
      </c>
      <c r="F5" s="60">
        <v>14</v>
      </c>
      <c r="G5" s="62">
        <v>43885.2</v>
      </c>
      <c r="H5" s="62">
        <v>3134.66</v>
      </c>
      <c r="I5" s="60">
        <v>0</v>
      </c>
      <c r="J5" s="62">
        <v>0</v>
      </c>
      <c r="K5" s="62">
        <v>0</v>
      </c>
      <c r="L5" s="60">
        <v>14</v>
      </c>
      <c r="M5" s="62">
        <v>43885.24</v>
      </c>
      <c r="N5" s="62">
        <f ca="1">IFERROR(INDEX(Price_Update!$F:$F, MATCH(A5, Price_Update!$A:$A, 0)), 3131)</f>
        <v>3131</v>
      </c>
      <c r="O5" s="62">
        <f t="shared" ca="1" si="0"/>
        <v>43834</v>
      </c>
      <c r="P5" s="62">
        <v>0</v>
      </c>
      <c r="Q5" s="62">
        <f t="shared" ca="1" si="1"/>
        <v>-51.239999999997963</v>
      </c>
      <c r="R5" s="62">
        <f t="shared" ca="1" si="2"/>
        <v>-51.239999999997963</v>
      </c>
      <c r="S5" s="64">
        <f t="shared" ca="1" si="3"/>
        <v>-1.1675918077164503E-3</v>
      </c>
      <c r="T5" s="60">
        <v>160</v>
      </c>
      <c r="U5" s="60"/>
      <c r="V5" s="60" t="s">
        <v>107</v>
      </c>
      <c r="W5" s="60" t="s">
        <v>1090</v>
      </c>
    </row>
    <row r="6" spans="1:23">
      <c r="A6" s="60" t="s">
        <v>682</v>
      </c>
      <c r="B6" s="60" t="s">
        <v>63</v>
      </c>
      <c r="C6" s="60" t="s">
        <v>86</v>
      </c>
      <c r="D6" s="60" t="s">
        <v>74</v>
      </c>
      <c r="E6" s="60" t="s">
        <v>46</v>
      </c>
      <c r="F6" s="60">
        <v>8</v>
      </c>
      <c r="G6" s="62">
        <v>105528</v>
      </c>
      <c r="H6" s="62">
        <v>13191</v>
      </c>
      <c r="I6" s="60">
        <v>0</v>
      </c>
      <c r="J6" s="62">
        <v>0</v>
      </c>
      <c r="K6" s="62">
        <v>0</v>
      </c>
      <c r="L6" s="60">
        <v>8</v>
      </c>
      <c r="M6" s="62">
        <v>105528</v>
      </c>
      <c r="N6" s="62">
        <f ca="1">IFERROR(INDEX(Price_Update!$F:$F, MATCH(A6, Price_Update!$A:$A, 0)), 15221)</f>
        <v>15221</v>
      </c>
      <c r="O6" s="62">
        <f t="shared" ca="1" si="0"/>
        <v>121768</v>
      </c>
      <c r="P6" s="62">
        <v>0</v>
      </c>
      <c r="Q6" s="62">
        <f t="shared" ca="1" si="1"/>
        <v>16240</v>
      </c>
      <c r="R6" s="62">
        <f t="shared" ca="1" si="2"/>
        <v>16240</v>
      </c>
      <c r="S6" s="64">
        <f t="shared" ca="1" si="3"/>
        <v>0.15389280570085664</v>
      </c>
      <c r="T6" s="60">
        <v>12</v>
      </c>
      <c r="U6" s="60"/>
      <c r="V6" s="60" t="s">
        <v>107</v>
      </c>
      <c r="W6" s="60" t="s">
        <v>1089</v>
      </c>
    </row>
    <row r="7" spans="1:23">
      <c r="A7" s="60" t="s">
        <v>501</v>
      </c>
      <c r="B7" s="60" t="s">
        <v>63</v>
      </c>
      <c r="C7" s="60" t="s">
        <v>86</v>
      </c>
      <c r="D7" s="60" t="s">
        <v>74</v>
      </c>
      <c r="E7" s="60" t="s">
        <v>48</v>
      </c>
      <c r="F7" s="60">
        <v>96</v>
      </c>
      <c r="G7" s="62">
        <v>201677.10449999999</v>
      </c>
      <c r="H7" s="62">
        <v>2100.8000000000002</v>
      </c>
      <c r="I7" s="60">
        <v>0</v>
      </c>
      <c r="J7" s="62">
        <v>0</v>
      </c>
      <c r="K7" s="62">
        <v>0</v>
      </c>
      <c r="L7" s="60">
        <v>96</v>
      </c>
      <c r="M7" s="62">
        <v>201676.79999999999</v>
      </c>
      <c r="N7" s="62">
        <f ca="1">IFERROR(INDEX(Price_Update!$F:$F, MATCH(A7, Price_Update!$A:$A, 0)), 1817.6)</f>
        <v>1817.6</v>
      </c>
      <c r="O7" s="62">
        <f t="shared" ca="1" si="0"/>
        <v>174489.59999999998</v>
      </c>
      <c r="P7" s="62">
        <v>0</v>
      </c>
      <c r="Q7" s="62">
        <f t="shared" ca="1" si="1"/>
        <v>-27187.200000000012</v>
      </c>
      <c r="R7" s="62">
        <f t="shared" ca="1" si="2"/>
        <v>-27187.200000000012</v>
      </c>
      <c r="S7" s="64">
        <f t="shared" ca="1" si="3"/>
        <v>-0.1348055847360701</v>
      </c>
      <c r="T7" s="60">
        <v>125</v>
      </c>
      <c r="U7" s="60"/>
      <c r="V7" s="60" t="s">
        <v>107</v>
      </c>
      <c r="W7" s="60" t="s">
        <v>1089</v>
      </c>
    </row>
    <row r="8" spans="1:23">
      <c r="A8" s="60" t="s">
        <v>180</v>
      </c>
      <c r="B8" s="60" t="s">
        <v>64</v>
      </c>
      <c r="C8" s="60" t="s">
        <v>86</v>
      </c>
      <c r="D8" s="60" t="s">
        <v>75</v>
      </c>
      <c r="E8" s="60" t="s">
        <v>48</v>
      </c>
      <c r="F8" s="60">
        <v>556</v>
      </c>
      <c r="G8" s="62">
        <v>200389.45</v>
      </c>
      <c r="H8" s="62">
        <v>360.41</v>
      </c>
      <c r="I8" s="60">
        <v>0</v>
      </c>
      <c r="J8" s="62">
        <v>0</v>
      </c>
      <c r="K8" s="62">
        <v>0</v>
      </c>
      <c r="L8" s="60">
        <v>556</v>
      </c>
      <c r="M8" s="62">
        <v>200387.96</v>
      </c>
      <c r="N8" s="62">
        <f ca="1">IFERROR(INDEX(Price_Update!$F:$F, MATCH(A8, Price_Update!$A:$A, 0)), 409.4)</f>
        <v>409.4</v>
      </c>
      <c r="O8" s="62">
        <f t="shared" ca="1" si="0"/>
        <v>227626.4</v>
      </c>
      <c r="P8" s="62">
        <v>0</v>
      </c>
      <c r="Q8" s="62">
        <f t="shared" ca="1" si="1"/>
        <v>27238.440000000002</v>
      </c>
      <c r="R8" s="62">
        <f t="shared" ca="1" si="2"/>
        <v>27238.440000000002</v>
      </c>
      <c r="S8" s="64">
        <f t="shared" ca="1" si="3"/>
        <v>0.13592751514613169</v>
      </c>
      <c r="T8" s="60">
        <v>41</v>
      </c>
      <c r="U8" s="60"/>
      <c r="V8" s="60" t="s">
        <v>107</v>
      </c>
      <c r="W8" s="60" t="s">
        <v>1089</v>
      </c>
    </row>
    <row r="9" spans="1:23">
      <c r="A9" s="60" t="s">
        <v>173</v>
      </c>
      <c r="B9" s="60" t="s">
        <v>64</v>
      </c>
      <c r="C9" s="60" t="s">
        <v>86</v>
      </c>
      <c r="D9" s="60" t="s">
        <v>75</v>
      </c>
      <c r="E9" s="60" t="s">
        <v>48</v>
      </c>
      <c r="F9" s="60">
        <v>148</v>
      </c>
      <c r="G9" s="62">
        <v>200790.1</v>
      </c>
      <c r="H9" s="62">
        <v>1356.69</v>
      </c>
      <c r="I9" s="60">
        <v>0</v>
      </c>
      <c r="J9" s="62">
        <v>0</v>
      </c>
      <c r="K9" s="62">
        <v>0</v>
      </c>
      <c r="L9" s="60">
        <v>148</v>
      </c>
      <c r="M9" s="62">
        <v>200790.12</v>
      </c>
      <c r="N9" s="62">
        <f ca="1">IFERROR(INDEX(Price_Update!$F:$F, MATCH(A9, Price_Update!$A:$A, 0)), 1443.8)</f>
        <v>1443.8</v>
      </c>
      <c r="O9" s="62">
        <f t="shared" ca="1" si="0"/>
        <v>213682.4</v>
      </c>
      <c r="P9" s="62">
        <v>0</v>
      </c>
      <c r="Q9" s="62">
        <f t="shared" ca="1" si="1"/>
        <v>12892.279999999999</v>
      </c>
      <c r="R9" s="62">
        <f t="shared" ca="1" si="2"/>
        <v>12892.279999999999</v>
      </c>
      <c r="S9" s="64">
        <f t="shared" ca="1" si="3"/>
        <v>6.4207747294313805E-2</v>
      </c>
      <c r="T9" s="60">
        <v>48</v>
      </c>
      <c r="U9" s="60"/>
      <c r="V9" s="60" t="s">
        <v>107</v>
      </c>
      <c r="W9" s="60" t="s">
        <v>1089</v>
      </c>
    </row>
    <row r="10" spans="1:23">
      <c r="A10" s="60" t="s">
        <v>120</v>
      </c>
      <c r="B10" s="60" t="s">
        <v>63</v>
      </c>
      <c r="C10" s="60" t="s">
        <v>87</v>
      </c>
      <c r="D10" s="60" t="s">
        <v>75</v>
      </c>
      <c r="E10" s="60" t="s">
        <v>34</v>
      </c>
      <c r="F10" s="60">
        <v>33</v>
      </c>
      <c r="G10" s="62">
        <v>49684.800000000003</v>
      </c>
      <c r="H10" s="62">
        <v>1505.6</v>
      </c>
      <c r="I10" s="60">
        <v>0</v>
      </c>
      <c r="J10" s="62">
        <v>0</v>
      </c>
      <c r="K10" s="62">
        <v>0</v>
      </c>
      <c r="L10" s="60">
        <v>33</v>
      </c>
      <c r="M10" s="62">
        <v>49684.800000000003</v>
      </c>
      <c r="N10" s="62">
        <f ca="1">IFERROR(INDEX(Price_Update!$F:$F, MATCH(A10, Price_Update!$A:$A, 0)), 1472.8)</f>
        <v>1472.8</v>
      </c>
      <c r="O10" s="62">
        <f t="shared" ca="1" si="0"/>
        <v>48602.400000000001</v>
      </c>
      <c r="P10" s="62">
        <v>0</v>
      </c>
      <c r="Q10" s="62">
        <f t="shared" ca="1" si="1"/>
        <v>-1082.4000000000015</v>
      </c>
      <c r="R10" s="62">
        <f t="shared" ca="1" si="2"/>
        <v>-1082.4000000000015</v>
      </c>
      <c r="S10" s="64">
        <f t="shared" ca="1" si="3"/>
        <v>-2.1785334750265704E-2</v>
      </c>
      <c r="T10" s="60">
        <v>27</v>
      </c>
      <c r="U10" s="60"/>
      <c r="V10" s="60" t="s">
        <v>107</v>
      </c>
      <c r="W10" s="60" t="s">
        <v>1089</v>
      </c>
    </row>
    <row r="11" spans="1:23">
      <c r="A11" s="60" t="s">
        <v>295</v>
      </c>
      <c r="B11" s="60" t="s">
        <v>64</v>
      </c>
      <c r="C11" s="60" t="s">
        <v>89</v>
      </c>
      <c r="D11" s="60" t="s">
        <v>75</v>
      </c>
      <c r="E11" s="60"/>
      <c r="F11" s="60">
        <v>671</v>
      </c>
      <c r="G11" s="62">
        <v>129693.78</v>
      </c>
      <c r="H11" s="62">
        <v>193.28</v>
      </c>
      <c r="I11" s="60">
        <v>671</v>
      </c>
      <c r="J11" s="62">
        <v>120337.14</v>
      </c>
      <c r="K11" s="62">
        <v>179.34</v>
      </c>
      <c r="L11" s="60">
        <v>0</v>
      </c>
      <c r="M11" s="62">
        <v>0</v>
      </c>
      <c r="N11" s="62">
        <f>IFERROR(INDEX(Price_Update!$F:$F, MATCH(A11, Price_Update!$A:$A, 0)), 166.53)</f>
        <v>166.53</v>
      </c>
      <c r="O11" s="62">
        <f t="shared" si="0"/>
        <v>0</v>
      </c>
      <c r="P11" s="62">
        <v>-9353.74</v>
      </c>
      <c r="Q11" s="62">
        <f t="shared" si="1"/>
        <v>0</v>
      </c>
      <c r="R11" s="62">
        <f t="shared" si="2"/>
        <v>-9353.74</v>
      </c>
      <c r="S11" s="64">
        <f t="shared" si="3"/>
        <v>-7.2121731666699815E-2</v>
      </c>
      <c r="T11" s="60">
        <v>41</v>
      </c>
      <c r="U11" s="60"/>
      <c r="V11" s="60" t="s">
        <v>107</v>
      </c>
      <c r="W11" s="60" t="s">
        <v>1089</v>
      </c>
    </row>
    <row r="12" spans="1:23">
      <c r="A12" s="60" t="s">
        <v>669</v>
      </c>
      <c r="B12" s="60" t="s">
        <v>62</v>
      </c>
      <c r="C12" s="60" t="s">
        <v>88</v>
      </c>
      <c r="D12" s="60" t="s">
        <v>74</v>
      </c>
      <c r="E12" s="60" t="s">
        <v>46</v>
      </c>
      <c r="F12" s="60">
        <v>10</v>
      </c>
      <c r="G12" s="62">
        <v>102943</v>
      </c>
      <c r="H12" s="62">
        <v>10294.299999999999</v>
      </c>
      <c r="I12" s="60">
        <v>0</v>
      </c>
      <c r="J12" s="62">
        <v>0</v>
      </c>
      <c r="K12" s="62">
        <v>0</v>
      </c>
      <c r="L12" s="60">
        <v>10</v>
      </c>
      <c r="M12" s="62">
        <v>102943</v>
      </c>
      <c r="N12" s="62">
        <f ca="1">IFERROR(INDEX(Price_Update!$F:$F, MATCH(A12, Price_Update!$A:$A, 0)), 10063)</f>
        <v>10063</v>
      </c>
      <c r="O12" s="62">
        <f t="shared" ca="1" si="0"/>
        <v>100630</v>
      </c>
      <c r="P12" s="62">
        <v>0</v>
      </c>
      <c r="Q12" s="62">
        <f t="shared" ca="1" si="1"/>
        <v>-2313</v>
      </c>
      <c r="R12" s="62">
        <f t="shared" ca="1" si="2"/>
        <v>-2313</v>
      </c>
      <c r="S12" s="64">
        <f t="shared" ca="1" si="3"/>
        <v>-2.2468744839377133E-2</v>
      </c>
      <c r="T12" s="60">
        <v>12</v>
      </c>
      <c r="U12" s="60"/>
      <c r="V12" s="60" t="s">
        <v>107</v>
      </c>
      <c r="W12" s="60" t="s">
        <v>1090</v>
      </c>
    </row>
    <row r="13" spans="1:23">
      <c r="A13" s="60" t="s">
        <v>351</v>
      </c>
      <c r="B13" s="60" t="s">
        <v>62</v>
      </c>
      <c r="C13" s="60" t="s">
        <v>90</v>
      </c>
      <c r="D13" s="60" t="s">
        <v>74</v>
      </c>
      <c r="E13" s="60"/>
      <c r="F13" s="60">
        <v>94</v>
      </c>
      <c r="G13" s="62">
        <v>100072.4</v>
      </c>
      <c r="H13" s="62">
        <v>1064.5999999999999</v>
      </c>
      <c r="I13" s="60">
        <v>94</v>
      </c>
      <c r="J13" s="62">
        <v>84426.099999999991</v>
      </c>
      <c r="K13" s="62">
        <v>898.15</v>
      </c>
      <c r="L13" s="60">
        <v>0</v>
      </c>
      <c r="M13" s="62">
        <v>0</v>
      </c>
      <c r="N13" s="62">
        <f>IFERROR(INDEX(Price_Update!$F:$F, MATCH(A13, Price_Update!$A:$A, 0)), 918.3)</f>
        <v>918.3</v>
      </c>
      <c r="O13" s="62">
        <f t="shared" si="0"/>
        <v>0</v>
      </c>
      <c r="P13" s="62">
        <v>-15646.3</v>
      </c>
      <c r="Q13" s="62">
        <f t="shared" si="1"/>
        <v>0</v>
      </c>
      <c r="R13" s="62">
        <f t="shared" si="2"/>
        <v>-15646.3</v>
      </c>
      <c r="S13" s="64">
        <f t="shared" si="3"/>
        <v>-0.15634980274281421</v>
      </c>
      <c r="T13" s="60">
        <v>109</v>
      </c>
      <c r="U13" s="60"/>
      <c r="V13" s="60" t="s">
        <v>107</v>
      </c>
      <c r="W13" s="60" t="s">
        <v>1089</v>
      </c>
    </row>
    <row r="14" spans="1:23">
      <c r="A14" s="60" t="s">
        <v>182</v>
      </c>
      <c r="B14" s="60" t="s">
        <v>64</v>
      </c>
      <c r="C14" s="60" t="s">
        <v>87</v>
      </c>
      <c r="D14" s="60" t="s">
        <v>75</v>
      </c>
      <c r="E14" s="60" t="s">
        <v>50</v>
      </c>
      <c r="F14" s="60">
        <v>152</v>
      </c>
      <c r="G14" s="62">
        <v>298353.8</v>
      </c>
      <c r="H14" s="62">
        <v>1962.85</v>
      </c>
      <c r="I14" s="60">
        <v>0</v>
      </c>
      <c r="J14" s="62">
        <v>0</v>
      </c>
      <c r="K14" s="62">
        <v>0</v>
      </c>
      <c r="L14" s="60">
        <v>152</v>
      </c>
      <c r="M14" s="62">
        <v>298353.2</v>
      </c>
      <c r="N14" s="62">
        <f ca="1">IFERROR(INDEX(Price_Update!$F:$F, MATCH(A14, Price_Update!$A:$A, 0)), 2133)</f>
        <v>2133</v>
      </c>
      <c r="O14" s="62">
        <f t="shared" ca="1" si="0"/>
        <v>324216</v>
      </c>
      <c r="P14" s="62">
        <v>0</v>
      </c>
      <c r="Q14" s="62">
        <f t="shared" ca="1" si="1"/>
        <v>25862.799999999988</v>
      </c>
      <c r="R14" s="62">
        <f t="shared" ca="1" si="2"/>
        <v>25862.799999999988</v>
      </c>
      <c r="S14" s="64">
        <f t="shared" ca="1" si="3"/>
        <v>8.6685002838911354E-2</v>
      </c>
      <c r="T14" s="60">
        <v>27</v>
      </c>
      <c r="U14" s="60"/>
      <c r="V14" s="60" t="s">
        <v>107</v>
      </c>
      <c r="W14" s="60" t="s">
        <v>1089</v>
      </c>
    </row>
    <row r="15" spans="1:23">
      <c r="A15" s="60" t="s">
        <v>391</v>
      </c>
      <c r="B15" s="60" t="s">
        <v>62</v>
      </c>
      <c r="C15" s="60" t="s">
        <v>90</v>
      </c>
      <c r="D15" s="60" t="s">
        <v>75</v>
      </c>
      <c r="E15" s="60"/>
      <c r="F15" s="60">
        <v>260</v>
      </c>
      <c r="G15" s="62">
        <v>75946</v>
      </c>
      <c r="H15" s="62">
        <v>292.10000000000002</v>
      </c>
      <c r="I15" s="60">
        <v>260</v>
      </c>
      <c r="J15" s="62">
        <v>70604.55</v>
      </c>
      <c r="K15" s="62">
        <v>271.56</v>
      </c>
      <c r="L15" s="60">
        <v>0</v>
      </c>
      <c r="M15" s="62">
        <v>0</v>
      </c>
      <c r="N15" s="62">
        <f>IFERROR(INDEX(Price_Update!$F:$F, MATCH(A15, Price_Update!$A:$A, 0)), 274.75)</f>
        <v>274.75</v>
      </c>
      <c r="O15" s="62">
        <f t="shared" si="0"/>
        <v>0</v>
      </c>
      <c r="P15" s="62">
        <v>-5341.45</v>
      </c>
      <c r="Q15" s="62">
        <f t="shared" si="1"/>
        <v>0</v>
      </c>
      <c r="R15" s="62">
        <f t="shared" si="2"/>
        <v>-5341.45</v>
      </c>
      <c r="S15" s="64">
        <f t="shared" si="3"/>
        <v>-7.0332209727964598E-2</v>
      </c>
      <c r="T15" s="60">
        <v>91</v>
      </c>
      <c r="U15" s="60"/>
      <c r="V15" s="60" t="s">
        <v>107</v>
      </c>
      <c r="W15" s="60" t="s">
        <v>1089</v>
      </c>
    </row>
    <row r="16" spans="1:23">
      <c r="A16" s="60" t="s">
        <v>465</v>
      </c>
      <c r="B16" s="60" t="s">
        <v>63</v>
      </c>
      <c r="C16" s="60" t="s">
        <v>90</v>
      </c>
      <c r="D16" s="60" t="s">
        <v>75</v>
      </c>
      <c r="E16" s="60"/>
      <c r="F16" s="60">
        <v>465</v>
      </c>
      <c r="G16" s="62">
        <v>75179.430000000008</v>
      </c>
      <c r="H16" s="62">
        <v>161.68</v>
      </c>
      <c r="I16" s="60">
        <v>465</v>
      </c>
      <c r="J16" s="62">
        <v>71056.850000000006</v>
      </c>
      <c r="K16" s="62">
        <v>152.81</v>
      </c>
      <c r="L16" s="60">
        <v>0</v>
      </c>
      <c r="M16" s="62">
        <v>0</v>
      </c>
      <c r="N16" s="62">
        <f>IFERROR(INDEX(Price_Update!$F:$F, MATCH(A16, Price_Update!$A:$A, 0)), 145.68)</f>
        <v>145.68</v>
      </c>
      <c r="O16" s="62">
        <f t="shared" si="0"/>
        <v>0</v>
      </c>
      <c r="P16" s="62">
        <v>-4124.3500000000004</v>
      </c>
      <c r="Q16" s="62">
        <f t="shared" si="1"/>
        <v>0</v>
      </c>
      <c r="R16" s="62">
        <f t="shared" si="2"/>
        <v>-4124.3500000000004</v>
      </c>
      <c r="S16" s="64">
        <f t="shared" si="3"/>
        <v>-5.4860086063435169E-2</v>
      </c>
      <c r="T16" s="60">
        <v>61</v>
      </c>
      <c r="U16" s="60"/>
      <c r="V16" s="60" t="s">
        <v>107</v>
      </c>
      <c r="W16" s="60" t="s">
        <v>1089</v>
      </c>
    </row>
    <row r="17" spans="1:23">
      <c r="A17" s="60" t="s">
        <v>484</v>
      </c>
      <c r="B17" s="60" t="s">
        <v>62</v>
      </c>
      <c r="C17" s="60" t="s">
        <v>86</v>
      </c>
      <c r="D17" s="60" t="s">
        <v>75</v>
      </c>
      <c r="E17" s="60"/>
      <c r="F17" s="60">
        <v>222</v>
      </c>
      <c r="G17" s="62">
        <v>100778.25</v>
      </c>
      <c r="H17" s="62">
        <v>453.96</v>
      </c>
      <c r="I17" s="60">
        <v>222</v>
      </c>
      <c r="J17" s="62">
        <v>94405.5</v>
      </c>
      <c r="K17" s="62">
        <v>425.25</v>
      </c>
      <c r="L17" s="60">
        <v>0</v>
      </c>
      <c r="M17" s="62">
        <v>0</v>
      </c>
      <c r="N17" s="62">
        <f>IFERROR(INDEX(Price_Update!$F:$F, MATCH(A17, Price_Update!$A:$A, 0)), 406.5)</f>
        <v>406.5</v>
      </c>
      <c r="O17" s="62">
        <f t="shared" si="0"/>
        <v>0</v>
      </c>
      <c r="P17" s="62">
        <v>-6373.62</v>
      </c>
      <c r="Q17" s="62">
        <f t="shared" si="1"/>
        <v>0</v>
      </c>
      <c r="R17" s="62">
        <f t="shared" si="2"/>
        <v>-6373.62</v>
      </c>
      <c r="S17" s="64">
        <f t="shared" si="3"/>
        <v>-6.3244003542431024E-2</v>
      </c>
      <c r="T17" s="60">
        <v>105</v>
      </c>
      <c r="U17" s="60"/>
      <c r="V17" s="60" t="s">
        <v>107</v>
      </c>
      <c r="W17" s="60" t="s">
        <v>1089</v>
      </c>
    </row>
    <row r="18" spans="1:23">
      <c r="A18" s="60" t="s">
        <v>406</v>
      </c>
      <c r="B18" s="60" t="s">
        <v>63</v>
      </c>
      <c r="C18" s="60" t="s">
        <v>86</v>
      </c>
      <c r="D18" s="60" t="s">
        <v>75</v>
      </c>
      <c r="E18" s="60"/>
      <c r="F18" s="60">
        <v>36</v>
      </c>
      <c r="G18" s="62">
        <v>50176.800000000003</v>
      </c>
      <c r="H18" s="62">
        <v>1393.8</v>
      </c>
      <c r="I18" s="60">
        <v>36</v>
      </c>
      <c r="J18" s="62">
        <v>50997.599999999999</v>
      </c>
      <c r="K18" s="62">
        <v>1416.6</v>
      </c>
      <c r="L18" s="60">
        <v>0</v>
      </c>
      <c r="M18" s="62">
        <v>0</v>
      </c>
      <c r="N18" s="62">
        <f>IFERROR(INDEX(Price_Update!$F:$F, MATCH(A18, Price_Update!$A:$A, 0)), 1945.1)</f>
        <v>1945.1</v>
      </c>
      <c r="O18" s="62">
        <f t="shared" si="0"/>
        <v>0</v>
      </c>
      <c r="P18" s="62">
        <v>820.8</v>
      </c>
      <c r="Q18" s="62">
        <f t="shared" si="1"/>
        <v>0</v>
      </c>
      <c r="R18" s="62">
        <f t="shared" si="2"/>
        <v>820.8</v>
      </c>
      <c r="S18" s="64">
        <f t="shared" si="3"/>
        <v>1.635815755488592E-2</v>
      </c>
      <c r="T18" s="60">
        <v>77</v>
      </c>
      <c r="U18" s="60"/>
      <c r="V18" s="60" t="s">
        <v>107</v>
      </c>
      <c r="W18" s="60" t="s">
        <v>1089</v>
      </c>
    </row>
    <row r="19" spans="1:23">
      <c r="A19" s="60" t="s">
        <v>382</v>
      </c>
      <c r="B19" s="60" t="s">
        <v>62</v>
      </c>
      <c r="C19" s="60" t="s">
        <v>86</v>
      </c>
      <c r="D19" s="60" t="s">
        <v>75</v>
      </c>
      <c r="E19" s="60"/>
      <c r="F19" s="60">
        <v>82</v>
      </c>
      <c r="G19" s="62">
        <v>30151.4</v>
      </c>
      <c r="H19" s="62">
        <v>367.7</v>
      </c>
      <c r="I19" s="60">
        <v>82</v>
      </c>
      <c r="J19" s="62">
        <v>24735.3</v>
      </c>
      <c r="K19" s="62">
        <v>301.64999999999998</v>
      </c>
      <c r="L19" s="60">
        <v>0</v>
      </c>
      <c r="M19" s="62">
        <v>0</v>
      </c>
      <c r="N19" s="62">
        <f>IFERROR(INDEX(Price_Update!$F:$F, MATCH(A19, Price_Update!$A:$A, 0)), 302.35)</f>
        <v>302.35000000000002</v>
      </c>
      <c r="O19" s="62">
        <f t="shared" si="0"/>
        <v>0</v>
      </c>
      <c r="P19" s="62">
        <v>-5416.1</v>
      </c>
      <c r="Q19" s="62">
        <f t="shared" si="1"/>
        <v>0</v>
      </c>
      <c r="R19" s="62">
        <f t="shared" si="2"/>
        <v>-5416.1</v>
      </c>
      <c r="S19" s="64">
        <f t="shared" si="3"/>
        <v>-0.17963013326081045</v>
      </c>
      <c r="T19" s="60">
        <v>182</v>
      </c>
      <c r="U19" s="60"/>
      <c r="V19" s="60" t="s">
        <v>107</v>
      </c>
      <c r="W19" s="60" t="s">
        <v>1089</v>
      </c>
    </row>
    <row r="20" spans="1:23">
      <c r="A20" s="60" t="s">
        <v>332</v>
      </c>
      <c r="B20" s="60" t="s">
        <v>62</v>
      </c>
      <c r="C20" s="60" t="s">
        <v>90</v>
      </c>
      <c r="D20" s="60" t="s">
        <v>74</v>
      </c>
      <c r="E20" s="60" t="s">
        <v>46</v>
      </c>
      <c r="F20" s="60">
        <v>30</v>
      </c>
      <c r="G20" s="62">
        <v>100770.003</v>
      </c>
      <c r="H20" s="62">
        <v>3359</v>
      </c>
      <c r="I20" s="60">
        <v>0</v>
      </c>
      <c r="J20" s="62">
        <v>0</v>
      </c>
      <c r="K20" s="62">
        <v>0</v>
      </c>
      <c r="L20" s="60">
        <v>30</v>
      </c>
      <c r="M20" s="62">
        <v>100770</v>
      </c>
      <c r="N20" s="62">
        <f ca="1">IFERROR(INDEX(Price_Update!$F:$F, MATCH(A20, Price_Update!$A:$A, 0)), 4041.1)</f>
        <v>4041.1</v>
      </c>
      <c r="O20" s="62">
        <f t="shared" ca="1" si="0"/>
        <v>121233</v>
      </c>
      <c r="P20" s="62">
        <v>0</v>
      </c>
      <c r="Q20" s="62">
        <f t="shared" ca="1" si="1"/>
        <v>20463</v>
      </c>
      <c r="R20" s="62">
        <f t="shared" ca="1" si="2"/>
        <v>20463</v>
      </c>
      <c r="S20" s="64">
        <f t="shared" ca="1" si="3"/>
        <v>0.20306638276075073</v>
      </c>
      <c r="T20" s="60">
        <v>188</v>
      </c>
      <c r="U20" s="60"/>
      <c r="V20" s="60" t="s">
        <v>107</v>
      </c>
      <c r="W20" s="60" t="s">
        <v>1089</v>
      </c>
    </row>
    <row r="21" spans="1:23">
      <c r="A21" s="60" t="s">
        <v>420</v>
      </c>
      <c r="B21" s="60" t="s">
        <v>64</v>
      </c>
      <c r="C21" s="60" t="s">
        <v>89</v>
      </c>
      <c r="D21" s="60" t="s">
        <v>75</v>
      </c>
      <c r="E21" s="60"/>
      <c r="F21" s="60">
        <v>228</v>
      </c>
      <c r="G21" s="62">
        <v>99912.15</v>
      </c>
      <c r="H21" s="62">
        <v>438.21</v>
      </c>
      <c r="I21" s="60">
        <v>228</v>
      </c>
      <c r="J21" s="62">
        <v>90155.400000000009</v>
      </c>
      <c r="K21" s="62">
        <v>395.42</v>
      </c>
      <c r="L21" s="60">
        <v>0</v>
      </c>
      <c r="M21" s="62">
        <v>0</v>
      </c>
      <c r="N21" s="62">
        <f>IFERROR(INDEX(Price_Update!$F:$F, MATCH(A21, Price_Update!$A:$A, 0)), 316)</f>
        <v>316</v>
      </c>
      <c r="O21" s="62">
        <f t="shared" si="0"/>
        <v>0</v>
      </c>
      <c r="P21" s="62">
        <v>-9756.48</v>
      </c>
      <c r="Q21" s="62">
        <f t="shared" si="1"/>
        <v>0</v>
      </c>
      <c r="R21" s="62">
        <f t="shared" si="2"/>
        <v>-9756.48</v>
      </c>
      <c r="S21" s="64">
        <f t="shared" si="3"/>
        <v>-9.7650586039835993E-2</v>
      </c>
      <c r="T21" s="60">
        <v>50</v>
      </c>
      <c r="U21" s="60"/>
      <c r="V21" s="60" t="s">
        <v>107</v>
      </c>
      <c r="W21" s="60" t="s">
        <v>1089</v>
      </c>
    </row>
    <row r="22" spans="1:23">
      <c r="A22" s="60" t="s">
        <v>315</v>
      </c>
      <c r="B22" s="60" t="s">
        <v>62</v>
      </c>
      <c r="C22" s="60" t="s">
        <v>90</v>
      </c>
      <c r="D22" s="60" t="s">
        <v>75</v>
      </c>
      <c r="E22" s="60"/>
      <c r="F22" s="60">
        <v>2062</v>
      </c>
      <c r="G22" s="62">
        <v>269285.90000000002</v>
      </c>
      <c r="H22" s="62">
        <v>130.59</v>
      </c>
      <c r="I22" s="60">
        <v>2078</v>
      </c>
      <c r="J22" s="62">
        <v>267524.40000000002</v>
      </c>
      <c r="K22" s="62">
        <v>128.74</v>
      </c>
      <c r="L22" s="60">
        <v>-16</v>
      </c>
      <c r="M22" s="62">
        <v>-2089.44</v>
      </c>
      <c r="N22" s="62">
        <f>IFERROR(INDEX(Price_Update!$F:$F, MATCH(A22, Price_Update!$A:$A, 0)), 131.67)</f>
        <v>131.66999999999999</v>
      </c>
      <c r="O22" s="62">
        <f t="shared" si="0"/>
        <v>-2106.7199999999998</v>
      </c>
      <c r="P22" s="62">
        <v>-3841.62</v>
      </c>
      <c r="Q22" s="62">
        <f t="shared" si="1"/>
        <v>-17.279999999999745</v>
      </c>
      <c r="R22" s="62">
        <f t="shared" si="2"/>
        <v>-3858.8999999999996</v>
      </c>
      <c r="S22" s="64">
        <f t="shared" si="3"/>
        <v>-1.4330122743151421E-2</v>
      </c>
      <c r="T22" s="60">
        <v>160</v>
      </c>
      <c r="U22" s="60"/>
      <c r="V22" s="60" t="s">
        <v>107</v>
      </c>
      <c r="W22" s="60" t="s">
        <v>1089</v>
      </c>
    </row>
    <row r="23" spans="1:23">
      <c r="A23" s="60" t="s">
        <v>724</v>
      </c>
      <c r="B23" s="60" t="s">
        <v>64</v>
      </c>
      <c r="C23" s="60" t="s">
        <v>87</v>
      </c>
      <c r="D23" s="60" t="s">
        <v>74</v>
      </c>
      <c r="E23" s="60" t="s">
        <v>46</v>
      </c>
      <c r="F23" s="60">
        <v>53</v>
      </c>
      <c r="G23" s="62">
        <v>109887.6</v>
      </c>
      <c r="H23" s="62">
        <v>2073.35</v>
      </c>
      <c r="I23" s="60">
        <v>0</v>
      </c>
      <c r="J23" s="62">
        <v>0</v>
      </c>
      <c r="K23" s="62">
        <v>0</v>
      </c>
      <c r="L23" s="60">
        <v>53</v>
      </c>
      <c r="M23" s="62">
        <v>109887.55</v>
      </c>
      <c r="N23" s="62">
        <f ca="1">IFERROR(INDEX(Price_Update!$F:$F, MATCH(A23, Price_Update!$A:$A, 0)), 2407.8)</f>
        <v>2407.8000000000002</v>
      </c>
      <c r="O23" s="62">
        <f t="shared" ca="1" si="0"/>
        <v>127613.40000000001</v>
      </c>
      <c r="P23" s="62">
        <v>0</v>
      </c>
      <c r="Q23" s="62">
        <f t="shared" ca="1" si="1"/>
        <v>17725.850000000006</v>
      </c>
      <c r="R23" s="62">
        <f t="shared" ca="1" si="2"/>
        <v>17725.850000000006</v>
      </c>
      <c r="S23" s="64">
        <f t="shared" ca="1" si="3"/>
        <v>0.16130891929571675</v>
      </c>
      <c r="T23" s="60">
        <v>12</v>
      </c>
      <c r="U23" s="60"/>
      <c r="V23" s="60" t="s">
        <v>107</v>
      </c>
      <c r="W23" s="60" t="s">
        <v>1089</v>
      </c>
    </row>
    <row r="24" spans="1:23">
      <c r="A24" s="60" t="s">
        <v>655</v>
      </c>
      <c r="B24" s="60" t="s">
        <v>64</v>
      </c>
      <c r="C24" s="60" t="s">
        <v>88</v>
      </c>
      <c r="D24" s="60" t="s">
        <v>74</v>
      </c>
      <c r="E24" s="60" t="s">
        <v>46</v>
      </c>
      <c r="F24" s="60">
        <v>91</v>
      </c>
      <c r="G24" s="62">
        <v>99897.9</v>
      </c>
      <c r="H24" s="62">
        <v>1097.78</v>
      </c>
      <c r="I24" s="60">
        <v>0</v>
      </c>
      <c r="J24" s="62">
        <v>0</v>
      </c>
      <c r="K24" s="62">
        <v>0</v>
      </c>
      <c r="L24" s="60">
        <v>91</v>
      </c>
      <c r="M24" s="62">
        <v>99897.98</v>
      </c>
      <c r="N24" s="62">
        <f ca="1">IFERROR(INDEX(Price_Update!$F:$F, MATCH(A24, Price_Update!$A:$A, 0)), 1178.9)</f>
        <v>1178.9000000000001</v>
      </c>
      <c r="O24" s="62">
        <f t="shared" ca="1" si="0"/>
        <v>107279.90000000001</v>
      </c>
      <c r="P24" s="62">
        <v>0</v>
      </c>
      <c r="Q24" s="62">
        <f t="shared" ca="1" si="1"/>
        <v>7381.9200000000128</v>
      </c>
      <c r="R24" s="62">
        <f t="shared" ca="1" si="2"/>
        <v>7381.9200000000128</v>
      </c>
      <c r="S24" s="64">
        <f t="shared" ca="1" si="3"/>
        <v>7.3894646434009253E-2</v>
      </c>
      <c r="T24" s="60">
        <v>12</v>
      </c>
      <c r="U24" s="60"/>
      <c r="V24" s="60" t="s">
        <v>107</v>
      </c>
      <c r="W24" s="60" t="s">
        <v>1089</v>
      </c>
    </row>
    <row r="25" spans="1:23">
      <c r="A25" s="60" t="s">
        <v>123</v>
      </c>
      <c r="B25" s="60" t="s">
        <v>64</v>
      </c>
      <c r="C25" s="60" t="s">
        <v>88</v>
      </c>
      <c r="D25" s="60" t="s">
        <v>74</v>
      </c>
      <c r="E25" s="60" t="s">
        <v>34</v>
      </c>
      <c r="F25" s="60">
        <v>49</v>
      </c>
      <c r="G25" s="62">
        <v>50624.600000000013</v>
      </c>
      <c r="H25" s="62">
        <v>1033.1600000000001</v>
      </c>
      <c r="I25" s="60">
        <v>0</v>
      </c>
      <c r="J25" s="62">
        <v>0</v>
      </c>
      <c r="K25" s="62">
        <v>0</v>
      </c>
      <c r="L25" s="60">
        <v>49</v>
      </c>
      <c r="M25" s="62">
        <v>50624.84</v>
      </c>
      <c r="N25" s="62">
        <f ca="1">IFERROR(INDEX(Price_Update!$F:$F, MATCH(A25, Price_Update!$A:$A, 0)), 1129.3)</f>
        <v>1129.3</v>
      </c>
      <c r="O25" s="62">
        <f t="shared" ca="1" si="0"/>
        <v>55335.7</v>
      </c>
      <c r="P25" s="62">
        <v>0</v>
      </c>
      <c r="Q25" s="62">
        <f t="shared" ca="1" si="1"/>
        <v>4710.8600000000006</v>
      </c>
      <c r="R25" s="62">
        <f t="shared" ca="1" si="2"/>
        <v>4710.8600000000006</v>
      </c>
      <c r="S25" s="64">
        <f t="shared" ca="1" si="3"/>
        <v>9.3054759938843948E-2</v>
      </c>
      <c r="T25" s="60">
        <v>97</v>
      </c>
      <c r="U25" s="60"/>
      <c r="V25" s="60" t="s">
        <v>107</v>
      </c>
      <c r="W25" s="60" t="s">
        <v>1090</v>
      </c>
    </row>
    <row r="26" spans="1:23">
      <c r="A26" s="60" t="s">
        <v>169</v>
      </c>
      <c r="B26" s="60" t="s">
        <v>62</v>
      </c>
      <c r="C26" s="60" t="s">
        <v>86</v>
      </c>
      <c r="D26" s="60" t="s">
        <v>75</v>
      </c>
      <c r="E26" s="60" t="s">
        <v>48</v>
      </c>
      <c r="F26" s="60">
        <v>263</v>
      </c>
      <c r="G26" s="62">
        <v>227322.35</v>
      </c>
      <c r="H26" s="62">
        <v>864.34</v>
      </c>
      <c r="I26" s="60">
        <v>33</v>
      </c>
      <c r="J26" s="62">
        <v>25000.799999999999</v>
      </c>
      <c r="K26" s="62">
        <v>757.6</v>
      </c>
      <c r="L26" s="60">
        <v>230</v>
      </c>
      <c r="M26" s="62">
        <v>198798.2</v>
      </c>
      <c r="N26" s="62">
        <f ca="1">IFERROR(INDEX(Price_Update!$F:$F, MATCH(A26, Price_Update!$A:$A, 0)), 914.45)</f>
        <v>914.45</v>
      </c>
      <c r="O26" s="62">
        <f t="shared" ca="1" si="0"/>
        <v>210323.5</v>
      </c>
      <c r="P26" s="62">
        <v>-3522.42</v>
      </c>
      <c r="Q26" s="62">
        <f t="shared" ca="1" si="1"/>
        <v>11525.299999999988</v>
      </c>
      <c r="R26" s="62">
        <f t="shared" ca="1" si="2"/>
        <v>8002.8799999999883</v>
      </c>
      <c r="S26" s="64">
        <f t="shared" ca="1" si="3"/>
        <v>3.5204985343500049E-2</v>
      </c>
      <c r="T26" s="60">
        <v>122</v>
      </c>
      <c r="U26" s="60"/>
      <c r="V26" s="60" t="s">
        <v>107</v>
      </c>
      <c r="W26" s="60" t="s">
        <v>1089</v>
      </c>
    </row>
    <row r="27" spans="1:23">
      <c r="A27" s="60" t="s">
        <v>379</v>
      </c>
      <c r="B27" s="60" t="s">
        <v>64</v>
      </c>
      <c r="C27" s="60" t="s">
        <v>86</v>
      </c>
      <c r="D27" s="60" t="s">
        <v>75</v>
      </c>
      <c r="E27" s="60"/>
      <c r="F27" s="60">
        <v>42</v>
      </c>
      <c r="G27" s="62">
        <v>40147.050000000003</v>
      </c>
      <c r="H27" s="62">
        <v>955.88</v>
      </c>
      <c r="I27" s="60">
        <v>52</v>
      </c>
      <c r="J27" s="62">
        <v>42377.3</v>
      </c>
      <c r="K27" s="62">
        <v>814.95</v>
      </c>
      <c r="L27" s="60">
        <v>-10</v>
      </c>
      <c r="M27" s="62">
        <v>-9558.7999999999993</v>
      </c>
      <c r="N27" s="62">
        <f>IFERROR(INDEX(Price_Update!$F:$F, MATCH(A27, Price_Update!$A:$A, 0)), 1137.7)</f>
        <v>1137.7</v>
      </c>
      <c r="O27" s="62">
        <f t="shared" si="0"/>
        <v>-11377</v>
      </c>
      <c r="P27" s="62">
        <v>-7328.46</v>
      </c>
      <c r="Q27" s="62">
        <f t="shared" si="1"/>
        <v>-1818.2000000000007</v>
      </c>
      <c r="R27" s="62">
        <f t="shared" si="2"/>
        <v>-9146.66</v>
      </c>
      <c r="S27" s="64">
        <f t="shared" si="3"/>
        <v>-0.22782894384518909</v>
      </c>
      <c r="T27" s="60">
        <v>223</v>
      </c>
      <c r="U27" s="60"/>
      <c r="V27" s="60" t="s">
        <v>107</v>
      </c>
      <c r="W27" s="60" t="s">
        <v>1090</v>
      </c>
    </row>
    <row r="28" spans="1:23">
      <c r="A28" s="60" t="s">
        <v>279</v>
      </c>
      <c r="B28" s="60" t="s">
        <v>62</v>
      </c>
      <c r="C28" s="60" t="s">
        <v>87</v>
      </c>
      <c r="D28" s="60" t="s">
        <v>74</v>
      </c>
      <c r="E28" s="60"/>
      <c r="F28" s="60">
        <v>64</v>
      </c>
      <c r="G28" s="62">
        <v>99129.600000000006</v>
      </c>
      <c r="H28" s="62">
        <v>1548.9</v>
      </c>
      <c r="I28" s="60">
        <v>64</v>
      </c>
      <c r="J28" s="62">
        <v>83161.600000000006</v>
      </c>
      <c r="K28" s="62">
        <v>1299.4000000000001</v>
      </c>
      <c r="L28" s="60">
        <v>0</v>
      </c>
      <c r="M28" s="62">
        <v>0</v>
      </c>
      <c r="N28" s="62">
        <f>IFERROR(INDEX(Price_Update!$F:$F, MATCH(A28, Price_Update!$A:$A, 0)), 1389.4)</f>
        <v>1389.4</v>
      </c>
      <c r="O28" s="62">
        <f t="shared" si="0"/>
        <v>0</v>
      </c>
      <c r="P28" s="62">
        <v>-15968</v>
      </c>
      <c r="Q28" s="62">
        <f t="shared" si="1"/>
        <v>0</v>
      </c>
      <c r="R28" s="62">
        <f t="shared" si="2"/>
        <v>-15968</v>
      </c>
      <c r="S28" s="64">
        <f t="shared" si="3"/>
        <v>-0.16108205823487634</v>
      </c>
      <c r="T28" s="60">
        <v>147</v>
      </c>
      <c r="U28" s="60"/>
      <c r="V28" s="60" t="s">
        <v>107</v>
      </c>
      <c r="W28" s="60" t="s">
        <v>1089</v>
      </c>
    </row>
    <row r="29" spans="1:23">
      <c r="A29" s="60" t="s">
        <v>685</v>
      </c>
      <c r="B29" s="60" t="s">
        <v>64</v>
      </c>
      <c r="C29" s="60" t="s">
        <v>86</v>
      </c>
      <c r="D29" s="60" t="s">
        <v>74</v>
      </c>
      <c r="E29" s="60" t="s">
        <v>46</v>
      </c>
      <c r="F29" s="60">
        <v>11</v>
      </c>
      <c r="G29" s="62">
        <v>98970.5</v>
      </c>
      <c r="H29" s="62">
        <v>8997.32</v>
      </c>
      <c r="I29" s="60">
        <v>0</v>
      </c>
      <c r="J29" s="62">
        <v>0</v>
      </c>
      <c r="K29" s="62">
        <v>0</v>
      </c>
      <c r="L29" s="60">
        <v>11</v>
      </c>
      <c r="M29" s="62">
        <v>98970.52</v>
      </c>
      <c r="N29" s="62">
        <f ca="1">IFERROR(INDEX(Price_Update!$F:$F, MATCH(A29, Price_Update!$A:$A, 0)), 8917.5)</f>
        <v>8917.5</v>
      </c>
      <c r="O29" s="62">
        <f t="shared" ca="1" si="0"/>
        <v>98092.5</v>
      </c>
      <c r="P29" s="62">
        <v>0</v>
      </c>
      <c r="Q29" s="62">
        <f t="shared" ca="1" si="1"/>
        <v>-878.02000000000407</v>
      </c>
      <c r="R29" s="62">
        <f t="shared" ca="1" si="2"/>
        <v>-878.02000000000407</v>
      </c>
      <c r="S29" s="64">
        <f t="shared" ca="1" si="3"/>
        <v>-8.8715324263290984E-3</v>
      </c>
      <c r="T29" s="60">
        <v>12</v>
      </c>
      <c r="U29" s="60"/>
      <c r="V29" s="60" t="s">
        <v>107</v>
      </c>
      <c r="W29" s="60" t="s">
        <v>1089</v>
      </c>
    </row>
    <row r="30" spans="1:23">
      <c r="A30" s="60" t="s">
        <v>105</v>
      </c>
      <c r="B30" s="60" t="s">
        <v>64</v>
      </c>
      <c r="C30" s="60" t="s">
        <v>88</v>
      </c>
      <c r="D30" s="60" t="s">
        <v>75</v>
      </c>
      <c r="E30" s="60" t="s">
        <v>50</v>
      </c>
      <c r="F30" s="60">
        <v>3170</v>
      </c>
      <c r="G30" s="62">
        <v>352183.46</v>
      </c>
      <c r="H30" s="62">
        <v>111.1</v>
      </c>
      <c r="I30" s="60">
        <v>665</v>
      </c>
      <c r="J30" s="62">
        <v>48531.7</v>
      </c>
      <c r="K30" s="62">
        <v>72.98</v>
      </c>
      <c r="L30" s="60">
        <v>2505</v>
      </c>
      <c r="M30" s="62">
        <v>278305.5</v>
      </c>
      <c r="N30" s="62">
        <f ca="1">IFERROR(INDEX(Price_Update!$F:$F, MATCH(A30, Price_Update!$A:$A, 0)), 159.97)</f>
        <v>159.97</v>
      </c>
      <c r="O30" s="62">
        <f t="shared" ca="1" si="0"/>
        <v>400724.85</v>
      </c>
      <c r="P30" s="62">
        <v>-25349.8</v>
      </c>
      <c r="Q30" s="62">
        <f t="shared" ca="1" si="1"/>
        <v>122419.34999999998</v>
      </c>
      <c r="R30" s="62">
        <f t="shared" ca="1" si="2"/>
        <v>97069.549999999974</v>
      </c>
      <c r="S30" s="64">
        <f t="shared" ca="1" si="3"/>
        <v>0.27562211467852571</v>
      </c>
      <c r="T30" s="60">
        <v>159</v>
      </c>
      <c r="U30" s="60" t="s">
        <v>106</v>
      </c>
      <c r="V30" s="60" t="s">
        <v>107</v>
      </c>
      <c r="W30" s="60" t="s">
        <v>1089</v>
      </c>
    </row>
    <row r="31" spans="1:23">
      <c r="A31" s="60" t="s">
        <v>290</v>
      </c>
      <c r="B31" s="60" t="s">
        <v>62</v>
      </c>
      <c r="C31" s="60" t="s">
        <v>88</v>
      </c>
      <c r="D31" s="60" t="s">
        <v>74</v>
      </c>
      <c r="E31" s="60"/>
      <c r="F31" s="60">
        <v>19</v>
      </c>
      <c r="G31" s="62">
        <v>89756.600600000005</v>
      </c>
      <c r="H31" s="62">
        <v>4724.03</v>
      </c>
      <c r="I31" s="60">
        <v>19</v>
      </c>
      <c r="J31" s="62">
        <v>77079.199999999997</v>
      </c>
      <c r="K31" s="62">
        <v>4056.8</v>
      </c>
      <c r="L31" s="60">
        <v>0</v>
      </c>
      <c r="M31" s="62">
        <v>0</v>
      </c>
      <c r="N31" s="62">
        <f>IFERROR(INDEX(Price_Update!$F:$F, MATCH(A31, Price_Update!$A:$A, 0)), 3993.6)</f>
        <v>3993.6</v>
      </c>
      <c r="O31" s="62">
        <f t="shared" si="0"/>
        <v>0</v>
      </c>
      <c r="P31" s="62">
        <v>-12677.37</v>
      </c>
      <c r="Q31" s="62">
        <f t="shared" si="1"/>
        <v>0</v>
      </c>
      <c r="R31" s="62">
        <f t="shared" si="2"/>
        <v>-12677.37</v>
      </c>
      <c r="S31" s="64">
        <f t="shared" si="3"/>
        <v>-0.14124164590966026</v>
      </c>
      <c r="T31" s="60">
        <v>64</v>
      </c>
      <c r="U31" s="60"/>
      <c r="V31" s="60" t="s">
        <v>107</v>
      </c>
      <c r="W31" s="60" t="s">
        <v>1089</v>
      </c>
    </row>
    <row r="32" spans="1:23">
      <c r="A32" s="60" t="s">
        <v>361</v>
      </c>
      <c r="B32" s="60" t="s">
        <v>62</v>
      </c>
      <c r="C32" s="60" t="s">
        <v>89</v>
      </c>
      <c r="D32" s="60" t="s">
        <v>75</v>
      </c>
      <c r="E32" s="60"/>
      <c r="F32" s="60">
        <v>75</v>
      </c>
      <c r="G32" s="62">
        <v>25440</v>
      </c>
      <c r="H32" s="62">
        <v>339.2</v>
      </c>
      <c r="I32" s="60">
        <v>75</v>
      </c>
      <c r="J32" s="62">
        <v>22856.25</v>
      </c>
      <c r="K32" s="62">
        <v>304.75</v>
      </c>
      <c r="L32" s="60">
        <v>0</v>
      </c>
      <c r="M32" s="62">
        <v>0</v>
      </c>
      <c r="N32" s="62">
        <f>IFERROR(INDEX(Price_Update!$F:$F, MATCH(A32, Price_Update!$A:$A, 0)), 243.8)</f>
        <v>243.8</v>
      </c>
      <c r="O32" s="62">
        <f t="shared" si="0"/>
        <v>0</v>
      </c>
      <c r="P32" s="62">
        <v>-2583.75</v>
      </c>
      <c r="Q32" s="62">
        <f t="shared" si="1"/>
        <v>0</v>
      </c>
      <c r="R32" s="62">
        <f t="shared" si="2"/>
        <v>-2583.75</v>
      </c>
      <c r="S32" s="64">
        <f t="shared" si="3"/>
        <v>-0.1015625</v>
      </c>
      <c r="T32" s="60">
        <v>20</v>
      </c>
      <c r="U32" s="60"/>
      <c r="V32" s="60" t="s">
        <v>107</v>
      </c>
      <c r="W32" s="60" t="s">
        <v>1089</v>
      </c>
    </row>
    <row r="33" spans="1:23">
      <c r="A33" s="60" t="s">
        <v>217</v>
      </c>
      <c r="B33" s="60" t="s">
        <v>64</v>
      </c>
      <c r="C33" s="60" t="s">
        <v>86</v>
      </c>
      <c r="D33" s="60" t="s">
        <v>75</v>
      </c>
      <c r="E33" s="60" t="s">
        <v>46</v>
      </c>
      <c r="F33" s="60">
        <v>254</v>
      </c>
      <c r="G33" s="62">
        <v>100214.85</v>
      </c>
      <c r="H33" s="62">
        <v>394.55</v>
      </c>
      <c r="I33" s="60">
        <v>0</v>
      </c>
      <c r="J33" s="62">
        <v>0</v>
      </c>
      <c r="K33" s="62">
        <v>0</v>
      </c>
      <c r="L33" s="60">
        <v>254</v>
      </c>
      <c r="M33" s="62">
        <v>100215.7</v>
      </c>
      <c r="N33" s="62">
        <f ca="1">IFERROR(INDEX(Price_Update!$F:$F, MATCH(A33, Price_Update!$A:$A, 0)), 391.95)</f>
        <v>391.95</v>
      </c>
      <c r="O33" s="62">
        <f t="shared" ca="1" si="0"/>
        <v>99555.3</v>
      </c>
      <c r="P33" s="62">
        <v>0</v>
      </c>
      <c r="Q33" s="62">
        <f t="shared" ca="1" si="1"/>
        <v>-660.39999999999418</v>
      </c>
      <c r="R33" s="62">
        <f t="shared" ca="1" si="2"/>
        <v>-660.39999999999418</v>
      </c>
      <c r="S33" s="64">
        <f t="shared" ca="1" si="3"/>
        <v>-6.5898417250536637E-3</v>
      </c>
      <c r="T33" s="60">
        <v>13</v>
      </c>
      <c r="U33" s="60"/>
      <c r="V33" s="60" t="s">
        <v>107</v>
      </c>
      <c r="W33" s="60" t="s">
        <v>1089</v>
      </c>
    </row>
    <row r="34" spans="1:23">
      <c r="A34" s="60" t="s">
        <v>126</v>
      </c>
      <c r="B34" s="60" t="s">
        <v>64</v>
      </c>
      <c r="C34" s="60" t="s">
        <v>87</v>
      </c>
      <c r="D34" s="60" t="s">
        <v>74</v>
      </c>
      <c r="E34" s="60" t="s">
        <v>34</v>
      </c>
      <c r="F34" s="60">
        <v>685</v>
      </c>
      <c r="G34" s="62">
        <v>29016.6</v>
      </c>
      <c r="H34" s="62">
        <v>42.36</v>
      </c>
      <c r="I34" s="60">
        <v>0</v>
      </c>
      <c r="J34" s="62">
        <v>0</v>
      </c>
      <c r="K34" s="62">
        <v>0</v>
      </c>
      <c r="L34" s="60">
        <v>685</v>
      </c>
      <c r="M34" s="62">
        <v>29016.6</v>
      </c>
      <c r="N34" s="62">
        <f ca="1">IFERROR(INDEX(Price_Update!$F:$F, MATCH(A34, Price_Update!$A:$A, 0)), 39.17)</f>
        <v>39.17</v>
      </c>
      <c r="O34" s="62">
        <f t="shared" ca="1" si="0"/>
        <v>26831.45</v>
      </c>
      <c r="P34" s="62">
        <v>0</v>
      </c>
      <c r="Q34" s="62">
        <f t="shared" ca="1" si="1"/>
        <v>-2185.1499999999978</v>
      </c>
      <c r="R34" s="62">
        <f t="shared" ca="1" si="2"/>
        <v>-2185.1499999999978</v>
      </c>
      <c r="S34" s="64">
        <f t="shared" ca="1" si="3"/>
        <v>-7.5306893295561783E-2</v>
      </c>
      <c r="T34" s="60">
        <v>12</v>
      </c>
      <c r="U34" s="60"/>
      <c r="V34" s="60" t="s">
        <v>107</v>
      </c>
      <c r="W34" s="60" t="s">
        <v>1089</v>
      </c>
    </row>
    <row r="35" spans="1:23">
      <c r="A35" s="60" t="s">
        <v>394</v>
      </c>
      <c r="B35" s="60" t="s">
        <v>63</v>
      </c>
      <c r="C35" s="60" t="s">
        <v>90</v>
      </c>
      <c r="D35" s="60" t="s">
        <v>74</v>
      </c>
      <c r="E35" s="60" t="s">
        <v>50</v>
      </c>
      <c r="F35" s="60">
        <v>1172</v>
      </c>
      <c r="G35" s="62">
        <v>300285.28000000003</v>
      </c>
      <c r="H35" s="62">
        <v>256.22000000000003</v>
      </c>
      <c r="I35" s="60">
        <v>0</v>
      </c>
      <c r="J35" s="62">
        <v>0</v>
      </c>
      <c r="K35" s="62">
        <v>0</v>
      </c>
      <c r="L35" s="60">
        <v>1172</v>
      </c>
      <c r="M35" s="62">
        <v>300289.84000000003</v>
      </c>
      <c r="N35" s="62">
        <f ca="1">IFERROR(INDEX(Price_Update!$F:$F, MATCH(A35, Price_Update!$A:$A, 0)), 315.7)</f>
        <v>315.7</v>
      </c>
      <c r="O35" s="62">
        <f t="shared" ca="1" si="0"/>
        <v>370000.39999999997</v>
      </c>
      <c r="P35" s="62">
        <v>0</v>
      </c>
      <c r="Q35" s="62">
        <f t="shared" ca="1" si="1"/>
        <v>69710.559999999939</v>
      </c>
      <c r="R35" s="62">
        <f t="shared" ca="1" si="2"/>
        <v>69710.559999999939</v>
      </c>
      <c r="S35" s="64">
        <f t="shared" ca="1" si="3"/>
        <v>0.23214777627461436</v>
      </c>
      <c r="T35" s="60">
        <v>223</v>
      </c>
      <c r="U35" s="60"/>
      <c r="V35" s="60" t="s">
        <v>107</v>
      </c>
      <c r="W35" s="60" t="s">
        <v>1089</v>
      </c>
    </row>
    <row r="36" spans="1:23">
      <c r="A36" s="60" t="s">
        <v>117</v>
      </c>
      <c r="B36" s="60" t="s">
        <v>64</v>
      </c>
      <c r="C36" s="60" t="s">
        <v>88</v>
      </c>
      <c r="D36" s="60" t="s">
        <v>75</v>
      </c>
      <c r="E36" s="60" t="s">
        <v>40</v>
      </c>
      <c r="F36" s="60">
        <v>362</v>
      </c>
      <c r="G36" s="62">
        <v>50229.29</v>
      </c>
      <c r="H36" s="62">
        <v>138.75</v>
      </c>
      <c r="I36" s="60">
        <v>0</v>
      </c>
      <c r="J36" s="62">
        <v>0</v>
      </c>
      <c r="K36" s="62">
        <v>0</v>
      </c>
      <c r="L36" s="60">
        <v>362</v>
      </c>
      <c r="M36" s="62">
        <v>50227.5</v>
      </c>
      <c r="N36" s="62">
        <f ca="1">IFERROR(INDEX(Price_Update!$F:$F, MATCH(A36, Price_Update!$A:$A, 0)), 157.83)</f>
        <v>157.83000000000001</v>
      </c>
      <c r="O36" s="62">
        <f t="shared" ca="1" si="0"/>
        <v>57134.460000000006</v>
      </c>
      <c r="P36" s="62">
        <v>0</v>
      </c>
      <c r="Q36" s="62">
        <f t="shared" ca="1" si="1"/>
        <v>6906.9600000000064</v>
      </c>
      <c r="R36" s="62">
        <f t="shared" ca="1" si="2"/>
        <v>6906.9600000000064</v>
      </c>
      <c r="S36" s="64">
        <f t="shared" ca="1" si="3"/>
        <v>0.13750861300249329</v>
      </c>
      <c r="T36" s="60">
        <v>163</v>
      </c>
      <c r="U36" s="60"/>
      <c r="V36" s="60" t="s">
        <v>107</v>
      </c>
      <c r="W36" s="60" t="s">
        <v>1089</v>
      </c>
    </row>
    <row r="37" spans="1:23">
      <c r="A37" s="60" t="s">
        <v>299</v>
      </c>
      <c r="B37" s="60" t="s">
        <v>64</v>
      </c>
      <c r="C37" s="60" t="s">
        <v>86</v>
      </c>
      <c r="D37" s="60" t="s">
        <v>75</v>
      </c>
      <c r="E37" s="60"/>
      <c r="F37" s="60">
        <v>339</v>
      </c>
      <c r="G37" s="62">
        <v>199971.65</v>
      </c>
      <c r="H37" s="62">
        <v>589.89</v>
      </c>
      <c r="I37" s="60">
        <v>339</v>
      </c>
      <c r="J37" s="62">
        <v>201780.55</v>
      </c>
      <c r="K37" s="62">
        <v>595.22</v>
      </c>
      <c r="L37" s="60">
        <v>0</v>
      </c>
      <c r="M37" s="62">
        <v>0</v>
      </c>
      <c r="N37" s="62">
        <f>IFERROR(INDEX(Price_Update!$F:$F, MATCH(A37, Price_Update!$A:$A, 0)), 612.3)</f>
        <v>612.29999999999995</v>
      </c>
      <c r="O37" s="62">
        <f t="shared" si="0"/>
        <v>0</v>
      </c>
      <c r="P37" s="62">
        <v>1807.84</v>
      </c>
      <c r="Q37" s="62">
        <f t="shared" si="1"/>
        <v>0</v>
      </c>
      <c r="R37" s="62">
        <f t="shared" si="2"/>
        <v>1807.84</v>
      </c>
      <c r="S37" s="64">
        <f t="shared" si="3"/>
        <v>9.04048148825096E-3</v>
      </c>
      <c r="T37" s="60">
        <v>135</v>
      </c>
      <c r="U37" s="60"/>
      <c r="V37" s="60" t="s">
        <v>107</v>
      </c>
      <c r="W37" s="60" t="s">
        <v>1089</v>
      </c>
    </row>
    <row r="38" spans="1:23">
      <c r="A38" s="60" t="s">
        <v>417</v>
      </c>
      <c r="B38" s="60" t="s">
        <v>62</v>
      </c>
      <c r="C38" s="60" t="s">
        <v>86</v>
      </c>
      <c r="D38" s="60" t="s">
        <v>75</v>
      </c>
      <c r="E38" s="60"/>
      <c r="F38" s="60">
        <v>920</v>
      </c>
      <c r="G38" s="62">
        <v>99801.600000000006</v>
      </c>
      <c r="H38" s="62">
        <v>108.48</v>
      </c>
      <c r="I38" s="60">
        <v>920</v>
      </c>
      <c r="J38" s="62">
        <v>82570</v>
      </c>
      <c r="K38" s="62">
        <v>89.75</v>
      </c>
      <c r="L38" s="60">
        <v>0</v>
      </c>
      <c r="M38" s="62">
        <v>0</v>
      </c>
      <c r="N38" s="62">
        <f>IFERROR(INDEX(Price_Update!$F:$F, MATCH(A38, Price_Update!$A:$A, 0)), 103.65)</f>
        <v>103.65</v>
      </c>
      <c r="O38" s="62">
        <f t="shared" si="0"/>
        <v>0</v>
      </c>
      <c r="P38" s="62">
        <v>-17231.599999999999</v>
      </c>
      <c r="Q38" s="62">
        <f t="shared" si="1"/>
        <v>0</v>
      </c>
      <c r="R38" s="62">
        <f t="shared" si="2"/>
        <v>-17231.599999999999</v>
      </c>
      <c r="S38" s="64">
        <f t="shared" si="3"/>
        <v>-0.17265855457227136</v>
      </c>
      <c r="T38" s="60">
        <v>60</v>
      </c>
      <c r="U38" s="60"/>
      <c r="V38" s="60" t="s">
        <v>107</v>
      </c>
      <c r="W38" s="60" t="s">
        <v>1089</v>
      </c>
    </row>
    <row r="39" spans="1:23">
      <c r="A39" s="60" t="s">
        <v>145</v>
      </c>
      <c r="B39" s="60" t="s">
        <v>64</v>
      </c>
      <c r="C39" s="60" t="s">
        <v>86</v>
      </c>
      <c r="D39" s="60" t="s">
        <v>75</v>
      </c>
      <c r="E39" s="60"/>
      <c r="F39" s="60">
        <v>276</v>
      </c>
      <c r="G39" s="62">
        <v>76932.53</v>
      </c>
      <c r="H39" s="62">
        <v>278.74</v>
      </c>
      <c r="I39" s="60">
        <v>276</v>
      </c>
      <c r="J39" s="62">
        <v>77472.099999999991</v>
      </c>
      <c r="K39" s="62">
        <v>280.7</v>
      </c>
      <c r="L39" s="60">
        <v>0</v>
      </c>
      <c r="M39" s="62">
        <v>0</v>
      </c>
      <c r="N39" s="62">
        <f ca="1">IFERROR(INDEX(Price_Update!$F:$F, MATCH(A39, Price_Update!$A:$A, 0)), 277.15)</f>
        <v>277.14999999999998</v>
      </c>
      <c r="O39" s="62">
        <f t="shared" ca="1" si="0"/>
        <v>0</v>
      </c>
      <c r="P39" s="62">
        <v>539.86</v>
      </c>
      <c r="Q39" s="62">
        <f t="shared" ca="1" si="1"/>
        <v>0</v>
      </c>
      <c r="R39" s="62">
        <f t="shared" ca="1" si="2"/>
        <v>539.86</v>
      </c>
      <c r="S39" s="64">
        <f t="shared" ca="1" si="3"/>
        <v>7.0173176418349952E-3</v>
      </c>
      <c r="T39" s="60">
        <v>221</v>
      </c>
      <c r="U39" s="60"/>
      <c r="V39" s="60" t="s">
        <v>107</v>
      </c>
      <c r="W39" s="60" t="s">
        <v>1090</v>
      </c>
    </row>
    <row r="40" spans="1:23">
      <c r="A40" s="60" t="s">
        <v>543</v>
      </c>
      <c r="B40" s="60" t="s">
        <v>62</v>
      </c>
      <c r="C40" s="60" t="s">
        <v>88</v>
      </c>
      <c r="D40" s="60" t="s">
        <v>74</v>
      </c>
      <c r="E40" s="60" t="s">
        <v>50</v>
      </c>
      <c r="F40" s="60">
        <v>69</v>
      </c>
      <c r="G40" s="62">
        <v>299971.80200000003</v>
      </c>
      <c r="H40" s="62">
        <v>4347.42</v>
      </c>
      <c r="I40" s="60">
        <v>0</v>
      </c>
      <c r="J40" s="62">
        <v>0</v>
      </c>
      <c r="K40" s="62">
        <v>0</v>
      </c>
      <c r="L40" s="60">
        <v>69</v>
      </c>
      <c r="M40" s="62">
        <v>299971.98</v>
      </c>
      <c r="N40" s="62">
        <f ca="1">IFERROR(INDEX(Price_Update!$F:$F, MATCH(A40, Price_Update!$A:$A, 0)), 4942.5)</f>
        <v>4942.5</v>
      </c>
      <c r="O40" s="62">
        <f t="shared" ca="1" si="0"/>
        <v>341032.5</v>
      </c>
      <c r="P40" s="62">
        <v>0</v>
      </c>
      <c r="Q40" s="62">
        <f t="shared" ca="1" si="1"/>
        <v>41060.520000000019</v>
      </c>
      <c r="R40" s="62">
        <f t="shared" ca="1" si="2"/>
        <v>41060.520000000019</v>
      </c>
      <c r="S40" s="64">
        <f t="shared" ca="1" si="3"/>
        <v>0.13688126592645536</v>
      </c>
      <c r="T40" s="60">
        <v>97</v>
      </c>
      <c r="U40" s="60"/>
      <c r="V40" s="60" t="s">
        <v>107</v>
      </c>
      <c r="W40" s="60" t="s">
        <v>1089</v>
      </c>
    </row>
    <row r="41" spans="1:23">
      <c r="A41" s="60" t="s">
        <v>127</v>
      </c>
      <c r="B41" s="60" t="s">
        <v>64</v>
      </c>
      <c r="C41" s="60" t="s">
        <v>86</v>
      </c>
      <c r="D41" s="60" t="s">
        <v>74</v>
      </c>
      <c r="E41" s="60" t="s">
        <v>34</v>
      </c>
      <c r="F41" s="60">
        <v>263</v>
      </c>
      <c r="G41" s="62">
        <v>227676.3</v>
      </c>
      <c r="H41" s="62">
        <v>865.69</v>
      </c>
      <c r="I41" s="60">
        <v>226</v>
      </c>
      <c r="J41" s="62">
        <v>149562.45000000001</v>
      </c>
      <c r="K41" s="62">
        <v>661.78</v>
      </c>
      <c r="L41" s="60">
        <v>37</v>
      </c>
      <c r="M41" s="62">
        <v>32030.53</v>
      </c>
      <c r="N41" s="62">
        <f ca="1">IFERROR(INDEX(Price_Update!$F:$F, MATCH(A41, Price_Update!$A:$A, 0)), 774.3)</f>
        <v>774.3</v>
      </c>
      <c r="O41" s="62">
        <f t="shared" ca="1" si="0"/>
        <v>28649.1</v>
      </c>
      <c r="P41" s="62">
        <v>-46083.49</v>
      </c>
      <c r="Q41" s="62">
        <f t="shared" ca="1" si="1"/>
        <v>-3381.4300000000003</v>
      </c>
      <c r="R41" s="62">
        <f t="shared" ca="1" si="2"/>
        <v>-49464.92</v>
      </c>
      <c r="S41" s="64">
        <f t="shared" ca="1" si="3"/>
        <v>-0.21725985532969397</v>
      </c>
      <c r="T41" s="60">
        <v>12</v>
      </c>
      <c r="U41" s="60"/>
      <c r="V41" s="60" t="s">
        <v>107</v>
      </c>
      <c r="W41" s="60" t="s">
        <v>1089</v>
      </c>
    </row>
    <row r="42" spans="1:23">
      <c r="A42" s="60" t="s">
        <v>187</v>
      </c>
      <c r="B42" s="60" t="s">
        <v>62</v>
      </c>
      <c r="C42" s="60" t="s">
        <v>86</v>
      </c>
      <c r="D42" s="60" t="s">
        <v>75</v>
      </c>
      <c r="E42" s="60" t="s">
        <v>52</v>
      </c>
      <c r="F42" s="60">
        <v>443</v>
      </c>
      <c r="G42" s="62">
        <v>399790.8</v>
      </c>
      <c r="H42" s="62">
        <v>902.46</v>
      </c>
      <c r="I42" s="60">
        <v>103</v>
      </c>
      <c r="J42" s="62">
        <v>99714.349999999991</v>
      </c>
      <c r="K42" s="62">
        <v>968.1</v>
      </c>
      <c r="L42" s="60">
        <v>340</v>
      </c>
      <c r="M42" s="62">
        <v>306836.40000000002</v>
      </c>
      <c r="N42" s="62">
        <f ca="1">IFERROR(INDEX(Price_Update!$F:$F, MATCH(A42, Price_Update!$A:$A, 0)), 1021.6)</f>
        <v>1021.6</v>
      </c>
      <c r="O42" s="62">
        <f t="shared" ca="1" si="0"/>
        <v>347344</v>
      </c>
      <c r="P42" s="62">
        <v>6760.97</v>
      </c>
      <c r="Q42" s="62">
        <f t="shared" ca="1" si="1"/>
        <v>40507.599999999977</v>
      </c>
      <c r="R42" s="62">
        <f t="shared" ca="1" si="2"/>
        <v>47268.569999999978</v>
      </c>
      <c r="S42" s="64">
        <f t="shared" ca="1" si="3"/>
        <v>0.11823326099550059</v>
      </c>
      <c r="T42" s="60">
        <v>251</v>
      </c>
      <c r="U42" s="60"/>
      <c r="V42" s="60" t="s">
        <v>107</v>
      </c>
      <c r="W42" s="60" t="s">
        <v>1090</v>
      </c>
    </row>
    <row r="43" spans="1:23">
      <c r="A43" s="60" t="s">
        <v>375</v>
      </c>
      <c r="B43" s="60" t="s">
        <v>63</v>
      </c>
      <c r="C43" s="60" t="s">
        <v>86</v>
      </c>
      <c r="D43" s="60" t="s">
        <v>75</v>
      </c>
      <c r="E43" s="60"/>
      <c r="F43" s="60">
        <v>205</v>
      </c>
      <c r="G43" s="62">
        <v>99086.75</v>
      </c>
      <c r="H43" s="62">
        <v>483.35</v>
      </c>
      <c r="I43" s="60">
        <v>205</v>
      </c>
      <c r="J43" s="62">
        <v>75235</v>
      </c>
      <c r="K43" s="62">
        <v>367</v>
      </c>
      <c r="L43" s="60">
        <v>0</v>
      </c>
      <c r="M43" s="62">
        <v>0</v>
      </c>
      <c r="N43" s="62">
        <f>IFERROR(INDEX(Price_Update!$F:$F, MATCH(A43, Price_Update!$A:$A, 0)), 388.9)</f>
        <v>388.9</v>
      </c>
      <c r="O43" s="62">
        <f t="shared" si="0"/>
        <v>0</v>
      </c>
      <c r="P43" s="62">
        <v>-23851.75</v>
      </c>
      <c r="Q43" s="62">
        <f t="shared" si="1"/>
        <v>0</v>
      </c>
      <c r="R43" s="62">
        <f t="shared" si="2"/>
        <v>-23851.75</v>
      </c>
      <c r="S43" s="64">
        <f t="shared" si="3"/>
        <v>-0.24071583738491775</v>
      </c>
      <c r="T43" s="60">
        <v>193</v>
      </c>
      <c r="U43" s="60"/>
      <c r="V43" s="60" t="s">
        <v>107</v>
      </c>
      <c r="W43" s="60" t="s">
        <v>1089</v>
      </c>
    </row>
    <row r="44" spans="1:23">
      <c r="A44" s="60" t="s">
        <v>254</v>
      </c>
      <c r="B44" s="60" t="s">
        <v>64</v>
      </c>
      <c r="C44" s="60" t="s">
        <v>87</v>
      </c>
      <c r="D44" s="60" t="s">
        <v>75</v>
      </c>
      <c r="E44" s="60" t="s">
        <v>46</v>
      </c>
      <c r="F44" s="60">
        <v>144</v>
      </c>
      <c r="G44" s="62">
        <v>100088.9</v>
      </c>
      <c r="H44" s="62">
        <v>695.06</v>
      </c>
      <c r="I44" s="60">
        <v>0</v>
      </c>
      <c r="J44" s="62">
        <v>0</v>
      </c>
      <c r="K44" s="62">
        <v>0</v>
      </c>
      <c r="L44" s="60">
        <v>144</v>
      </c>
      <c r="M44" s="62">
        <v>100088.64</v>
      </c>
      <c r="N44" s="62">
        <f ca="1">IFERROR(INDEX(Price_Update!$F:$F, MATCH(A44, Price_Update!$A:$A, 0)), 680.5)</f>
        <v>680.5</v>
      </c>
      <c r="O44" s="62">
        <f t="shared" ca="1" si="0"/>
        <v>97992</v>
      </c>
      <c r="P44" s="62">
        <v>0</v>
      </c>
      <c r="Q44" s="62">
        <f t="shared" ca="1" si="1"/>
        <v>-2096.6399999999994</v>
      </c>
      <c r="R44" s="62">
        <f t="shared" ca="1" si="2"/>
        <v>-2096.6399999999994</v>
      </c>
      <c r="S44" s="64">
        <f t="shared" ca="1" si="3"/>
        <v>-2.0947777425868397E-2</v>
      </c>
      <c r="T44" s="60">
        <v>6</v>
      </c>
      <c r="U44" s="60"/>
      <c r="V44" s="60" t="s">
        <v>107</v>
      </c>
      <c r="W44" s="60" t="s">
        <v>1089</v>
      </c>
    </row>
    <row r="45" spans="1:23">
      <c r="A45" s="60" t="s">
        <v>385</v>
      </c>
      <c r="B45" s="60" t="s">
        <v>62</v>
      </c>
      <c r="C45" s="60" t="s">
        <v>86</v>
      </c>
      <c r="D45" s="60" t="s">
        <v>75</v>
      </c>
      <c r="E45" s="60"/>
      <c r="F45" s="60">
        <v>386</v>
      </c>
      <c r="G45" s="62">
        <v>70186.3</v>
      </c>
      <c r="H45" s="62">
        <v>181.83</v>
      </c>
      <c r="I45" s="60">
        <v>386</v>
      </c>
      <c r="J45" s="62">
        <v>52592.5</v>
      </c>
      <c r="K45" s="62">
        <v>136.25</v>
      </c>
      <c r="L45" s="60">
        <v>0</v>
      </c>
      <c r="M45" s="62">
        <v>0</v>
      </c>
      <c r="N45" s="62">
        <f>IFERROR(INDEX(Price_Update!$F:$F, MATCH(A45, Price_Update!$A:$A, 0)), 140.94)</f>
        <v>140.94</v>
      </c>
      <c r="O45" s="62">
        <f t="shared" si="0"/>
        <v>0</v>
      </c>
      <c r="P45" s="62">
        <v>-17593.88</v>
      </c>
      <c r="Q45" s="62">
        <f t="shared" si="1"/>
        <v>0</v>
      </c>
      <c r="R45" s="62">
        <f t="shared" si="2"/>
        <v>-17593.88</v>
      </c>
      <c r="S45" s="64">
        <f t="shared" si="3"/>
        <v>-0.25067399193289858</v>
      </c>
      <c r="T45" s="60">
        <v>193</v>
      </c>
      <c r="U45" s="60"/>
      <c r="V45" s="60" t="s">
        <v>107</v>
      </c>
      <c r="W45" s="60" t="s">
        <v>1089</v>
      </c>
    </row>
    <row r="46" spans="1:23">
      <c r="A46" s="60" t="s">
        <v>311</v>
      </c>
      <c r="B46" s="60" t="s">
        <v>64</v>
      </c>
      <c r="C46" s="60" t="s">
        <v>88</v>
      </c>
      <c r="D46" s="60" t="s">
        <v>75</v>
      </c>
      <c r="E46" s="60"/>
      <c r="F46" s="60">
        <v>35</v>
      </c>
      <c r="G46" s="62">
        <v>25089.75</v>
      </c>
      <c r="H46" s="62">
        <v>716.85</v>
      </c>
      <c r="I46" s="60">
        <v>35</v>
      </c>
      <c r="J46" s="62">
        <v>22651.75</v>
      </c>
      <c r="K46" s="62">
        <v>647.19000000000005</v>
      </c>
      <c r="L46" s="60">
        <v>0</v>
      </c>
      <c r="M46" s="62">
        <v>0</v>
      </c>
      <c r="N46" s="62">
        <f>IFERROR(INDEX(Price_Update!$F:$F, MATCH(A46, Price_Update!$A:$A, 0)), 683.8)</f>
        <v>683.8</v>
      </c>
      <c r="O46" s="62">
        <f t="shared" si="0"/>
        <v>0</v>
      </c>
      <c r="P46" s="62">
        <v>-2438</v>
      </c>
      <c r="Q46" s="62">
        <f t="shared" si="1"/>
        <v>0</v>
      </c>
      <c r="R46" s="62">
        <f t="shared" si="2"/>
        <v>-2438</v>
      </c>
      <c r="S46" s="64">
        <f t="shared" si="3"/>
        <v>-9.7171155551569868E-2</v>
      </c>
      <c r="T46" s="60">
        <v>31</v>
      </c>
      <c r="U46" s="60"/>
      <c r="V46" s="60" t="s">
        <v>107</v>
      </c>
      <c r="W46" s="60" t="s">
        <v>1089</v>
      </c>
    </row>
    <row r="47" spans="1:23">
      <c r="A47" s="60" t="s">
        <v>426</v>
      </c>
      <c r="B47" s="60" t="s">
        <v>64</v>
      </c>
      <c r="C47" s="60" t="s">
        <v>88</v>
      </c>
      <c r="D47" s="60" t="s">
        <v>75</v>
      </c>
      <c r="E47" s="60"/>
      <c r="F47" s="60">
        <v>196</v>
      </c>
      <c r="G47" s="62">
        <v>100079.5</v>
      </c>
      <c r="H47" s="62">
        <v>510.61</v>
      </c>
      <c r="I47" s="60">
        <v>196</v>
      </c>
      <c r="J47" s="62">
        <v>82398.399999999994</v>
      </c>
      <c r="K47" s="62">
        <v>420.4</v>
      </c>
      <c r="L47" s="60">
        <v>0</v>
      </c>
      <c r="M47" s="62">
        <v>0</v>
      </c>
      <c r="N47" s="62">
        <f>IFERROR(INDEX(Price_Update!$F:$F, MATCH(A47, Price_Update!$A:$A, 0)), 378.25)</f>
        <v>378.25</v>
      </c>
      <c r="O47" s="62">
        <f t="shared" si="0"/>
        <v>0</v>
      </c>
      <c r="P47" s="62">
        <v>-17681.16</v>
      </c>
      <c r="Q47" s="62">
        <f t="shared" si="1"/>
        <v>0</v>
      </c>
      <c r="R47" s="62">
        <f t="shared" si="2"/>
        <v>-17681.16</v>
      </c>
      <c r="S47" s="64">
        <f t="shared" si="3"/>
        <v>-0.17667114643858134</v>
      </c>
      <c r="T47" s="60">
        <v>70</v>
      </c>
      <c r="U47" s="60"/>
      <c r="V47" s="60" t="s">
        <v>107</v>
      </c>
      <c r="W47" s="60" t="s">
        <v>1089</v>
      </c>
    </row>
    <row r="48" spans="1:23">
      <c r="A48" s="60" t="s">
        <v>696</v>
      </c>
      <c r="B48" s="60" t="s">
        <v>63</v>
      </c>
      <c r="C48" s="60" t="s">
        <v>88</v>
      </c>
      <c r="D48" s="60" t="s">
        <v>74</v>
      </c>
      <c r="E48" s="60" t="s">
        <v>46</v>
      </c>
      <c r="F48" s="60">
        <v>19</v>
      </c>
      <c r="G48" s="62">
        <v>99286.5</v>
      </c>
      <c r="H48" s="62">
        <v>5225.6099999999997</v>
      </c>
      <c r="I48" s="60">
        <v>0</v>
      </c>
      <c r="J48" s="62">
        <v>0</v>
      </c>
      <c r="K48" s="62">
        <v>0</v>
      </c>
      <c r="L48" s="60">
        <v>19</v>
      </c>
      <c r="M48" s="62">
        <v>99286.59</v>
      </c>
      <c r="N48" s="62">
        <f ca="1">IFERROR(INDEX(Price_Update!$F:$F, MATCH(A48, Price_Update!$A:$A, 0)), 5369.5)</f>
        <v>5369.5</v>
      </c>
      <c r="O48" s="62">
        <f t="shared" ca="1" si="0"/>
        <v>102020.5</v>
      </c>
      <c r="P48" s="62">
        <v>0</v>
      </c>
      <c r="Q48" s="62">
        <f t="shared" ca="1" si="1"/>
        <v>2733.9100000000035</v>
      </c>
      <c r="R48" s="62">
        <f t="shared" ca="1" si="2"/>
        <v>2733.9100000000035</v>
      </c>
      <c r="S48" s="64">
        <f t="shared" ca="1" si="3"/>
        <v>2.7535566265302971E-2</v>
      </c>
      <c r="T48" s="60">
        <v>12</v>
      </c>
      <c r="U48" s="60"/>
      <c r="V48" s="60" t="s">
        <v>107</v>
      </c>
      <c r="W48" s="60" t="s">
        <v>1089</v>
      </c>
    </row>
    <row r="49" spans="1:23">
      <c r="A49" s="60" t="s">
        <v>431</v>
      </c>
      <c r="B49" s="60" t="s">
        <v>64</v>
      </c>
      <c r="C49" s="60" t="s">
        <v>86</v>
      </c>
      <c r="D49" s="60" t="s">
        <v>75</v>
      </c>
      <c r="E49" s="60"/>
      <c r="F49" s="60">
        <v>19</v>
      </c>
      <c r="G49" s="62">
        <v>24977.4</v>
      </c>
      <c r="H49" s="62">
        <v>1314.6</v>
      </c>
      <c r="I49" s="60">
        <v>19</v>
      </c>
      <c r="J49" s="62">
        <v>21475.7</v>
      </c>
      <c r="K49" s="62">
        <v>1130.3</v>
      </c>
      <c r="L49" s="60">
        <v>0</v>
      </c>
      <c r="M49" s="62">
        <v>0</v>
      </c>
      <c r="N49" s="62">
        <f>IFERROR(INDEX(Price_Update!$F:$F, MATCH(A49, Price_Update!$A:$A, 0)), 1890.5)</f>
        <v>1890.5</v>
      </c>
      <c r="O49" s="62">
        <f t="shared" si="0"/>
        <v>0</v>
      </c>
      <c r="P49" s="62">
        <v>-3501.7</v>
      </c>
      <c r="Q49" s="62">
        <f t="shared" si="1"/>
        <v>0</v>
      </c>
      <c r="R49" s="62">
        <f t="shared" si="2"/>
        <v>-3501.7</v>
      </c>
      <c r="S49" s="64">
        <f t="shared" si="3"/>
        <v>-0.14019473604138138</v>
      </c>
      <c r="T49" s="60">
        <v>27</v>
      </c>
      <c r="U49" s="60"/>
      <c r="V49" s="60" t="s">
        <v>107</v>
      </c>
      <c r="W49" s="60" t="s">
        <v>1089</v>
      </c>
    </row>
    <row r="50" spans="1:23">
      <c r="A50" s="60" t="s">
        <v>699</v>
      </c>
      <c r="B50" s="60" t="s">
        <v>64</v>
      </c>
      <c r="C50" s="60" t="s">
        <v>87</v>
      </c>
      <c r="D50" s="60" t="s">
        <v>74</v>
      </c>
      <c r="E50" s="60" t="s">
        <v>46</v>
      </c>
      <c r="F50" s="60">
        <v>147</v>
      </c>
      <c r="G50" s="62">
        <v>98000</v>
      </c>
      <c r="H50" s="62">
        <v>666.67</v>
      </c>
      <c r="I50" s="60">
        <v>0</v>
      </c>
      <c r="J50" s="62">
        <v>0</v>
      </c>
      <c r="K50" s="62">
        <v>0</v>
      </c>
      <c r="L50" s="60">
        <v>147</v>
      </c>
      <c r="M50" s="62">
        <v>98000.49</v>
      </c>
      <c r="N50" s="62">
        <f ca="1">IFERROR(INDEX(Price_Update!$F:$F, MATCH(A50, Price_Update!$A:$A, 0)), 673.6)</f>
        <v>673.6</v>
      </c>
      <c r="O50" s="62">
        <f t="shared" ca="1" si="0"/>
        <v>99019.199999999997</v>
      </c>
      <c r="P50" s="62">
        <v>0</v>
      </c>
      <c r="Q50" s="62">
        <f t="shared" ca="1" si="1"/>
        <v>1018.7099999999919</v>
      </c>
      <c r="R50" s="62">
        <f t="shared" ca="1" si="2"/>
        <v>1018.7099999999919</v>
      </c>
      <c r="S50" s="64">
        <f t="shared" ca="1" si="3"/>
        <v>1.0394999999999916E-2</v>
      </c>
      <c r="T50" s="60">
        <v>12</v>
      </c>
      <c r="U50" s="60"/>
      <c r="V50" s="60" t="s">
        <v>107</v>
      </c>
      <c r="W50" s="60" t="s">
        <v>1089</v>
      </c>
    </row>
    <row r="51" spans="1:23">
      <c r="A51" s="60" t="s">
        <v>691</v>
      </c>
      <c r="B51" s="60" t="s">
        <v>64</v>
      </c>
      <c r="C51" s="60" t="s">
        <v>87</v>
      </c>
      <c r="D51" s="60" t="s">
        <v>74</v>
      </c>
      <c r="E51" s="60" t="s">
        <v>46</v>
      </c>
      <c r="F51" s="60">
        <v>64</v>
      </c>
      <c r="G51" s="62">
        <v>99217.3</v>
      </c>
      <c r="H51" s="62">
        <v>1550.27</v>
      </c>
      <c r="I51" s="60">
        <v>0</v>
      </c>
      <c r="J51" s="62">
        <v>0</v>
      </c>
      <c r="K51" s="62">
        <v>0</v>
      </c>
      <c r="L51" s="60">
        <v>64</v>
      </c>
      <c r="M51" s="62">
        <v>99217.279999999999</v>
      </c>
      <c r="N51" s="62">
        <f ca="1">IFERROR(INDEX(Price_Update!$F:$F, MATCH(A51, Price_Update!$A:$A, 0)), 1601.5)</f>
        <v>1601.5</v>
      </c>
      <c r="O51" s="62">
        <f t="shared" ca="1" si="0"/>
        <v>102496</v>
      </c>
      <c r="P51" s="62">
        <v>0</v>
      </c>
      <c r="Q51" s="62">
        <f t="shared" ca="1" si="1"/>
        <v>3278.7200000000012</v>
      </c>
      <c r="R51" s="62">
        <f t="shared" ca="1" si="2"/>
        <v>3278.7200000000012</v>
      </c>
      <c r="S51" s="64">
        <f t="shared" ca="1" si="3"/>
        <v>3.3045849866908304E-2</v>
      </c>
      <c r="T51" s="60">
        <v>12</v>
      </c>
      <c r="U51" s="60"/>
      <c r="V51" s="60" t="s">
        <v>107</v>
      </c>
      <c r="W51" s="60" t="s">
        <v>1089</v>
      </c>
    </row>
    <row r="52" spans="1:23">
      <c r="A52" s="60" t="s">
        <v>150</v>
      </c>
      <c r="B52" s="60" t="s">
        <v>63</v>
      </c>
      <c r="C52" s="60" t="s">
        <v>87</v>
      </c>
      <c r="D52" s="60" t="s">
        <v>75</v>
      </c>
      <c r="E52" s="60" t="s">
        <v>48</v>
      </c>
      <c r="F52" s="60">
        <v>143</v>
      </c>
      <c r="G52" s="62">
        <v>199739.9</v>
      </c>
      <c r="H52" s="62">
        <v>1396.78</v>
      </c>
      <c r="I52" s="60">
        <v>0</v>
      </c>
      <c r="J52" s="62">
        <v>0</v>
      </c>
      <c r="K52" s="62">
        <v>0</v>
      </c>
      <c r="L52" s="60">
        <v>143</v>
      </c>
      <c r="M52" s="62">
        <v>199739.54</v>
      </c>
      <c r="N52" s="62">
        <f ca="1">IFERROR(INDEX(Price_Update!$F:$F, MATCH(A52, Price_Update!$A:$A, 0)), 1394.3)</f>
        <v>1394.3</v>
      </c>
      <c r="O52" s="62">
        <f t="shared" ca="1" si="0"/>
        <v>199384.9</v>
      </c>
      <c r="P52" s="62">
        <v>0</v>
      </c>
      <c r="Q52" s="62">
        <f t="shared" ca="1" si="1"/>
        <v>-354.64000000001397</v>
      </c>
      <c r="R52" s="62">
        <f t="shared" ca="1" si="2"/>
        <v>-354.64000000001397</v>
      </c>
      <c r="S52" s="64">
        <f t="shared" ca="1" si="3"/>
        <v>-1.7755090495189694E-3</v>
      </c>
      <c r="T52" s="60">
        <v>30</v>
      </c>
      <c r="U52" s="60"/>
      <c r="V52" s="60" t="s">
        <v>107</v>
      </c>
      <c r="W52" s="60" t="s">
        <v>1089</v>
      </c>
    </row>
    <row r="53" spans="1:23">
      <c r="A53" s="60" t="s">
        <v>124</v>
      </c>
      <c r="B53" s="60" t="s">
        <v>62</v>
      </c>
      <c r="C53" s="60" t="s">
        <v>86</v>
      </c>
      <c r="D53" s="60" t="s">
        <v>74</v>
      </c>
      <c r="E53" s="60" t="s">
        <v>34</v>
      </c>
      <c r="F53" s="60">
        <v>16</v>
      </c>
      <c r="G53" s="62">
        <v>50032</v>
      </c>
      <c r="H53" s="62">
        <v>3127</v>
      </c>
      <c r="I53" s="60">
        <v>0</v>
      </c>
      <c r="J53" s="62">
        <v>0</v>
      </c>
      <c r="K53" s="62">
        <v>0</v>
      </c>
      <c r="L53" s="60">
        <v>16</v>
      </c>
      <c r="M53" s="62">
        <v>50032</v>
      </c>
      <c r="N53" s="62">
        <f ca="1">IFERROR(INDEX(Price_Update!$F:$F, MATCH(A53, Price_Update!$A:$A, 0)), 3042.9)</f>
        <v>3042.9</v>
      </c>
      <c r="O53" s="62">
        <f t="shared" ca="1" si="0"/>
        <v>48686.400000000001</v>
      </c>
      <c r="P53" s="62">
        <v>0</v>
      </c>
      <c r="Q53" s="62">
        <f t="shared" ca="1" si="1"/>
        <v>-1345.5999999999985</v>
      </c>
      <c r="R53" s="62">
        <f t="shared" ca="1" si="2"/>
        <v>-1345.5999999999985</v>
      </c>
      <c r="S53" s="64">
        <f t="shared" ca="1" si="3"/>
        <v>-2.6894787336104863E-2</v>
      </c>
      <c r="T53" s="60">
        <v>30</v>
      </c>
      <c r="U53" s="60"/>
      <c r="V53" s="60" t="s">
        <v>107</v>
      </c>
      <c r="W53" s="60" t="s">
        <v>1089</v>
      </c>
    </row>
    <row r="54" spans="1:23">
      <c r="A54" s="60" t="s">
        <v>468</v>
      </c>
      <c r="B54" s="60" t="s">
        <v>63</v>
      </c>
      <c r="C54" s="60" t="s">
        <v>90</v>
      </c>
      <c r="D54" s="60" t="s">
        <v>75</v>
      </c>
      <c r="E54" s="60"/>
      <c r="F54" s="60">
        <v>1315</v>
      </c>
      <c r="G54" s="62">
        <v>100907.4</v>
      </c>
      <c r="H54" s="62">
        <v>76.739999999999995</v>
      </c>
      <c r="I54" s="60">
        <v>1315</v>
      </c>
      <c r="J54" s="62">
        <v>105902.05</v>
      </c>
      <c r="K54" s="62">
        <v>80.53</v>
      </c>
      <c r="L54" s="60">
        <v>0</v>
      </c>
      <c r="M54" s="62">
        <v>0</v>
      </c>
      <c r="N54" s="62">
        <f>IFERROR(INDEX(Price_Update!$F:$F, MATCH(A54, Price_Update!$A:$A, 0)), 87.3)</f>
        <v>87.3</v>
      </c>
      <c r="O54" s="62">
        <f t="shared" si="0"/>
        <v>0</v>
      </c>
      <c r="P54" s="62">
        <v>4988.95</v>
      </c>
      <c r="Q54" s="62">
        <f t="shared" si="1"/>
        <v>0</v>
      </c>
      <c r="R54" s="62">
        <f t="shared" si="2"/>
        <v>4988.95</v>
      </c>
      <c r="S54" s="64">
        <f t="shared" si="3"/>
        <v>4.9440873513736355E-2</v>
      </c>
      <c r="T54" s="60">
        <v>124</v>
      </c>
      <c r="U54" s="60"/>
      <c r="V54" s="60" t="s">
        <v>107</v>
      </c>
      <c r="W54" s="60" t="s">
        <v>1089</v>
      </c>
    </row>
    <row r="55" spans="1:23">
      <c r="A55" s="60" t="s">
        <v>557</v>
      </c>
      <c r="B55" s="60" t="s">
        <v>63</v>
      </c>
      <c r="C55" s="60" t="s">
        <v>86</v>
      </c>
      <c r="D55" s="60" t="s">
        <v>75</v>
      </c>
      <c r="E55" s="60"/>
      <c r="F55" s="60">
        <v>19</v>
      </c>
      <c r="G55" s="62">
        <v>50977</v>
      </c>
      <c r="H55" s="62">
        <v>2683</v>
      </c>
      <c r="I55" s="60">
        <v>19</v>
      </c>
      <c r="J55" s="62">
        <v>47612.048300000002</v>
      </c>
      <c r="K55" s="62">
        <v>2505.9</v>
      </c>
      <c r="L55" s="60">
        <v>0</v>
      </c>
      <c r="M55" s="62">
        <v>0</v>
      </c>
      <c r="N55" s="62">
        <f>IFERROR(INDEX(Price_Update!$F:$F, MATCH(A55, Price_Update!$A:$A, 0)), 2410.1)</f>
        <v>2410.1</v>
      </c>
      <c r="O55" s="62">
        <f t="shared" si="0"/>
        <v>0</v>
      </c>
      <c r="P55" s="62">
        <v>-3364.95</v>
      </c>
      <c r="Q55" s="62">
        <f t="shared" si="1"/>
        <v>0</v>
      </c>
      <c r="R55" s="62">
        <f t="shared" si="2"/>
        <v>-3364.95</v>
      </c>
      <c r="S55" s="64">
        <f t="shared" si="3"/>
        <v>-6.6009180610863721E-2</v>
      </c>
      <c r="T55" s="60">
        <v>18</v>
      </c>
      <c r="U55" s="60"/>
      <c r="V55" s="60" t="s">
        <v>107</v>
      </c>
      <c r="W55" s="60" t="s">
        <v>1089</v>
      </c>
    </row>
    <row r="56" spans="1:23">
      <c r="A56" s="60" t="s">
        <v>108</v>
      </c>
      <c r="B56" s="60" t="s">
        <v>64</v>
      </c>
      <c r="C56" s="60" t="s">
        <v>87</v>
      </c>
      <c r="D56" s="60" t="s">
        <v>74</v>
      </c>
      <c r="E56" s="60" t="s">
        <v>46</v>
      </c>
      <c r="F56" s="60">
        <v>352</v>
      </c>
      <c r="G56" s="62">
        <v>190446</v>
      </c>
      <c r="H56" s="62">
        <v>541.04</v>
      </c>
      <c r="I56" s="60">
        <v>168</v>
      </c>
      <c r="J56" s="62">
        <v>81102.5</v>
      </c>
      <c r="K56" s="62">
        <v>482.75</v>
      </c>
      <c r="L56" s="60">
        <v>184</v>
      </c>
      <c r="M56" s="62">
        <v>99551.360000000001</v>
      </c>
      <c r="N56" s="62">
        <f ca="1">IFERROR(INDEX(Price_Update!$F:$F, MATCH(A56, Price_Update!$A:$A, 0)), 530.7)</f>
        <v>530.70000000000005</v>
      </c>
      <c r="O56" s="62">
        <f t="shared" ca="1" si="0"/>
        <v>97648.8</v>
      </c>
      <c r="P56" s="62">
        <v>-9792.2199999999993</v>
      </c>
      <c r="Q56" s="62">
        <f t="shared" ca="1" si="1"/>
        <v>-1902.5599999999977</v>
      </c>
      <c r="R56" s="62">
        <f t="shared" ca="1" si="2"/>
        <v>-11694.779999999997</v>
      </c>
      <c r="S56" s="64">
        <f t="shared" ca="1" si="3"/>
        <v>-6.1407328061497735E-2</v>
      </c>
      <c r="T56" s="60">
        <v>12</v>
      </c>
      <c r="U56" s="60" t="s">
        <v>109</v>
      </c>
      <c r="V56" s="60" t="s">
        <v>107</v>
      </c>
      <c r="W56" s="60" t="s">
        <v>1089</v>
      </c>
    </row>
    <row r="57" spans="1:23">
      <c r="A57" s="60" t="s">
        <v>532</v>
      </c>
      <c r="B57" s="60" t="s">
        <v>64</v>
      </c>
      <c r="C57" s="60" t="s">
        <v>86</v>
      </c>
      <c r="D57" s="60" t="s">
        <v>75</v>
      </c>
      <c r="E57" s="60"/>
      <c r="F57" s="60">
        <v>121</v>
      </c>
      <c r="G57" s="62">
        <v>24998.6</v>
      </c>
      <c r="H57" s="62">
        <v>206.6</v>
      </c>
      <c r="I57" s="60">
        <v>121</v>
      </c>
      <c r="J57" s="62">
        <v>19294.599999999999</v>
      </c>
      <c r="K57" s="62">
        <v>159.46</v>
      </c>
      <c r="L57" s="60">
        <v>0</v>
      </c>
      <c r="M57" s="62">
        <v>0</v>
      </c>
      <c r="N57" s="62">
        <f>IFERROR(INDEX(Price_Update!$F:$F, MATCH(A57, Price_Update!$A:$A, 0)), 161.01)</f>
        <v>161.01</v>
      </c>
      <c r="O57" s="62">
        <f t="shared" si="0"/>
        <v>0</v>
      </c>
      <c r="P57" s="62">
        <v>-5704</v>
      </c>
      <c r="Q57" s="62">
        <f t="shared" si="1"/>
        <v>0</v>
      </c>
      <c r="R57" s="62">
        <f t="shared" si="2"/>
        <v>-5704</v>
      </c>
      <c r="S57" s="64">
        <f t="shared" si="3"/>
        <v>-0.22817277767554983</v>
      </c>
      <c r="T57" s="60">
        <v>59</v>
      </c>
      <c r="U57" s="60"/>
      <c r="V57" s="60" t="s">
        <v>107</v>
      </c>
      <c r="W57" s="60" t="s">
        <v>1089</v>
      </c>
    </row>
    <row r="58" spans="1:23">
      <c r="A58" s="60" t="s">
        <v>719</v>
      </c>
      <c r="B58" s="60" t="s">
        <v>63</v>
      </c>
      <c r="C58" s="60" t="s">
        <v>87</v>
      </c>
      <c r="D58" s="60" t="s">
        <v>74</v>
      </c>
      <c r="E58" s="60" t="s">
        <v>34</v>
      </c>
      <c r="F58" s="60">
        <v>4</v>
      </c>
      <c r="G58" s="62">
        <v>28200</v>
      </c>
      <c r="H58" s="62">
        <v>7050</v>
      </c>
      <c r="I58" s="60">
        <v>0</v>
      </c>
      <c r="J58" s="62">
        <v>0</v>
      </c>
      <c r="K58" s="62">
        <v>0</v>
      </c>
      <c r="L58" s="60">
        <v>4</v>
      </c>
      <c r="M58" s="62">
        <v>28200</v>
      </c>
      <c r="N58" s="62">
        <f ca="1">IFERROR(INDEX(Price_Update!$F:$F, MATCH(A58, Price_Update!$A:$A, 0)), 7303)</f>
        <v>7303</v>
      </c>
      <c r="O58" s="62">
        <f t="shared" ca="1" si="0"/>
        <v>29212</v>
      </c>
      <c r="P58" s="62">
        <v>0</v>
      </c>
      <c r="Q58" s="62">
        <f t="shared" ca="1" si="1"/>
        <v>1012</v>
      </c>
      <c r="R58" s="62">
        <f t="shared" ca="1" si="2"/>
        <v>1012</v>
      </c>
      <c r="S58" s="64">
        <f t="shared" ca="1" si="3"/>
        <v>3.5886524822695033E-2</v>
      </c>
      <c r="T58" s="60">
        <v>12</v>
      </c>
      <c r="U58" s="60"/>
      <c r="V58" s="60" t="s">
        <v>107</v>
      </c>
      <c r="W58" s="60" t="s">
        <v>1089</v>
      </c>
    </row>
    <row r="59" spans="1:23">
      <c r="A59" s="60" t="s">
        <v>226</v>
      </c>
      <c r="B59" s="60" t="s">
        <v>64</v>
      </c>
      <c r="C59" s="60" t="s">
        <v>89</v>
      </c>
      <c r="D59" s="60" t="s">
        <v>75</v>
      </c>
      <c r="E59" s="60" t="s">
        <v>34</v>
      </c>
      <c r="F59" s="60">
        <v>11</v>
      </c>
      <c r="G59" s="62">
        <v>50590.301299999999</v>
      </c>
      <c r="H59" s="62">
        <v>4599.12</v>
      </c>
      <c r="I59" s="60">
        <v>0</v>
      </c>
      <c r="J59" s="62">
        <v>0</v>
      </c>
      <c r="K59" s="62">
        <v>0</v>
      </c>
      <c r="L59" s="60">
        <v>11</v>
      </c>
      <c r="M59" s="62">
        <v>50590.32</v>
      </c>
      <c r="N59" s="62">
        <f ca="1">IFERROR(INDEX(Price_Update!$F:$F, MATCH(A59, Price_Update!$A:$A, 0)), 4587.4)</f>
        <v>4587.3999999999996</v>
      </c>
      <c r="O59" s="62">
        <f t="shared" ca="1" si="0"/>
        <v>50461.399999999994</v>
      </c>
      <c r="P59" s="62">
        <v>0</v>
      </c>
      <c r="Q59" s="62">
        <f t="shared" ca="1" si="1"/>
        <v>-128.92000000000553</v>
      </c>
      <c r="R59" s="62">
        <f t="shared" ca="1" si="2"/>
        <v>-128.92000000000553</v>
      </c>
      <c r="S59" s="64">
        <f t="shared" ca="1" si="3"/>
        <v>-2.5483145323747171E-3</v>
      </c>
      <c r="T59" s="60">
        <v>13</v>
      </c>
      <c r="U59" s="60"/>
      <c r="V59" s="60" t="s">
        <v>107</v>
      </c>
      <c r="W59" s="60" t="s">
        <v>1089</v>
      </c>
    </row>
    <row r="60" spans="1:23">
      <c r="A60" s="60" t="s">
        <v>745</v>
      </c>
      <c r="B60" s="60" t="s">
        <v>64</v>
      </c>
      <c r="C60" s="60" t="s">
        <v>87</v>
      </c>
      <c r="D60" s="60" t="s">
        <v>74</v>
      </c>
      <c r="E60" s="60" t="s">
        <v>46</v>
      </c>
      <c r="F60" s="60">
        <v>6</v>
      </c>
      <c r="G60" s="62">
        <v>102087.39840000001</v>
      </c>
      <c r="H60" s="62">
        <v>17014.57</v>
      </c>
      <c r="I60" s="60">
        <v>0</v>
      </c>
      <c r="J60" s="62">
        <v>0</v>
      </c>
      <c r="K60" s="62">
        <v>0</v>
      </c>
      <c r="L60" s="60">
        <v>6</v>
      </c>
      <c r="M60" s="62">
        <v>102087.42</v>
      </c>
      <c r="N60" s="62">
        <f ca="1">IFERROR(INDEX(Price_Update!$F:$F, MATCH(A60, Price_Update!$A:$A, 0)), 17198)</f>
        <v>17198</v>
      </c>
      <c r="O60" s="62">
        <f t="shared" ca="1" si="0"/>
        <v>103188</v>
      </c>
      <c r="P60" s="62">
        <v>0</v>
      </c>
      <c r="Q60" s="62">
        <f t="shared" ca="1" si="1"/>
        <v>1100.5800000000017</v>
      </c>
      <c r="R60" s="62">
        <f t="shared" ca="1" si="2"/>
        <v>1100.5800000000017</v>
      </c>
      <c r="S60" s="64">
        <f t="shared" ca="1" si="3"/>
        <v>1.0780762535329745E-2</v>
      </c>
      <c r="T60" s="60">
        <v>11</v>
      </c>
      <c r="U60" s="60"/>
      <c r="V60" s="60" t="s">
        <v>107</v>
      </c>
      <c r="W60" s="60" t="s">
        <v>1089</v>
      </c>
    </row>
    <row r="61" spans="1:23">
      <c r="A61" s="60" t="s">
        <v>197</v>
      </c>
      <c r="B61" s="60" t="s">
        <v>64</v>
      </c>
      <c r="C61" s="60" t="s">
        <v>87</v>
      </c>
      <c r="D61" s="60" t="s">
        <v>74</v>
      </c>
      <c r="E61" s="60" t="s">
        <v>46</v>
      </c>
      <c r="F61" s="60">
        <v>38</v>
      </c>
      <c r="G61" s="62">
        <v>102160</v>
      </c>
      <c r="H61" s="62">
        <v>2688.42</v>
      </c>
      <c r="I61" s="60">
        <v>0</v>
      </c>
      <c r="J61" s="62">
        <v>0</v>
      </c>
      <c r="K61" s="62">
        <v>0</v>
      </c>
      <c r="L61" s="60">
        <v>38</v>
      </c>
      <c r="M61" s="62">
        <v>102159.96</v>
      </c>
      <c r="N61" s="62">
        <f ca="1">IFERROR(INDEX(Price_Update!$F:$F, MATCH(A61, Price_Update!$A:$A, 0)), 3048.8)</f>
        <v>3048.8</v>
      </c>
      <c r="O61" s="62">
        <f t="shared" ca="1" si="0"/>
        <v>115854.40000000001</v>
      </c>
      <c r="P61" s="62">
        <v>0</v>
      </c>
      <c r="Q61" s="62">
        <f t="shared" ca="1" si="1"/>
        <v>13694.440000000002</v>
      </c>
      <c r="R61" s="62">
        <f t="shared" ca="1" si="2"/>
        <v>13694.440000000002</v>
      </c>
      <c r="S61" s="64">
        <f t="shared" ca="1" si="3"/>
        <v>0.13404894283476901</v>
      </c>
      <c r="T61" s="60">
        <v>12</v>
      </c>
      <c r="U61" s="60"/>
      <c r="V61" s="60" t="s">
        <v>107</v>
      </c>
      <c r="W61" s="60" t="s">
        <v>1089</v>
      </c>
    </row>
    <row r="62" spans="1:23">
      <c r="A62" s="60" t="s">
        <v>702</v>
      </c>
      <c r="B62" s="60" t="s">
        <v>63</v>
      </c>
      <c r="C62" s="60" t="s">
        <v>87</v>
      </c>
      <c r="D62" s="60" t="s">
        <v>74</v>
      </c>
      <c r="E62" s="60" t="s">
        <v>46</v>
      </c>
      <c r="F62" s="60">
        <v>52</v>
      </c>
      <c r="G62" s="62">
        <v>100387.9</v>
      </c>
      <c r="H62" s="62">
        <v>1930.54</v>
      </c>
      <c r="I62" s="60">
        <v>0</v>
      </c>
      <c r="J62" s="62">
        <v>0</v>
      </c>
      <c r="K62" s="62">
        <v>0</v>
      </c>
      <c r="L62" s="60">
        <v>52</v>
      </c>
      <c r="M62" s="62">
        <v>100388.08</v>
      </c>
      <c r="N62" s="62">
        <f ca="1">IFERROR(INDEX(Price_Update!$F:$F, MATCH(A62, Price_Update!$A:$A, 0)), 1893.9)</f>
        <v>1893.9</v>
      </c>
      <c r="O62" s="62">
        <f t="shared" ca="1" si="0"/>
        <v>98482.8</v>
      </c>
      <c r="P62" s="62">
        <v>0</v>
      </c>
      <c r="Q62" s="62">
        <f t="shared" ca="1" si="1"/>
        <v>-1905.2799999999988</v>
      </c>
      <c r="R62" s="62">
        <f t="shared" ca="1" si="2"/>
        <v>-1905.2799999999988</v>
      </c>
      <c r="S62" s="64">
        <f t="shared" ca="1" si="3"/>
        <v>-1.8979179761704337E-2</v>
      </c>
      <c r="T62" s="60">
        <v>12</v>
      </c>
      <c r="U62" s="60"/>
      <c r="V62" s="60" t="s">
        <v>107</v>
      </c>
      <c r="W62" s="60" t="s">
        <v>1089</v>
      </c>
    </row>
    <row r="63" spans="1:23">
      <c r="A63" s="60" t="s">
        <v>537</v>
      </c>
      <c r="B63" s="60"/>
      <c r="C63" s="60" t="s">
        <v>88</v>
      </c>
      <c r="D63" s="60" t="s">
        <v>75</v>
      </c>
      <c r="E63" s="60"/>
      <c r="F63" s="60">
        <v>92</v>
      </c>
      <c r="G63" s="62">
        <v>25078.28</v>
      </c>
      <c r="H63" s="62">
        <v>272.58999999999997</v>
      </c>
      <c r="I63" s="60">
        <v>92</v>
      </c>
      <c r="J63" s="62">
        <v>24499.599999999999</v>
      </c>
      <c r="K63" s="62">
        <v>266.3</v>
      </c>
      <c r="L63" s="60">
        <v>0</v>
      </c>
      <c r="M63" s="62">
        <v>0</v>
      </c>
      <c r="N63" s="62">
        <f>IFERROR(INDEX(Price_Update!$F:$F, MATCH(A63, Price_Update!$A:$A, 0)), 267.86)</f>
        <v>267.86</v>
      </c>
      <c r="O63" s="62">
        <f t="shared" si="0"/>
        <v>0</v>
      </c>
      <c r="P63" s="62">
        <v>-578.67999999999995</v>
      </c>
      <c r="Q63" s="62">
        <f t="shared" si="1"/>
        <v>0</v>
      </c>
      <c r="R63" s="62">
        <f t="shared" si="2"/>
        <v>-578.67999999999995</v>
      </c>
      <c r="S63" s="64">
        <f t="shared" si="3"/>
        <v>-2.3074947723687587E-2</v>
      </c>
      <c r="T63" s="60">
        <v>72</v>
      </c>
      <c r="U63" s="60"/>
      <c r="V63" s="60" t="s">
        <v>107</v>
      </c>
      <c r="W63" s="60" t="s">
        <v>1089</v>
      </c>
    </row>
    <row r="64" spans="1:23">
      <c r="A64" s="60" t="s">
        <v>162</v>
      </c>
      <c r="B64" s="60" t="s">
        <v>63</v>
      </c>
      <c r="C64" s="60" t="s">
        <v>86</v>
      </c>
      <c r="D64" s="60" t="s">
        <v>75</v>
      </c>
      <c r="E64" s="60"/>
      <c r="F64" s="60">
        <v>300</v>
      </c>
      <c r="G64" s="62">
        <v>25347</v>
      </c>
      <c r="H64" s="62">
        <v>84.49</v>
      </c>
      <c r="I64" s="60">
        <v>300</v>
      </c>
      <c r="J64" s="62">
        <v>26256</v>
      </c>
      <c r="K64" s="62">
        <v>87.52</v>
      </c>
      <c r="L64" s="60">
        <v>0</v>
      </c>
      <c r="M64" s="62">
        <v>0</v>
      </c>
      <c r="N64" s="62">
        <f>IFERROR(INDEX(Price_Update!$F:$F, MATCH(A64, Price_Update!$A:$A, 0)), 90.93)</f>
        <v>90.93</v>
      </c>
      <c r="O64" s="62">
        <f t="shared" si="0"/>
        <v>0</v>
      </c>
      <c r="P64" s="62">
        <v>909</v>
      </c>
      <c r="Q64" s="62">
        <f t="shared" si="1"/>
        <v>0</v>
      </c>
      <c r="R64" s="62">
        <f t="shared" si="2"/>
        <v>909</v>
      </c>
      <c r="S64" s="64">
        <f t="shared" si="3"/>
        <v>3.5862232216830395E-2</v>
      </c>
      <c r="T64" s="60">
        <v>147</v>
      </c>
      <c r="U64" s="60"/>
      <c r="V64" s="60" t="s">
        <v>107</v>
      </c>
      <c r="W64" s="60" t="s">
        <v>1089</v>
      </c>
    </row>
    <row r="65" spans="1:23">
      <c r="A65" s="60" t="s">
        <v>236</v>
      </c>
      <c r="B65" s="60" t="s">
        <v>64</v>
      </c>
      <c r="C65" s="60" t="s">
        <v>86</v>
      </c>
      <c r="D65" s="60" t="s">
        <v>75</v>
      </c>
      <c r="E65" s="60" t="s">
        <v>46</v>
      </c>
      <c r="F65" s="60">
        <v>249</v>
      </c>
      <c r="G65" s="62">
        <v>100538.6</v>
      </c>
      <c r="H65" s="62">
        <v>403.77</v>
      </c>
      <c r="I65" s="60">
        <v>0</v>
      </c>
      <c r="J65" s="62">
        <v>0</v>
      </c>
      <c r="K65" s="62">
        <v>0</v>
      </c>
      <c r="L65" s="60">
        <v>249</v>
      </c>
      <c r="M65" s="62">
        <v>100538.73</v>
      </c>
      <c r="N65" s="62">
        <f ca="1">IFERROR(INDEX(Price_Update!$F:$F, MATCH(A65, Price_Update!$A:$A, 0)), 425.85)</f>
        <v>425.85</v>
      </c>
      <c r="O65" s="62">
        <f t="shared" ca="1" si="0"/>
        <v>106036.65000000001</v>
      </c>
      <c r="P65" s="62">
        <v>0</v>
      </c>
      <c r="Q65" s="62">
        <f t="shared" ca="1" si="1"/>
        <v>5497.9200000000128</v>
      </c>
      <c r="R65" s="62">
        <f t="shared" ca="1" si="2"/>
        <v>5497.9200000000128</v>
      </c>
      <c r="S65" s="64">
        <f t="shared" ca="1" si="3"/>
        <v>5.4684668376126309E-2</v>
      </c>
      <c r="T65" s="60">
        <v>23</v>
      </c>
      <c r="U65" s="60"/>
      <c r="V65" s="60" t="s">
        <v>107</v>
      </c>
      <c r="W65" s="60" t="s">
        <v>1090</v>
      </c>
    </row>
    <row r="66" spans="1:23">
      <c r="A66" s="60" t="s">
        <v>679</v>
      </c>
      <c r="B66" s="60" t="s">
        <v>63</v>
      </c>
      <c r="C66" s="60" t="s">
        <v>89</v>
      </c>
      <c r="D66" s="60" t="s">
        <v>74</v>
      </c>
      <c r="E66" s="60" t="s">
        <v>46</v>
      </c>
      <c r="F66" s="60">
        <v>10</v>
      </c>
      <c r="G66" s="62">
        <v>100675.29979999999</v>
      </c>
      <c r="H66" s="62">
        <v>10067.530000000001</v>
      </c>
      <c r="I66" s="60">
        <v>0</v>
      </c>
      <c r="J66" s="62">
        <v>0</v>
      </c>
      <c r="K66" s="62">
        <v>0</v>
      </c>
      <c r="L66" s="60">
        <v>10</v>
      </c>
      <c r="M66" s="62">
        <v>100675.3</v>
      </c>
      <c r="N66" s="62">
        <f ca="1">IFERROR(INDEX(Price_Update!$F:$F, MATCH(A66, Price_Update!$A:$A, 0)), 9327.5)</f>
        <v>9327.5</v>
      </c>
      <c r="O66" s="62">
        <f t="shared" ref="O66:O101" ca="1" si="4">L66*N66</f>
        <v>93275</v>
      </c>
      <c r="P66" s="62">
        <v>0</v>
      </c>
      <c r="Q66" s="62">
        <f t="shared" ref="Q66:Q101" ca="1" si="5">O66-M66</f>
        <v>-7400.3000000000029</v>
      </c>
      <c r="R66" s="62">
        <f t="shared" ref="R66:R101" ca="1" si="6">P66+Q66</f>
        <v>-7400.3000000000029</v>
      </c>
      <c r="S66" s="64">
        <f t="shared" ref="S66:S101" ca="1" si="7">IF(G66&gt;0, R66/G66, 0)</f>
        <v>-7.3506610009618306E-2</v>
      </c>
      <c r="T66" s="60">
        <v>12</v>
      </c>
      <c r="U66" s="60"/>
      <c r="V66" s="60" t="s">
        <v>107</v>
      </c>
      <c r="W66" s="60" t="s">
        <v>1089</v>
      </c>
    </row>
    <row r="67" spans="1:23">
      <c r="A67" s="60" t="s">
        <v>305</v>
      </c>
      <c r="B67" s="60" t="s">
        <v>62</v>
      </c>
      <c r="C67" s="60" t="s">
        <v>87</v>
      </c>
      <c r="D67" s="60" t="s">
        <v>74</v>
      </c>
      <c r="E67" s="60"/>
      <c r="F67" s="60">
        <v>60</v>
      </c>
      <c r="G67" s="62">
        <v>93744</v>
      </c>
      <c r="H67" s="62">
        <v>1562.4</v>
      </c>
      <c r="I67" s="60">
        <v>60</v>
      </c>
      <c r="J67" s="62">
        <v>88621.5</v>
      </c>
      <c r="K67" s="62">
        <v>1477.02</v>
      </c>
      <c r="L67" s="60">
        <v>0</v>
      </c>
      <c r="M67" s="62">
        <v>0</v>
      </c>
      <c r="N67" s="62">
        <f>IFERROR(INDEX(Price_Update!$F:$F, MATCH(A67, Price_Update!$A:$A, 0)), 1535.5)</f>
        <v>1535.5</v>
      </c>
      <c r="O67" s="62">
        <f t="shared" si="4"/>
        <v>0</v>
      </c>
      <c r="P67" s="62">
        <v>-5122.5</v>
      </c>
      <c r="Q67" s="62">
        <f t="shared" si="5"/>
        <v>0</v>
      </c>
      <c r="R67" s="62">
        <f t="shared" si="6"/>
        <v>-5122.5</v>
      </c>
      <c r="S67" s="64">
        <f t="shared" si="7"/>
        <v>-5.4643497183819764E-2</v>
      </c>
      <c r="T67" s="60">
        <v>24</v>
      </c>
      <c r="U67" s="60" t="s">
        <v>1091</v>
      </c>
      <c r="V67" s="60" t="s">
        <v>107</v>
      </c>
      <c r="W67" s="60" t="s">
        <v>1089</v>
      </c>
    </row>
    <row r="68" spans="1:23">
      <c r="A68" s="60" t="s">
        <v>462</v>
      </c>
      <c r="B68" s="60" t="s">
        <v>62</v>
      </c>
      <c r="C68" s="60" t="s">
        <v>90</v>
      </c>
      <c r="D68" s="60" t="s">
        <v>75</v>
      </c>
      <c r="E68" s="60"/>
      <c r="F68" s="60">
        <v>200</v>
      </c>
      <c r="G68" s="62">
        <v>25540.1</v>
      </c>
      <c r="H68" s="62">
        <v>127.7</v>
      </c>
      <c r="I68" s="60">
        <v>200</v>
      </c>
      <c r="J68" s="62">
        <v>23912</v>
      </c>
      <c r="K68" s="62">
        <v>119.56</v>
      </c>
      <c r="L68" s="60">
        <v>0</v>
      </c>
      <c r="M68" s="62">
        <v>0</v>
      </c>
      <c r="N68" s="62">
        <f>IFERROR(INDEX(Price_Update!$F:$F, MATCH(A68, Price_Update!$A:$A, 0)), 106.88)</f>
        <v>106.88</v>
      </c>
      <c r="O68" s="62">
        <f t="shared" si="4"/>
        <v>0</v>
      </c>
      <c r="P68" s="62">
        <v>-1628</v>
      </c>
      <c r="Q68" s="62">
        <f t="shared" si="5"/>
        <v>0</v>
      </c>
      <c r="R68" s="62">
        <f t="shared" si="6"/>
        <v>-1628</v>
      </c>
      <c r="S68" s="64">
        <f t="shared" si="7"/>
        <v>-6.3742898422480723E-2</v>
      </c>
      <c r="T68" s="60">
        <v>17</v>
      </c>
      <c r="U68" s="60"/>
      <c r="V68" s="60" t="s">
        <v>107</v>
      </c>
      <c r="W68" s="60" t="s">
        <v>1089</v>
      </c>
    </row>
    <row r="69" spans="1:23">
      <c r="A69" s="60" t="s">
        <v>155</v>
      </c>
      <c r="B69" s="60" t="s">
        <v>64</v>
      </c>
      <c r="C69" s="60" t="s">
        <v>86</v>
      </c>
      <c r="D69" s="60" t="s">
        <v>75</v>
      </c>
      <c r="E69" s="60"/>
      <c r="F69" s="60">
        <v>70</v>
      </c>
      <c r="G69" s="62">
        <v>99582.6</v>
      </c>
      <c r="H69" s="62">
        <v>1422.61</v>
      </c>
      <c r="I69" s="60">
        <v>70</v>
      </c>
      <c r="J69" s="62">
        <v>90500.5</v>
      </c>
      <c r="K69" s="62">
        <v>1292.8599999999999</v>
      </c>
      <c r="L69" s="60">
        <v>0</v>
      </c>
      <c r="M69" s="62">
        <v>0</v>
      </c>
      <c r="N69" s="62">
        <f>IFERROR(INDEX(Price_Update!$F:$F, MATCH(A69, Price_Update!$A:$A, 0)), 1263.6)</f>
        <v>1263.5999999999999</v>
      </c>
      <c r="O69" s="62">
        <f t="shared" si="4"/>
        <v>0</v>
      </c>
      <c r="P69" s="62">
        <v>-9082.2000000000007</v>
      </c>
      <c r="Q69" s="62">
        <f t="shared" si="5"/>
        <v>0</v>
      </c>
      <c r="R69" s="62">
        <f t="shared" si="6"/>
        <v>-9082.2000000000007</v>
      </c>
      <c r="S69" s="64">
        <f t="shared" si="7"/>
        <v>-9.1202679986262664E-2</v>
      </c>
      <c r="T69" s="60">
        <v>25</v>
      </c>
      <c r="U69" s="60"/>
      <c r="V69" s="60" t="s">
        <v>107</v>
      </c>
      <c r="W69" s="60" t="s">
        <v>1089</v>
      </c>
    </row>
    <row r="70" spans="1:23">
      <c r="A70" s="60" t="s">
        <v>272</v>
      </c>
      <c r="B70" s="60" t="s">
        <v>62</v>
      </c>
      <c r="C70" s="60" t="s">
        <v>88</v>
      </c>
      <c r="D70" s="60" t="s">
        <v>74</v>
      </c>
      <c r="E70" s="60" t="s">
        <v>60</v>
      </c>
      <c r="F70" s="60">
        <v>53</v>
      </c>
      <c r="G70" s="62">
        <v>414743</v>
      </c>
      <c r="H70" s="62">
        <v>7825.34</v>
      </c>
      <c r="I70" s="60">
        <v>0</v>
      </c>
      <c r="J70" s="62">
        <v>0</v>
      </c>
      <c r="K70" s="62">
        <v>0</v>
      </c>
      <c r="L70" s="60">
        <v>53</v>
      </c>
      <c r="M70" s="62">
        <v>414743.02</v>
      </c>
      <c r="N70" s="62">
        <f ca="1">IFERROR(INDEX(Price_Update!$F:$F, MATCH(A70, Price_Update!$A:$A, 0)), 9554)</f>
        <v>9554</v>
      </c>
      <c r="O70" s="62">
        <f t="shared" ca="1" si="4"/>
        <v>506362</v>
      </c>
      <c r="P70" s="62">
        <v>0</v>
      </c>
      <c r="Q70" s="62">
        <f t="shared" ca="1" si="5"/>
        <v>91618.979999999981</v>
      </c>
      <c r="R70" s="62">
        <f t="shared" ca="1" si="6"/>
        <v>91618.979999999981</v>
      </c>
      <c r="S70" s="64">
        <f t="shared" ca="1" si="7"/>
        <v>0.22090542818082518</v>
      </c>
      <c r="T70" s="60">
        <v>279</v>
      </c>
      <c r="U70" s="60"/>
      <c r="V70" s="60" t="s">
        <v>107</v>
      </c>
      <c r="W70" s="60" t="s">
        <v>1089</v>
      </c>
    </row>
    <row r="71" spans="1:23">
      <c r="A71" s="60" t="s">
        <v>335</v>
      </c>
      <c r="B71" s="60" t="s">
        <v>64</v>
      </c>
      <c r="C71" s="60" t="s">
        <v>90</v>
      </c>
      <c r="D71" s="60" t="s">
        <v>75</v>
      </c>
      <c r="E71" s="60"/>
      <c r="F71" s="60">
        <v>188</v>
      </c>
      <c r="G71" s="62">
        <v>99892.650000000009</v>
      </c>
      <c r="H71" s="62">
        <v>531.34</v>
      </c>
      <c r="I71" s="60">
        <v>188</v>
      </c>
      <c r="J71" s="62">
        <v>90619.099999999991</v>
      </c>
      <c r="K71" s="62">
        <v>482.02</v>
      </c>
      <c r="L71" s="60">
        <v>0</v>
      </c>
      <c r="M71" s="62">
        <v>0</v>
      </c>
      <c r="N71" s="62">
        <f>IFERROR(INDEX(Price_Update!$F:$F, MATCH(A71, Price_Update!$A:$A, 0)), 391.9)</f>
        <v>391.9</v>
      </c>
      <c r="O71" s="62">
        <f t="shared" si="4"/>
        <v>0</v>
      </c>
      <c r="P71" s="62">
        <v>-9272.82</v>
      </c>
      <c r="Q71" s="62">
        <f t="shared" si="5"/>
        <v>0</v>
      </c>
      <c r="R71" s="62">
        <f t="shared" si="6"/>
        <v>-9272.82</v>
      </c>
      <c r="S71" s="64">
        <f t="shared" si="7"/>
        <v>-9.2827850697723993E-2</v>
      </c>
      <c r="T71" s="60">
        <v>21</v>
      </c>
      <c r="U71" s="60"/>
      <c r="V71" s="60" t="s">
        <v>107</v>
      </c>
      <c r="W71" s="60" t="s">
        <v>1089</v>
      </c>
    </row>
    <row r="72" spans="1:23">
      <c r="A72" s="60" t="s">
        <v>660</v>
      </c>
      <c r="B72" s="60" t="s">
        <v>62</v>
      </c>
      <c r="C72" s="60" t="s">
        <v>86</v>
      </c>
      <c r="D72" s="60" t="s">
        <v>74</v>
      </c>
      <c r="E72" s="60" t="s">
        <v>46</v>
      </c>
      <c r="F72" s="60">
        <v>3</v>
      </c>
      <c r="G72" s="62">
        <v>105715</v>
      </c>
      <c r="H72" s="62">
        <v>35238.33</v>
      </c>
      <c r="I72" s="60">
        <v>0</v>
      </c>
      <c r="J72" s="62">
        <v>0</v>
      </c>
      <c r="K72" s="62">
        <v>0</v>
      </c>
      <c r="L72" s="60">
        <v>3</v>
      </c>
      <c r="M72" s="62">
        <v>105714.99</v>
      </c>
      <c r="N72" s="62">
        <f ca="1">IFERROR(INDEX(Price_Update!$F:$F, MATCH(A72, Price_Update!$A:$A, 0)), 34325)</f>
        <v>34325</v>
      </c>
      <c r="O72" s="62">
        <f t="shared" ca="1" si="4"/>
        <v>102975</v>
      </c>
      <c r="P72" s="62">
        <v>0</v>
      </c>
      <c r="Q72" s="62">
        <f t="shared" ca="1" si="5"/>
        <v>-2739.9900000000052</v>
      </c>
      <c r="R72" s="62">
        <f t="shared" ca="1" si="6"/>
        <v>-2739.9900000000052</v>
      </c>
      <c r="S72" s="64">
        <f t="shared" ca="1" si="7"/>
        <v>-2.5918649198316279E-2</v>
      </c>
      <c r="T72" s="60">
        <v>12</v>
      </c>
      <c r="U72" s="60"/>
      <c r="V72" s="60" t="s">
        <v>107</v>
      </c>
      <c r="W72" s="60" t="s">
        <v>1089</v>
      </c>
    </row>
    <row r="73" spans="1:23">
      <c r="A73" s="60" t="s">
        <v>338</v>
      </c>
      <c r="B73" s="60" t="s">
        <v>64</v>
      </c>
      <c r="C73" s="60" t="s">
        <v>86</v>
      </c>
      <c r="D73" s="60" t="s">
        <v>75</v>
      </c>
      <c r="E73" s="60"/>
      <c r="F73" s="60">
        <v>204</v>
      </c>
      <c r="G73" s="62">
        <v>48757.69</v>
      </c>
      <c r="H73" s="62">
        <v>239.01</v>
      </c>
      <c r="I73" s="60">
        <v>220</v>
      </c>
      <c r="J73" s="62">
        <v>54098</v>
      </c>
      <c r="K73" s="62">
        <v>245.9</v>
      </c>
      <c r="L73" s="60">
        <v>-16</v>
      </c>
      <c r="M73" s="62">
        <v>-3824.16</v>
      </c>
      <c r="N73" s="62">
        <f>IFERROR(INDEX(Price_Update!$F:$F, MATCH(A73, Price_Update!$A:$A, 0)), 391.75)</f>
        <v>391.75</v>
      </c>
      <c r="O73" s="62">
        <f t="shared" si="4"/>
        <v>-6268</v>
      </c>
      <c r="P73" s="62">
        <v>1515.8</v>
      </c>
      <c r="Q73" s="62">
        <f t="shared" si="5"/>
        <v>-2443.84</v>
      </c>
      <c r="R73" s="62">
        <f t="shared" si="6"/>
        <v>-928.04000000000019</v>
      </c>
      <c r="S73" s="64">
        <f t="shared" si="7"/>
        <v>-1.903371550210849E-2</v>
      </c>
      <c r="T73" s="60">
        <v>251</v>
      </c>
      <c r="U73" s="60"/>
      <c r="V73" s="60" t="s">
        <v>107</v>
      </c>
      <c r="W73" s="60" t="s">
        <v>1089</v>
      </c>
    </row>
    <row r="74" spans="1:23">
      <c r="A74" s="60" t="s">
        <v>705</v>
      </c>
      <c r="B74" s="60" t="s">
        <v>64</v>
      </c>
      <c r="C74" s="60" t="s">
        <v>86</v>
      </c>
      <c r="D74" s="60" t="s">
        <v>74</v>
      </c>
      <c r="E74" s="60" t="s">
        <v>46</v>
      </c>
      <c r="F74" s="60">
        <v>119</v>
      </c>
      <c r="G74" s="62">
        <v>100732.1</v>
      </c>
      <c r="H74" s="62">
        <v>846.49</v>
      </c>
      <c r="I74" s="60">
        <v>0</v>
      </c>
      <c r="J74" s="62">
        <v>0</v>
      </c>
      <c r="K74" s="62">
        <v>0</v>
      </c>
      <c r="L74" s="60">
        <v>119</v>
      </c>
      <c r="M74" s="62">
        <v>100732.31</v>
      </c>
      <c r="N74" s="62">
        <f ca="1">IFERROR(INDEX(Price_Update!$F:$F, MATCH(A74, Price_Update!$A:$A, 0)), 917.2)</f>
        <v>917.2</v>
      </c>
      <c r="O74" s="62">
        <f t="shared" ca="1" si="4"/>
        <v>109146.8</v>
      </c>
      <c r="P74" s="62">
        <v>0</v>
      </c>
      <c r="Q74" s="62">
        <f t="shared" ca="1" si="5"/>
        <v>8414.4900000000052</v>
      </c>
      <c r="R74" s="62">
        <f t="shared" ca="1" si="6"/>
        <v>8414.4900000000052</v>
      </c>
      <c r="S74" s="64">
        <f t="shared" ca="1" si="7"/>
        <v>8.3533352327609611E-2</v>
      </c>
      <c r="T74" s="60">
        <v>12</v>
      </c>
      <c r="U74" s="60"/>
      <c r="V74" s="60" t="s">
        <v>107</v>
      </c>
      <c r="W74" s="60" t="s">
        <v>1089</v>
      </c>
    </row>
    <row r="75" spans="1:23">
      <c r="A75" s="60" t="s">
        <v>708</v>
      </c>
      <c r="B75" s="60" t="s">
        <v>64</v>
      </c>
      <c r="C75" s="60" t="s">
        <v>87</v>
      </c>
      <c r="D75" s="60" t="s">
        <v>74</v>
      </c>
      <c r="E75" s="60" t="s">
        <v>46</v>
      </c>
      <c r="F75" s="60">
        <v>75</v>
      </c>
      <c r="G75" s="62">
        <v>100243.6</v>
      </c>
      <c r="H75" s="62">
        <v>1336.58</v>
      </c>
      <c r="I75" s="60">
        <v>0</v>
      </c>
      <c r="J75" s="62">
        <v>0</v>
      </c>
      <c r="K75" s="62">
        <v>0</v>
      </c>
      <c r="L75" s="60">
        <v>75</v>
      </c>
      <c r="M75" s="62">
        <v>100243.5</v>
      </c>
      <c r="N75" s="62">
        <f ca="1">IFERROR(INDEX(Price_Update!$F:$F, MATCH(A75, Price_Update!$A:$A, 0)), 1365)</f>
        <v>1365</v>
      </c>
      <c r="O75" s="62">
        <f t="shared" ca="1" si="4"/>
        <v>102375</v>
      </c>
      <c r="P75" s="62">
        <v>0</v>
      </c>
      <c r="Q75" s="62">
        <f t="shared" ca="1" si="5"/>
        <v>2131.5</v>
      </c>
      <c r="R75" s="62">
        <f t="shared" ca="1" si="6"/>
        <v>2131.5</v>
      </c>
      <c r="S75" s="64">
        <f t="shared" ca="1" si="7"/>
        <v>2.1263202837886908E-2</v>
      </c>
      <c r="T75" s="60">
        <v>12</v>
      </c>
      <c r="U75" s="60"/>
      <c r="V75" s="60" t="s">
        <v>107</v>
      </c>
      <c r="W75" s="60" t="s">
        <v>1089</v>
      </c>
    </row>
    <row r="76" spans="1:23">
      <c r="A76" s="60" t="s">
        <v>510</v>
      </c>
      <c r="B76" s="60" t="s">
        <v>64</v>
      </c>
      <c r="C76" s="60" t="s">
        <v>86</v>
      </c>
      <c r="D76" s="60" t="s">
        <v>75</v>
      </c>
      <c r="E76" s="60"/>
      <c r="F76" s="60">
        <v>10</v>
      </c>
      <c r="G76" s="62">
        <v>4835.5</v>
      </c>
      <c r="H76" s="62">
        <v>483.55</v>
      </c>
      <c r="I76" s="60">
        <v>10</v>
      </c>
      <c r="J76" s="62">
        <v>4193</v>
      </c>
      <c r="K76" s="62">
        <v>419.3</v>
      </c>
      <c r="L76" s="60">
        <v>0</v>
      </c>
      <c r="M76" s="62">
        <v>0</v>
      </c>
      <c r="N76" s="62">
        <f>IFERROR(INDEX(Price_Update!$F:$F, MATCH(A76, Price_Update!$A:$A, 0)), 459.2)</f>
        <v>459.2</v>
      </c>
      <c r="O76" s="62">
        <f t="shared" si="4"/>
        <v>0</v>
      </c>
      <c r="P76" s="62">
        <v>-642.5</v>
      </c>
      <c r="Q76" s="62">
        <f t="shared" si="5"/>
        <v>0</v>
      </c>
      <c r="R76" s="62">
        <f t="shared" si="6"/>
        <v>-642.5</v>
      </c>
      <c r="S76" s="64">
        <f t="shared" si="7"/>
        <v>-0.13287147140936822</v>
      </c>
      <c r="T76" s="60">
        <v>15</v>
      </c>
      <c r="U76" s="60"/>
      <c r="V76" s="60" t="s">
        <v>107</v>
      </c>
      <c r="W76" s="60" t="s">
        <v>1089</v>
      </c>
    </row>
    <row r="77" spans="1:23">
      <c r="A77" s="60" t="s">
        <v>711</v>
      </c>
      <c r="B77" s="60" t="s">
        <v>64</v>
      </c>
      <c r="C77" s="60" t="s">
        <v>86</v>
      </c>
      <c r="D77" s="60" t="s">
        <v>74</v>
      </c>
      <c r="E77" s="60" t="s">
        <v>46</v>
      </c>
      <c r="F77" s="60">
        <v>137</v>
      </c>
      <c r="G77" s="62">
        <v>100613.9</v>
      </c>
      <c r="H77" s="62">
        <v>734.41</v>
      </c>
      <c r="I77" s="60">
        <v>0</v>
      </c>
      <c r="J77" s="62">
        <v>0</v>
      </c>
      <c r="K77" s="62">
        <v>0</v>
      </c>
      <c r="L77" s="60">
        <v>137</v>
      </c>
      <c r="M77" s="62">
        <v>100614.17</v>
      </c>
      <c r="N77" s="62">
        <f ca="1">IFERROR(INDEX(Price_Update!$F:$F, MATCH(A77, Price_Update!$A:$A, 0)), 695.5)</f>
        <v>695.5</v>
      </c>
      <c r="O77" s="62">
        <f t="shared" ca="1" si="4"/>
        <v>95283.5</v>
      </c>
      <c r="P77" s="62">
        <v>0</v>
      </c>
      <c r="Q77" s="62">
        <f t="shared" ca="1" si="5"/>
        <v>-5330.6699999999983</v>
      </c>
      <c r="R77" s="62">
        <f t="shared" ca="1" si="6"/>
        <v>-5330.6699999999983</v>
      </c>
      <c r="S77" s="64">
        <f t="shared" ca="1" si="7"/>
        <v>-5.2981446897496259E-2</v>
      </c>
      <c r="T77" s="60">
        <v>12</v>
      </c>
      <c r="U77" s="60"/>
      <c r="V77" s="60" t="s">
        <v>107</v>
      </c>
      <c r="W77" s="60" t="s">
        <v>1089</v>
      </c>
    </row>
    <row r="78" spans="1:23">
      <c r="A78" s="60" t="s">
        <v>388</v>
      </c>
      <c r="B78" s="60" t="s">
        <v>62</v>
      </c>
      <c r="C78" s="60" t="s">
        <v>90</v>
      </c>
      <c r="D78" s="60" t="s">
        <v>75</v>
      </c>
      <c r="E78" s="60"/>
      <c r="F78" s="60">
        <v>208</v>
      </c>
      <c r="G78" s="62">
        <v>233369.9</v>
      </c>
      <c r="H78" s="62">
        <v>1121.97</v>
      </c>
      <c r="I78" s="60">
        <v>278</v>
      </c>
      <c r="J78" s="62">
        <v>269743.40000000002</v>
      </c>
      <c r="K78" s="62">
        <v>970.3</v>
      </c>
      <c r="L78" s="60">
        <v>-70</v>
      </c>
      <c r="M78" s="62">
        <v>-78537.899999999994</v>
      </c>
      <c r="N78" s="62">
        <f>IFERROR(INDEX(Price_Update!$F:$F, MATCH(A78, Price_Update!$A:$A, 0)), 1017.15)</f>
        <v>1017.15</v>
      </c>
      <c r="O78" s="62">
        <f t="shared" si="4"/>
        <v>-71200.5</v>
      </c>
      <c r="P78" s="62">
        <v>-42164.26</v>
      </c>
      <c r="Q78" s="62">
        <f t="shared" si="5"/>
        <v>7337.3999999999942</v>
      </c>
      <c r="R78" s="62">
        <f t="shared" si="6"/>
        <v>-34826.860000000008</v>
      </c>
      <c r="S78" s="64">
        <f t="shared" si="7"/>
        <v>-0.14923458423729885</v>
      </c>
      <c r="T78" s="60">
        <v>223</v>
      </c>
      <c r="U78" s="60"/>
      <c r="V78" s="60" t="s">
        <v>107</v>
      </c>
      <c r="W78" s="60" t="s">
        <v>1089</v>
      </c>
    </row>
    <row r="79" spans="1:23">
      <c r="A79" s="60" t="s">
        <v>119</v>
      </c>
      <c r="B79" s="60" t="s">
        <v>64</v>
      </c>
      <c r="C79" s="60" t="s">
        <v>86</v>
      </c>
      <c r="D79" s="60" t="s">
        <v>75</v>
      </c>
      <c r="E79" s="60" t="s">
        <v>43</v>
      </c>
      <c r="F79" s="60">
        <v>42</v>
      </c>
      <c r="G79" s="62">
        <v>56862.5</v>
      </c>
      <c r="H79" s="62">
        <v>1353.87</v>
      </c>
      <c r="I79" s="60">
        <v>0</v>
      </c>
      <c r="J79" s="62">
        <v>0</v>
      </c>
      <c r="K79" s="62">
        <v>0</v>
      </c>
      <c r="L79" s="60">
        <v>42</v>
      </c>
      <c r="M79" s="62">
        <v>56862.54</v>
      </c>
      <c r="N79" s="62">
        <f ca="1">IFERROR(INDEX(Price_Update!$F:$F, MATCH(A79, Price_Update!$A:$A, 0)), 1583.5)</f>
        <v>1583.5</v>
      </c>
      <c r="O79" s="62">
        <f t="shared" ca="1" si="4"/>
        <v>66507</v>
      </c>
      <c r="P79" s="62">
        <v>0</v>
      </c>
      <c r="Q79" s="62">
        <f t="shared" ca="1" si="5"/>
        <v>9644.4599999999991</v>
      </c>
      <c r="R79" s="62">
        <f t="shared" ca="1" si="6"/>
        <v>9644.4599999999991</v>
      </c>
      <c r="S79" s="64">
        <f t="shared" ca="1" si="7"/>
        <v>0.16961020004396568</v>
      </c>
      <c r="T79" s="60">
        <v>135</v>
      </c>
      <c r="U79" s="60"/>
      <c r="V79" s="60" t="s">
        <v>107</v>
      </c>
      <c r="W79" s="60" t="s">
        <v>1090</v>
      </c>
    </row>
    <row r="80" spans="1:23">
      <c r="A80" s="60" t="s">
        <v>121</v>
      </c>
      <c r="B80" s="60" t="s">
        <v>64</v>
      </c>
      <c r="C80" s="60" t="s">
        <v>88</v>
      </c>
      <c r="D80" s="60" t="s">
        <v>75</v>
      </c>
      <c r="E80" s="60" t="s">
        <v>40</v>
      </c>
      <c r="F80" s="60">
        <v>111</v>
      </c>
      <c r="G80" s="62">
        <v>75651.399999999994</v>
      </c>
      <c r="H80" s="62">
        <v>681.54</v>
      </c>
      <c r="I80" s="60">
        <v>0</v>
      </c>
      <c r="J80" s="62">
        <v>0</v>
      </c>
      <c r="K80" s="62">
        <v>0</v>
      </c>
      <c r="L80" s="60">
        <v>111</v>
      </c>
      <c r="M80" s="62">
        <v>75650.94</v>
      </c>
      <c r="N80" s="62">
        <f ca="1">IFERROR(INDEX(Price_Update!$F:$F, MATCH(A80, Price_Update!$A:$A, 0)), 703.55)</f>
        <v>703.55</v>
      </c>
      <c r="O80" s="62">
        <f t="shared" ca="1" si="4"/>
        <v>78094.049999999988</v>
      </c>
      <c r="P80" s="62">
        <v>0</v>
      </c>
      <c r="Q80" s="62">
        <f t="shared" ca="1" si="5"/>
        <v>2443.109999999986</v>
      </c>
      <c r="R80" s="62">
        <f t="shared" ca="1" si="6"/>
        <v>2443.109999999986</v>
      </c>
      <c r="S80" s="64">
        <f t="shared" ca="1" si="7"/>
        <v>3.2294313125731791E-2</v>
      </c>
      <c r="T80" s="60">
        <v>23</v>
      </c>
      <c r="U80" s="60"/>
      <c r="V80" s="60" t="s">
        <v>107</v>
      </c>
      <c r="W80" s="60" t="s">
        <v>1089</v>
      </c>
    </row>
    <row r="81" spans="1:23">
      <c r="A81" s="60" t="s">
        <v>228</v>
      </c>
      <c r="B81" s="60" t="s">
        <v>64</v>
      </c>
      <c r="C81" s="60" t="s">
        <v>86</v>
      </c>
      <c r="D81" s="60" t="s">
        <v>75</v>
      </c>
      <c r="E81" s="60" t="s">
        <v>34</v>
      </c>
      <c r="F81" s="60">
        <v>92</v>
      </c>
      <c r="G81" s="62">
        <v>50324</v>
      </c>
      <c r="H81" s="62">
        <v>547</v>
      </c>
      <c r="I81" s="60">
        <v>0</v>
      </c>
      <c r="J81" s="62">
        <v>0</v>
      </c>
      <c r="K81" s="62">
        <v>0</v>
      </c>
      <c r="L81" s="60">
        <v>92</v>
      </c>
      <c r="M81" s="62">
        <v>50324</v>
      </c>
      <c r="N81" s="62">
        <f ca="1">IFERROR(INDEX(Price_Update!$F:$F, MATCH(A81, Price_Update!$A:$A, 0)), 544.65)</f>
        <v>544.65</v>
      </c>
      <c r="O81" s="62">
        <f t="shared" ca="1" si="4"/>
        <v>50107.799999999996</v>
      </c>
      <c r="P81" s="62">
        <v>0</v>
      </c>
      <c r="Q81" s="62">
        <f t="shared" ca="1" si="5"/>
        <v>-216.20000000000437</v>
      </c>
      <c r="R81" s="62">
        <f t="shared" ca="1" si="6"/>
        <v>-216.20000000000437</v>
      </c>
      <c r="S81" s="64">
        <f t="shared" ca="1" si="7"/>
        <v>-4.296160877513798E-3</v>
      </c>
      <c r="T81" s="60">
        <v>13</v>
      </c>
      <c r="U81" s="60"/>
      <c r="V81" s="60" t="s">
        <v>107</v>
      </c>
      <c r="W81" s="60" t="s">
        <v>1089</v>
      </c>
    </row>
    <row r="82" spans="1:23">
      <c r="A82" s="60" t="s">
        <v>553</v>
      </c>
      <c r="B82" s="60" t="s">
        <v>62</v>
      </c>
      <c r="C82" s="60" t="s">
        <v>86</v>
      </c>
      <c r="D82" s="60" t="s">
        <v>74</v>
      </c>
      <c r="E82" s="60" t="s">
        <v>46</v>
      </c>
      <c r="F82" s="60">
        <v>6</v>
      </c>
      <c r="G82" s="62">
        <v>99564</v>
      </c>
      <c r="H82" s="62">
        <v>16594</v>
      </c>
      <c r="I82" s="60">
        <v>0</v>
      </c>
      <c r="J82" s="62">
        <v>0</v>
      </c>
      <c r="K82" s="62">
        <v>0</v>
      </c>
      <c r="L82" s="60">
        <v>6</v>
      </c>
      <c r="M82" s="62">
        <v>99564</v>
      </c>
      <c r="N82" s="62">
        <f ca="1">IFERROR(INDEX(Price_Update!$F:$F, MATCH(A82, Price_Update!$A:$A, 0)), 17143)</f>
        <v>17143</v>
      </c>
      <c r="O82" s="62">
        <f t="shared" ca="1" si="4"/>
        <v>102858</v>
      </c>
      <c r="P82" s="62">
        <v>0</v>
      </c>
      <c r="Q82" s="62">
        <f t="shared" ca="1" si="5"/>
        <v>3294</v>
      </c>
      <c r="R82" s="62">
        <f t="shared" ca="1" si="6"/>
        <v>3294</v>
      </c>
      <c r="S82" s="64">
        <f t="shared" ca="1" si="7"/>
        <v>3.3084247318307822E-2</v>
      </c>
      <c r="T82" s="60">
        <v>86</v>
      </c>
      <c r="U82" s="60"/>
      <c r="V82" s="60" t="s">
        <v>107</v>
      </c>
      <c r="W82" s="60" t="s">
        <v>1089</v>
      </c>
    </row>
    <row r="83" spans="1:23">
      <c r="A83" s="60" t="s">
        <v>459</v>
      </c>
      <c r="B83" s="60" t="s">
        <v>64</v>
      </c>
      <c r="C83" s="60" t="s">
        <v>90</v>
      </c>
      <c r="D83" s="60" t="s">
        <v>75</v>
      </c>
      <c r="E83" s="60"/>
      <c r="F83" s="60">
        <v>600</v>
      </c>
      <c r="G83" s="62">
        <v>26682</v>
      </c>
      <c r="H83" s="62">
        <v>44.47</v>
      </c>
      <c r="I83" s="60">
        <v>600</v>
      </c>
      <c r="J83" s="62">
        <v>22532.01</v>
      </c>
      <c r="K83" s="62">
        <v>37.549999999999997</v>
      </c>
      <c r="L83" s="60">
        <v>0</v>
      </c>
      <c r="M83" s="62">
        <v>0</v>
      </c>
      <c r="N83" s="62">
        <f>IFERROR(INDEX(Price_Update!$F:$F, MATCH(A83, Price_Update!$A:$A, 0)), 46.66)</f>
        <v>46.66</v>
      </c>
      <c r="O83" s="62">
        <f t="shared" si="4"/>
        <v>0</v>
      </c>
      <c r="P83" s="62">
        <v>-4149.99</v>
      </c>
      <c r="Q83" s="62">
        <f t="shared" si="5"/>
        <v>0</v>
      </c>
      <c r="R83" s="62">
        <f t="shared" si="6"/>
        <v>-4149.99</v>
      </c>
      <c r="S83" s="64">
        <f t="shared" si="7"/>
        <v>-0.15553519226444792</v>
      </c>
      <c r="T83" s="60">
        <v>14</v>
      </c>
      <c r="U83" s="60"/>
      <c r="V83" s="60" t="s">
        <v>107</v>
      </c>
      <c r="W83" s="60" t="s">
        <v>1089</v>
      </c>
    </row>
    <row r="84" spans="1:23">
      <c r="A84" s="60" t="s">
        <v>321</v>
      </c>
      <c r="B84" s="60" t="s">
        <v>64</v>
      </c>
      <c r="C84" s="60" t="s">
        <v>87</v>
      </c>
      <c r="D84" s="60" t="s">
        <v>75</v>
      </c>
      <c r="E84" s="60"/>
      <c r="F84" s="60">
        <v>57</v>
      </c>
      <c r="G84" s="62">
        <v>50160</v>
      </c>
      <c r="H84" s="62">
        <v>880</v>
      </c>
      <c r="I84" s="60">
        <v>57</v>
      </c>
      <c r="J84" s="62">
        <v>44850.6</v>
      </c>
      <c r="K84" s="62">
        <v>786.85</v>
      </c>
      <c r="L84" s="60">
        <v>0</v>
      </c>
      <c r="M84" s="62">
        <v>0</v>
      </c>
      <c r="N84" s="62">
        <f>IFERROR(INDEX(Price_Update!$F:$F, MATCH(A84, Price_Update!$A:$A, 0)), 702.1)</f>
        <v>702.1</v>
      </c>
      <c r="O84" s="62">
        <f t="shared" si="4"/>
        <v>0</v>
      </c>
      <c r="P84" s="62">
        <v>-5309.4</v>
      </c>
      <c r="Q84" s="62">
        <f t="shared" si="5"/>
        <v>0</v>
      </c>
      <c r="R84" s="62">
        <f t="shared" si="6"/>
        <v>-5309.4</v>
      </c>
      <c r="S84" s="64">
        <f t="shared" si="7"/>
        <v>-0.10584928229665071</v>
      </c>
      <c r="T84" s="60">
        <v>9</v>
      </c>
      <c r="U84" s="60"/>
      <c r="V84" s="60" t="s">
        <v>107</v>
      </c>
      <c r="W84" s="60" t="s">
        <v>1089</v>
      </c>
    </row>
    <row r="85" spans="1:23">
      <c r="A85" s="60" t="s">
        <v>153</v>
      </c>
      <c r="B85" s="60" t="s">
        <v>62</v>
      </c>
      <c r="C85" s="60" t="s">
        <v>87</v>
      </c>
      <c r="D85" s="60" t="s">
        <v>75</v>
      </c>
      <c r="E85" s="60"/>
      <c r="F85" s="60">
        <v>26</v>
      </c>
      <c r="G85" s="62">
        <v>49379.199999999997</v>
      </c>
      <c r="H85" s="62">
        <v>1899.2</v>
      </c>
      <c r="I85" s="60">
        <v>26</v>
      </c>
      <c r="J85" s="62">
        <v>46549.8</v>
      </c>
      <c r="K85" s="62">
        <v>1790.38</v>
      </c>
      <c r="L85" s="60">
        <v>0</v>
      </c>
      <c r="M85" s="62">
        <v>0</v>
      </c>
      <c r="N85" s="62">
        <f ca="1">IFERROR(INDEX(Price_Update!$F:$F, MATCH(A85, Price_Update!$A:$A, 0)), 1807.7)</f>
        <v>1807.7</v>
      </c>
      <c r="O85" s="62">
        <f t="shared" ca="1" si="4"/>
        <v>0</v>
      </c>
      <c r="P85" s="62">
        <v>-2829.4</v>
      </c>
      <c r="Q85" s="62">
        <f t="shared" ca="1" si="5"/>
        <v>0</v>
      </c>
      <c r="R85" s="62">
        <f t="shared" ca="1" si="6"/>
        <v>-2829.4</v>
      </c>
      <c r="S85" s="64">
        <f t="shared" ca="1" si="7"/>
        <v>-5.7299429719396028E-2</v>
      </c>
      <c r="T85" s="60">
        <v>18</v>
      </c>
      <c r="U85" s="60"/>
      <c r="V85" s="60" t="s">
        <v>107</v>
      </c>
      <c r="W85" s="60" t="s">
        <v>1089</v>
      </c>
    </row>
    <row r="86" spans="1:23">
      <c r="A86" s="60" t="s">
        <v>284</v>
      </c>
      <c r="B86" s="60" t="s">
        <v>63</v>
      </c>
      <c r="C86" s="60" t="s">
        <v>87</v>
      </c>
      <c r="D86" s="60" t="s">
        <v>74</v>
      </c>
      <c r="E86" s="60"/>
      <c r="F86" s="60">
        <v>20</v>
      </c>
      <c r="G86" s="62">
        <v>90180</v>
      </c>
      <c r="H86" s="62">
        <v>4509</v>
      </c>
      <c r="I86" s="60">
        <v>20</v>
      </c>
      <c r="J86" s="62">
        <v>83602.900399999999</v>
      </c>
      <c r="K86" s="62">
        <v>4180.1499999999996</v>
      </c>
      <c r="L86" s="60">
        <v>0</v>
      </c>
      <c r="M86" s="62">
        <v>0</v>
      </c>
      <c r="N86" s="62">
        <f>IFERROR(INDEX(Price_Update!$F:$F, MATCH(A86, Price_Update!$A:$A, 0)), 3485)</f>
        <v>3485</v>
      </c>
      <c r="O86" s="62">
        <f t="shared" si="4"/>
        <v>0</v>
      </c>
      <c r="P86" s="62">
        <v>-6577.1</v>
      </c>
      <c r="Q86" s="62">
        <f t="shared" si="5"/>
        <v>0</v>
      </c>
      <c r="R86" s="62">
        <f t="shared" si="6"/>
        <v>-6577.1</v>
      </c>
      <c r="S86" s="64">
        <f t="shared" si="7"/>
        <v>-7.2933022843202494E-2</v>
      </c>
      <c r="T86" s="60">
        <v>25</v>
      </c>
      <c r="U86" s="60"/>
      <c r="V86" s="60" t="s">
        <v>107</v>
      </c>
      <c r="W86" s="60" t="s">
        <v>1089</v>
      </c>
    </row>
    <row r="87" spans="1:23">
      <c r="A87" s="60" t="s">
        <v>663</v>
      </c>
      <c r="B87" s="60" t="s">
        <v>64</v>
      </c>
      <c r="C87" s="60" t="s">
        <v>86</v>
      </c>
      <c r="D87" s="60" t="s">
        <v>74</v>
      </c>
      <c r="E87" s="60" t="s">
        <v>46</v>
      </c>
      <c r="F87" s="60">
        <v>87</v>
      </c>
      <c r="G87" s="62">
        <v>103413.3</v>
      </c>
      <c r="H87" s="62">
        <v>1188.6600000000001</v>
      </c>
      <c r="I87" s="60">
        <v>0</v>
      </c>
      <c r="J87" s="62">
        <v>0</v>
      </c>
      <c r="K87" s="62">
        <v>0</v>
      </c>
      <c r="L87" s="60">
        <v>87</v>
      </c>
      <c r="M87" s="62">
        <v>103413.42</v>
      </c>
      <c r="N87" s="62">
        <f ca="1">IFERROR(INDEX(Price_Update!$F:$F, MATCH(A87, Price_Update!$A:$A, 0)), 1266.7)</f>
        <v>1266.7</v>
      </c>
      <c r="O87" s="62">
        <f t="shared" ca="1" si="4"/>
        <v>110202.90000000001</v>
      </c>
      <c r="P87" s="62">
        <v>0</v>
      </c>
      <c r="Q87" s="62">
        <f t="shared" ca="1" si="5"/>
        <v>6789.4800000000105</v>
      </c>
      <c r="R87" s="62">
        <f t="shared" ca="1" si="6"/>
        <v>6789.4800000000105</v>
      </c>
      <c r="S87" s="64">
        <f t="shared" ca="1" si="7"/>
        <v>6.5653837562479972E-2</v>
      </c>
      <c r="T87" s="60">
        <v>12</v>
      </c>
      <c r="U87" s="60"/>
      <c r="V87" s="60" t="s">
        <v>107</v>
      </c>
      <c r="W87" s="60" t="s">
        <v>1089</v>
      </c>
    </row>
    <row r="88" spans="1:23">
      <c r="A88" s="60" t="s">
        <v>520</v>
      </c>
      <c r="B88" s="60" t="s">
        <v>64</v>
      </c>
      <c r="C88" s="60" t="s">
        <v>86</v>
      </c>
      <c r="D88" s="60" t="s">
        <v>75</v>
      </c>
      <c r="E88" s="60"/>
      <c r="F88" s="60">
        <v>80</v>
      </c>
      <c r="G88" s="62">
        <v>25175.98</v>
      </c>
      <c r="H88" s="62">
        <v>314.7</v>
      </c>
      <c r="I88" s="60">
        <v>80</v>
      </c>
      <c r="J88" s="62">
        <v>24328</v>
      </c>
      <c r="K88" s="62">
        <v>304.10000000000002</v>
      </c>
      <c r="L88" s="60">
        <v>0</v>
      </c>
      <c r="M88" s="62">
        <v>0</v>
      </c>
      <c r="N88" s="62">
        <f>IFERROR(INDEX(Price_Update!$F:$F, MATCH(A88, Price_Update!$A:$A, 0)), 315.1)</f>
        <v>315.10000000000002</v>
      </c>
      <c r="O88" s="62">
        <f t="shared" si="4"/>
        <v>0</v>
      </c>
      <c r="P88" s="62">
        <v>-848</v>
      </c>
      <c r="Q88" s="62">
        <f t="shared" si="5"/>
        <v>0</v>
      </c>
      <c r="R88" s="62">
        <f t="shared" si="6"/>
        <v>-848</v>
      </c>
      <c r="S88" s="64">
        <f t="shared" si="7"/>
        <v>-3.3682899335001064E-2</v>
      </c>
      <c r="T88" s="60">
        <v>84</v>
      </c>
      <c r="U88" s="60"/>
      <c r="V88" s="60" t="s">
        <v>107</v>
      </c>
      <c r="W88" s="60" t="s">
        <v>1089</v>
      </c>
    </row>
    <row r="89" spans="1:23">
      <c r="A89" s="60" t="s">
        <v>178</v>
      </c>
      <c r="B89" s="60" t="s">
        <v>64</v>
      </c>
      <c r="C89" s="60" t="s">
        <v>89</v>
      </c>
      <c r="D89" s="60" t="s">
        <v>75</v>
      </c>
      <c r="E89" s="60" t="s">
        <v>48</v>
      </c>
      <c r="F89" s="60">
        <v>210</v>
      </c>
      <c r="G89" s="62">
        <v>150072.5</v>
      </c>
      <c r="H89" s="62">
        <v>714.63</v>
      </c>
      <c r="I89" s="60">
        <v>0</v>
      </c>
      <c r="J89" s="62">
        <v>0</v>
      </c>
      <c r="K89" s="62">
        <v>0</v>
      </c>
      <c r="L89" s="60">
        <v>210</v>
      </c>
      <c r="M89" s="62">
        <v>150072.29999999999</v>
      </c>
      <c r="N89" s="62">
        <f ca="1">IFERROR(INDEX(Price_Update!$F:$F, MATCH(A89, Price_Update!$A:$A, 0)), 761)</f>
        <v>761</v>
      </c>
      <c r="O89" s="62">
        <f t="shared" ca="1" si="4"/>
        <v>159810</v>
      </c>
      <c r="P89" s="62">
        <v>0</v>
      </c>
      <c r="Q89" s="62">
        <f t="shared" ca="1" si="5"/>
        <v>9737.7000000000116</v>
      </c>
      <c r="R89" s="62">
        <f t="shared" ca="1" si="6"/>
        <v>9737.7000000000116</v>
      </c>
      <c r="S89" s="64">
        <f t="shared" ca="1" si="7"/>
        <v>6.4886638124906373E-2</v>
      </c>
      <c r="T89" s="60">
        <v>26</v>
      </c>
      <c r="U89" s="60"/>
      <c r="V89" s="60" t="s">
        <v>107</v>
      </c>
      <c r="W89" s="60" t="s">
        <v>1089</v>
      </c>
    </row>
    <row r="90" spans="1:23">
      <c r="A90" s="60" t="s">
        <v>505</v>
      </c>
      <c r="B90" s="60" t="s">
        <v>64</v>
      </c>
      <c r="C90" s="60" t="s">
        <v>86</v>
      </c>
      <c r="D90" s="60" t="s">
        <v>74</v>
      </c>
      <c r="E90" s="60" t="s">
        <v>52</v>
      </c>
      <c r="F90" s="60">
        <v>392</v>
      </c>
      <c r="G90" s="62">
        <v>400919.75</v>
      </c>
      <c r="H90" s="62">
        <v>1022.75</v>
      </c>
      <c r="I90" s="60">
        <v>0</v>
      </c>
      <c r="J90" s="62">
        <v>0</v>
      </c>
      <c r="K90" s="62">
        <v>0</v>
      </c>
      <c r="L90" s="60">
        <v>392</v>
      </c>
      <c r="M90" s="62">
        <v>400918</v>
      </c>
      <c r="N90" s="62">
        <f ca="1">IFERROR(INDEX(Price_Update!$F:$F, MATCH(A90, Price_Update!$A:$A, 0)), 1192.8)</f>
        <v>1192.8</v>
      </c>
      <c r="O90" s="62">
        <f t="shared" ca="1" si="4"/>
        <v>467577.59999999998</v>
      </c>
      <c r="P90" s="62">
        <v>0</v>
      </c>
      <c r="Q90" s="62">
        <f t="shared" ca="1" si="5"/>
        <v>66659.599999999977</v>
      </c>
      <c r="R90" s="62">
        <f t="shared" ca="1" si="6"/>
        <v>66659.599999999977</v>
      </c>
      <c r="S90" s="64">
        <f t="shared" ca="1" si="7"/>
        <v>0.16626669052846604</v>
      </c>
      <c r="T90" s="60">
        <v>122</v>
      </c>
      <c r="U90" s="60"/>
      <c r="V90" s="60" t="s">
        <v>107</v>
      </c>
      <c r="W90" s="60" t="s">
        <v>1089</v>
      </c>
    </row>
    <row r="91" spans="1:23">
      <c r="A91" s="60" t="s">
        <v>207</v>
      </c>
      <c r="B91" s="60" t="s">
        <v>63</v>
      </c>
      <c r="C91" s="60" t="s">
        <v>86</v>
      </c>
      <c r="D91" s="60" t="s">
        <v>75</v>
      </c>
      <c r="E91" s="60" t="s">
        <v>40</v>
      </c>
      <c r="F91" s="60">
        <v>11</v>
      </c>
      <c r="G91" s="62">
        <v>54590.598100000003</v>
      </c>
      <c r="H91" s="62">
        <v>4962.78</v>
      </c>
      <c r="I91" s="60">
        <v>0</v>
      </c>
      <c r="J91" s="62">
        <v>0</v>
      </c>
      <c r="K91" s="62">
        <v>0</v>
      </c>
      <c r="L91" s="60">
        <v>11</v>
      </c>
      <c r="M91" s="62">
        <v>54590.58</v>
      </c>
      <c r="N91" s="62">
        <f ca="1">IFERROR(INDEX(Price_Update!$F:$F, MATCH(A91, Price_Update!$A:$A, 0)), 4726.3)</f>
        <v>4726.3</v>
      </c>
      <c r="O91" s="62">
        <f t="shared" ca="1" si="4"/>
        <v>51989.3</v>
      </c>
      <c r="P91" s="62">
        <v>0</v>
      </c>
      <c r="Q91" s="62">
        <f t="shared" ca="1" si="5"/>
        <v>-2601.2799999999988</v>
      </c>
      <c r="R91" s="62">
        <f t="shared" ca="1" si="6"/>
        <v>-2601.2799999999988</v>
      </c>
      <c r="S91" s="64">
        <f t="shared" ca="1" si="7"/>
        <v>-4.7650696100360157E-2</v>
      </c>
      <c r="T91" s="60">
        <v>16</v>
      </c>
      <c r="U91" s="60"/>
      <c r="V91" s="60" t="s">
        <v>107</v>
      </c>
      <c r="W91" s="60" t="s">
        <v>1089</v>
      </c>
    </row>
    <row r="92" spans="1:23">
      <c r="A92" s="60" t="s">
        <v>714</v>
      </c>
      <c r="B92" s="60" t="s">
        <v>64</v>
      </c>
      <c r="C92" s="60" t="s">
        <v>86</v>
      </c>
      <c r="D92" s="60" t="s">
        <v>74</v>
      </c>
      <c r="E92" s="60" t="s">
        <v>46</v>
      </c>
      <c r="F92" s="60">
        <v>28</v>
      </c>
      <c r="G92" s="62">
        <v>99892.100300000006</v>
      </c>
      <c r="H92" s="62">
        <v>3567.58</v>
      </c>
      <c r="I92" s="60">
        <v>0</v>
      </c>
      <c r="J92" s="62">
        <v>0</v>
      </c>
      <c r="K92" s="62">
        <v>0</v>
      </c>
      <c r="L92" s="60">
        <v>28</v>
      </c>
      <c r="M92" s="62">
        <v>99892.24</v>
      </c>
      <c r="N92" s="62">
        <f ca="1">IFERROR(INDEX(Price_Update!$F:$F, MATCH(A92, Price_Update!$A:$A, 0)), 3530.2)</f>
        <v>3530.2</v>
      </c>
      <c r="O92" s="62">
        <f t="shared" ca="1" si="4"/>
        <v>98845.599999999991</v>
      </c>
      <c r="P92" s="62">
        <v>0</v>
      </c>
      <c r="Q92" s="62">
        <f t="shared" ca="1" si="5"/>
        <v>-1046.640000000014</v>
      </c>
      <c r="R92" s="62">
        <f t="shared" ca="1" si="6"/>
        <v>-1046.640000000014</v>
      </c>
      <c r="S92" s="64">
        <f t="shared" ca="1" si="7"/>
        <v>-1.0477705412707334E-2</v>
      </c>
      <c r="T92" s="60">
        <v>12</v>
      </c>
      <c r="U92" s="60"/>
      <c r="V92" s="60" t="s">
        <v>107</v>
      </c>
      <c r="W92" s="60" t="s">
        <v>1089</v>
      </c>
    </row>
    <row r="93" spans="1:23">
      <c r="A93" s="60" t="s">
        <v>672</v>
      </c>
      <c r="B93" s="60" t="s">
        <v>64</v>
      </c>
      <c r="C93" s="60" t="s">
        <v>89</v>
      </c>
      <c r="D93" s="60" t="s">
        <v>74</v>
      </c>
      <c r="E93" s="60" t="s">
        <v>46</v>
      </c>
      <c r="F93" s="60">
        <v>151</v>
      </c>
      <c r="G93" s="62">
        <v>100530.85</v>
      </c>
      <c r="H93" s="62">
        <v>665.77</v>
      </c>
      <c r="I93" s="60">
        <v>0</v>
      </c>
      <c r="J93" s="62">
        <v>0</v>
      </c>
      <c r="K93" s="62">
        <v>0</v>
      </c>
      <c r="L93" s="60">
        <v>151</v>
      </c>
      <c r="M93" s="62">
        <v>100531.27</v>
      </c>
      <c r="N93" s="62">
        <f ca="1">IFERROR(INDEX(Price_Update!$F:$F, MATCH(A93, Price_Update!$A:$A, 0)), 640.25)</f>
        <v>640.25</v>
      </c>
      <c r="O93" s="62">
        <f t="shared" ca="1" si="4"/>
        <v>96677.75</v>
      </c>
      <c r="P93" s="62">
        <v>0</v>
      </c>
      <c r="Q93" s="62">
        <f t="shared" ca="1" si="5"/>
        <v>-3853.5200000000041</v>
      </c>
      <c r="R93" s="62">
        <f t="shared" ca="1" si="6"/>
        <v>-3853.5200000000041</v>
      </c>
      <c r="S93" s="64">
        <f t="shared" ca="1" si="7"/>
        <v>-3.8331716085161956E-2</v>
      </c>
      <c r="T93" s="60">
        <v>12</v>
      </c>
      <c r="U93" s="60"/>
      <c r="V93" s="60" t="s">
        <v>107</v>
      </c>
      <c r="W93" s="60" t="s">
        <v>1089</v>
      </c>
    </row>
    <row r="94" spans="1:23">
      <c r="A94" s="60" t="s">
        <v>287</v>
      </c>
      <c r="B94" s="60" t="s">
        <v>62</v>
      </c>
      <c r="C94" s="60" t="s">
        <v>88</v>
      </c>
      <c r="D94" s="60" t="s">
        <v>74</v>
      </c>
      <c r="E94" s="60"/>
      <c r="F94" s="60">
        <v>25</v>
      </c>
      <c r="G94" s="62">
        <v>91567.5</v>
      </c>
      <c r="H94" s="62">
        <v>3662.7</v>
      </c>
      <c r="I94" s="60">
        <v>25</v>
      </c>
      <c r="J94" s="62">
        <v>84762.5</v>
      </c>
      <c r="K94" s="62">
        <v>3390.5</v>
      </c>
      <c r="L94" s="60">
        <v>0</v>
      </c>
      <c r="M94" s="62">
        <v>0</v>
      </c>
      <c r="N94" s="62">
        <f>IFERROR(INDEX(Price_Update!$F:$F, MATCH(A94, Price_Update!$A:$A, 0)), 4184)</f>
        <v>4184</v>
      </c>
      <c r="O94" s="62">
        <f t="shared" si="4"/>
        <v>0</v>
      </c>
      <c r="P94" s="62">
        <v>-6805</v>
      </c>
      <c r="Q94" s="62">
        <f t="shared" si="5"/>
        <v>0</v>
      </c>
      <c r="R94" s="62">
        <f t="shared" si="6"/>
        <v>-6805</v>
      </c>
      <c r="S94" s="64">
        <f t="shared" si="7"/>
        <v>-7.431676085947525E-2</v>
      </c>
      <c r="T94" s="60">
        <v>25</v>
      </c>
      <c r="U94" s="60"/>
      <c r="V94" s="60" t="s">
        <v>107</v>
      </c>
      <c r="W94" s="60" t="s">
        <v>1089</v>
      </c>
    </row>
    <row r="95" spans="1:23">
      <c r="A95" s="60" t="s">
        <v>125</v>
      </c>
      <c r="B95" s="60" t="s">
        <v>64</v>
      </c>
      <c r="C95" s="60" t="s">
        <v>86</v>
      </c>
      <c r="D95" s="60" t="s">
        <v>74</v>
      </c>
      <c r="E95" s="60" t="s">
        <v>40</v>
      </c>
      <c r="F95" s="60">
        <v>114</v>
      </c>
      <c r="G95" s="62">
        <v>78698.700000000012</v>
      </c>
      <c r="H95" s="62">
        <v>690.34</v>
      </c>
      <c r="I95" s="60">
        <v>0</v>
      </c>
      <c r="J95" s="62">
        <v>0</v>
      </c>
      <c r="K95" s="62">
        <v>0</v>
      </c>
      <c r="L95" s="60">
        <v>114</v>
      </c>
      <c r="M95" s="62">
        <v>78698.759999999995</v>
      </c>
      <c r="N95" s="62">
        <f ca="1">IFERROR(INDEX(Price_Update!$F:$F, MATCH(A95, Price_Update!$A:$A, 0)), 671.2)</f>
        <v>671.2</v>
      </c>
      <c r="O95" s="62">
        <f t="shared" ca="1" si="4"/>
        <v>76516.800000000003</v>
      </c>
      <c r="P95" s="62">
        <v>0</v>
      </c>
      <c r="Q95" s="62">
        <f t="shared" ca="1" si="5"/>
        <v>-2181.9599999999919</v>
      </c>
      <c r="R95" s="62">
        <f t="shared" ca="1" si="6"/>
        <v>-2181.9599999999919</v>
      </c>
      <c r="S95" s="64">
        <f t="shared" ca="1" si="7"/>
        <v>-2.7725489747606906E-2</v>
      </c>
      <c r="T95" s="60">
        <v>13</v>
      </c>
      <c r="U95" s="60"/>
      <c r="V95" s="60" t="s">
        <v>107</v>
      </c>
      <c r="W95" s="60" t="s">
        <v>1089</v>
      </c>
    </row>
    <row r="96" spans="1:23">
      <c r="A96" s="60" t="s">
        <v>409</v>
      </c>
      <c r="B96" s="60" t="s">
        <v>64</v>
      </c>
      <c r="C96" s="60" t="s">
        <v>88</v>
      </c>
      <c r="D96" s="60" t="s">
        <v>75</v>
      </c>
      <c r="E96" s="60"/>
      <c r="F96" s="60">
        <v>22</v>
      </c>
      <c r="G96" s="62">
        <v>101483.5</v>
      </c>
      <c r="H96" s="62">
        <v>4612.8900000000003</v>
      </c>
      <c r="I96" s="60">
        <v>22</v>
      </c>
      <c r="J96" s="62">
        <v>88669.197999999989</v>
      </c>
      <c r="K96" s="62">
        <v>4030.42</v>
      </c>
      <c r="L96" s="60">
        <v>0</v>
      </c>
      <c r="M96" s="62">
        <v>0</v>
      </c>
      <c r="N96" s="62">
        <f>IFERROR(INDEX(Price_Update!$F:$F, MATCH(A96, Price_Update!$A:$A, 0)), 3985.4)</f>
        <v>3985.4</v>
      </c>
      <c r="O96" s="62">
        <f t="shared" si="4"/>
        <v>0</v>
      </c>
      <c r="P96" s="62">
        <v>-12814.38</v>
      </c>
      <c r="Q96" s="62">
        <f t="shared" si="5"/>
        <v>0</v>
      </c>
      <c r="R96" s="62">
        <f t="shared" si="6"/>
        <v>-12814.38</v>
      </c>
      <c r="S96" s="64">
        <f t="shared" si="7"/>
        <v>-0.12627057600496633</v>
      </c>
      <c r="T96" s="60">
        <v>60</v>
      </c>
      <c r="U96" s="60"/>
      <c r="V96" s="60" t="s">
        <v>107</v>
      </c>
      <c r="W96" s="60" t="s">
        <v>1089</v>
      </c>
    </row>
    <row r="97" spans="1:23">
      <c r="A97" s="60" t="s">
        <v>302</v>
      </c>
      <c r="B97" s="60" t="s">
        <v>63</v>
      </c>
      <c r="C97" s="60" t="s">
        <v>88</v>
      </c>
      <c r="D97" s="60" t="s">
        <v>74</v>
      </c>
      <c r="E97" s="60"/>
      <c r="F97" s="60">
        <v>37</v>
      </c>
      <c r="G97" s="62">
        <v>47700.4</v>
      </c>
      <c r="H97" s="62">
        <v>1289.2</v>
      </c>
      <c r="I97" s="60">
        <v>71</v>
      </c>
      <c r="J97" s="62">
        <v>77517.8</v>
      </c>
      <c r="K97" s="62">
        <v>1091.8</v>
      </c>
      <c r="L97" s="60">
        <v>-34</v>
      </c>
      <c r="M97" s="62">
        <v>-43832.800000000003</v>
      </c>
      <c r="N97" s="62">
        <f>IFERROR(INDEX(Price_Update!$F:$F, MATCH(A97, Price_Update!$A:$A, 0)), 1057.7)</f>
        <v>1057.7</v>
      </c>
      <c r="O97" s="62">
        <f t="shared" si="4"/>
        <v>-35961.800000000003</v>
      </c>
      <c r="P97" s="62">
        <v>-14015.4</v>
      </c>
      <c r="Q97" s="62">
        <f t="shared" si="5"/>
        <v>7871</v>
      </c>
      <c r="R97" s="62">
        <f t="shared" si="6"/>
        <v>-6144.4</v>
      </c>
      <c r="S97" s="64">
        <f t="shared" si="7"/>
        <v>-0.12881233700346328</v>
      </c>
      <c r="T97" s="60">
        <v>278</v>
      </c>
      <c r="U97" s="60"/>
      <c r="V97" s="60" t="s">
        <v>107</v>
      </c>
      <c r="W97" s="60" t="s">
        <v>1090</v>
      </c>
    </row>
    <row r="98" spans="1:23">
      <c r="A98" s="60" t="s">
        <v>666</v>
      </c>
      <c r="B98" s="60" t="s">
        <v>62</v>
      </c>
      <c r="C98" s="60" t="s">
        <v>88</v>
      </c>
      <c r="D98" s="60" t="s">
        <v>74</v>
      </c>
      <c r="E98" s="60" t="s">
        <v>46</v>
      </c>
      <c r="F98" s="60">
        <v>188</v>
      </c>
      <c r="G98" s="62">
        <v>99420.65</v>
      </c>
      <c r="H98" s="62">
        <v>528.83000000000004</v>
      </c>
      <c r="I98" s="60">
        <v>0</v>
      </c>
      <c r="J98" s="62">
        <v>0</v>
      </c>
      <c r="K98" s="62">
        <v>0</v>
      </c>
      <c r="L98" s="60">
        <v>188</v>
      </c>
      <c r="M98" s="62">
        <v>99420.04</v>
      </c>
      <c r="N98" s="62">
        <f ca="1">IFERROR(INDEX(Price_Update!$F:$F, MATCH(A98, Price_Update!$A:$A, 0)), 522.2)</f>
        <v>522.20000000000005</v>
      </c>
      <c r="O98" s="62">
        <f t="shared" ca="1" si="4"/>
        <v>98173.6</v>
      </c>
      <c r="P98" s="62">
        <v>0</v>
      </c>
      <c r="Q98" s="62">
        <f t="shared" ca="1" si="5"/>
        <v>-1246.4399999999878</v>
      </c>
      <c r="R98" s="62">
        <f t="shared" ca="1" si="6"/>
        <v>-1246.4399999999878</v>
      </c>
      <c r="S98" s="64">
        <f t="shared" ca="1" si="7"/>
        <v>-1.253703330243755E-2</v>
      </c>
      <c r="T98" s="60">
        <v>12</v>
      </c>
      <c r="U98" s="60"/>
      <c r="V98" s="60" t="s">
        <v>107</v>
      </c>
      <c r="W98" s="60" t="s">
        <v>1089</v>
      </c>
    </row>
    <row r="99" spans="1:23">
      <c r="A99" s="60" t="s">
        <v>570</v>
      </c>
      <c r="B99" s="60" t="s">
        <v>64</v>
      </c>
      <c r="C99" s="60" t="s">
        <v>86</v>
      </c>
      <c r="D99" s="60" t="s">
        <v>75</v>
      </c>
      <c r="E99" s="60"/>
      <c r="F99" s="60">
        <v>10</v>
      </c>
      <c r="G99" s="62">
        <v>100330</v>
      </c>
      <c r="H99" s="62">
        <v>10033</v>
      </c>
      <c r="I99" s="60">
        <v>10</v>
      </c>
      <c r="J99" s="62">
        <v>99010</v>
      </c>
      <c r="K99" s="62">
        <v>9901</v>
      </c>
      <c r="L99" s="60">
        <v>0</v>
      </c>
      <c r="M99" s="62">
        <v>0</v>
      </c>
      <c r="N99" s="62">
        <f>IFERROR(INDEX(Price_Update!$F:$F, MATCH(A99, Price_Update!$A:$A, 0)), 9719.5)</f>
        <v>9719.5</v>
      </c>
      <c r="O99" s="62">
        <f t="shared" si="4"/>
        <v>0</v>
      </c>
      <c r="P99" s="62">
        <v>-1320</v>
      </c>
      <c r="Q99" s="62">
        <f t="shared" si="5"/>
        <v>0</v>
      </c>
      <c r="R99" s="62">
        <f t="shared" si="6"/>
        <v>-1320</v>
      </c>
      <c r="S99" s="64">
        <f t="shared" si="7"/>
        <v>-1.3156583275191867E-2</v>
      </c>
      <c r="T99" s="60">
        <v>1</v>
      </c>
      <c r="U99" s="60"/>
      <c r="V99" s="60" t="s">
        <v>107</v>
      </c>
      <c r="W99" s="60" t="s">
        <v>1089</v>
      </c>
    </row>
    <row r="100" spans="1:23">
      <c r="A100" s="60" t="s">
        <v>741</v>
      </c>
      <c r="B100" s="60" t="s">
        <v>64</v>
      </c>
      <c r="C100" s="60" t="s">
        <v>86</v>
      </c>
      <c r="D100" s="60" t="s">
        <v>75</v>
      </c>
      <c r="E100" s="60" t="s">
        <v>34</v>
      </c>
      <c r="F100" s="60">
        <v>14</v>
      </c>
      <c r="G100" s="62">
        <v>25446.7</v>
      </c>
      <c r="H100" s="62">
        <v>1817.62</v>
      </c>
      <c r="I100" s="60">
        <v>0</v>
      </c>
      <c r="J100" s="62">
        <v>0</v>
      </c>
      <c r="K100" s="62">
        <v>0</v>
      </c>
      <c r="L100" s="60">
        <v>14</v>
      </c>
      <c r="M100" s="62">
        <v>25446.68</v>
      </c>
      <c r="N100" s="62">
        <f ca="1">IFERROR(INDEX(Price_Update!$F:$F, MATCH(A100, Price_Update!$A:$A, 0)), 1793.8)</f>
        <v>1793.8</v>
      </c>
      <c r="O100" s="62">
        <f t="shared" ca="1" si="4"/>
        <v>25113.200000000001</v>
      </c>
      <c r="P100" s="62">
        <v>0</v>
      </c>
      <c r="Q100" s="62">
        <f t="shared" ca="1" si="5"/>
        <v>-333.47999999999956</v>
      </c>
      <c r="R100" s="62">
        <f t="shared" ca="1" si="6"/>
        <v>-333.47999999999956</v>
      </c>
      <c r="S100" s="64">
        <f t="shared" ca="1" si="7"/>
        <v>-1.3105039160284028E-2</v>
      </c>
      <c r="T100" s="60">
        <v>9</v>
      </c>
      <c r="U100" s="60"/>
      <c r="V100" s="60" t="s">
        <v>107</v>
      </c>
      <c r="W100" s="60" t="s">
        <v>1089</v>
      </c>
    </row>
    <row r="101" spans="1:23">
      <c r="A101" s="60" t="s">
        <v>648</v>
      </c>
      <c r="B101" s="60" t="s">
        <v>62</v>
      </c>
      <c r="C101" s="60" t="s">
        <v>87</v>
      </c>
      <c r="D101" s="60" t="s">
        <v>75</v>
      </c>
      <c r="E101" s="60" t="s">
        <v>34</v>
      </c>
      <c r="F101" s="60">
        <v>46</v>
      </c>
      <c r="G101" s="62">
        <v>50250.400000000001</v>
      </c>
      <c r="H101" s="62">
        <v>1092.4000000000001</v>
      </c>
      <c r="I101" s="60">
        <v>0</v>
      </c>
      <c r="J101" s="62">
        <v>0</v>
      </c>
      <c r="K101" s="62">
        <v>0</v>
      </c>
      <c r="L101" s="60">
        <v>46</v>
      </c>
      <c r="M101" s="62">
        <v>50250.400000000001</v>
      </c>
      <c r="N101" s="62">
        <f ca="1">IFERROR(INDEX(Price_Update!$F:$F, MATCH(A101, Price_Update!$A:$A, 0)), 1104.7)</f>
        <v>1104.7</v>
      </c>
      <c r="O101" s="62">
        <f t="shared" ca="1" si="4"/>
        <v>50816.200000000004</v>
      </c>
      <c r="P101" s="62">
        <v>0</v>
      </c>
      <c r="Q101" s="62">
        <f t="shared" ca="1" si="5"/>
        <v>565.80000000000291</v>
      </c>
      <c r="R101" s="62">
        <f t="shared" ca="1" si="6"/>
        <v>565.80000000000291</v>
      </c>
      <c r="S101" s="64">
        <f t="shared" ca="1" si="7"/>
        <v>1.1259611863786217E-2</v>
      </c>
      <c r="T101" s="60">
        <v>13</v>
      </c>
      <c r="U101" s="60"/>
      <c r="V101" s="60" t="s">
        <v>107</v>
      </c>
      <c r="W101" s="60" t="s">
        <v>1090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6"/>
  <sheetViews>
    <sheetView workbookViewId="0">
      <selection activeCell="B64" sqref="B64"/>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SUM(E4:E31)</f>
        <v>2069783.0000000002</v>
      </c>
      <c r="G1" s="1">
        <f ca="1">SUM(G4:G31)</f>
        <v>2291561.35</v>
      </c>
      <c r="H1" s="1">
        <f ca="1">SUM(H4:H31)</f>
        <v>221778.3499999998</v>
      </c>
    </row>
    <row r="2" spans="1:12">
      <c r="A2" t="s">
        <v>77</v>
      </c>
      <c r="B2" t="s">
        <v>111</v>
      </c>
      <c r="C2" t="s">
        <v>267</v>
      </c>
      <c r="D2" t="s">
        <v>1092</v>
      </c>
      <c r="E2" t="s">
        <v>114</v>
      </c>
      <c r="F2" t="s">
        <v>79</v>
      </c>
      <c r="G2" t="s">
        <v>115</v>
      </c>
      <c r="H2" t="s">
        <v>1093</v>
      </c>
      <c r="I2" t="s">
        <v>1094</v>
      </c>
      <c r="J2" t="s">
        <v>1095</v>
      </c>
      <c r="K2" t="s">
        <v>1096</v>
      </c>
      <c r="L2" t="s">
        <v>1097</v>
      </c>
    </row>
    <row r="3" spans="1:12">
      <c r="A3" t="s">
        <v>1098</v>
      </c>
      <c r="B3" t="e" vm="351">
        <v>#VALUE!</v>
      </c>
      <c r="C3">
        <v>1</v>
      </c>
      <c r="D3" s="43">
        <f t="array" aca="1" ref="D3" ca="1">_FV(B3,"Price")</f>
        <v>23622.9</v>
      </c>
      <c r="E3" s="1">
        <f t="shared" ref="E3:E34" ca="1" si="0">C3*D3</f>
        <v>23622.9</v>
      </c>
      <c r="F3" s="43">
        <f t="array" aca="1" ref="F3" ca="1">_FV(B3,"Price")</f>
        <v>23622.9</v>
      </c>
      <c r="G3" s="1">
        <f t="shared" ref="G3:G34" ca="1" si="1">C3*F3</f>
        <v>23622.9</v>
      </c>
      <c r="H3" s="1">
        <f t="shared" ref="H3:H34" ca="1" si="2">G3-E3</f>
        <v>0</v>
      </c>
      <c r="I3" s="1">
        <f t="array" aca="1" ref="I3" ca="1">_FV(B3,"Previous close",TRUE)</f>
        <v>23161.599999999999</v>
      </c>
      <c r="J3" s="42">
        <f t="shared" ref="J3:J34" ca="1" si="3">(F3-I3)/I3</f>
        <v>1.9916586073501094E-2</v>
      </c>
    </row>
    <row r="4" spans="1:12">
      <c r="A4" s="60" t="s">
        <v>595</v>
      </c>
      <c r="B4" s="60" t="e" vm="10">
        <v>#VALUE!</v>
      </c>
      <c r="C4" s="60">
        <v>28</v>
      </c>
      <c r="D4" s="62">
        <v>2802.75</v>
      </c>
      <c r="E4" s="1">
        <f t="shared" si="0"/>
        <v>78477</v>
      </c>
      <c r="F4" s="1">
        <f t="array" aca="1" ref="F4" ca="1">_FV(B4,"Price")</f>
        <v>3145.3</v>
      </c>
      <c r="G4" s="1">
        <f t="shared" ca="1" si="1"/>
        <v>88068.400000000009</v>
      </c>
      <c r="H4" s="1">
        <f t="shared" ca="1" si="2"/>
        <v>9591.4000000000087</v>
      </c>
      <c r="I4" s="1">
        <f t="array" aca="1" ref="I4" ca="1">_FV(B4,"Previous close",TRUE)</f>
        <v>3128.1</v>
      </c>
      <c r="J4" s="42">
        <f t="shared" ca="1" si="3"/>
        <v>5.4985454429207102E-3</v>
      </c>
      <c r="K4" s="1">
        <v>2457</v>
      </c>
      <c r="L4" s="1">
        <v>577.79999999999995</v>
      </c>
    </row>
    <row r="5" spans="1:12">
      <c r="A5" s="76" t="s">
        <v>675</v>
      </c>
      <c r="B5" s="76" t="e" vm="9">
        <v>#VALUE!</v>
      </c>
      <c r="C5" s="60">
        <v>6</v>
      </c>
      <c r="D5" s="62">
        <v>4554.1000000000004</v>
      </c>
      <c r="E5" s="1">
        <f t="shared" si="0"/>
        <v>27324.600000000002</v>
      </c>
      <c r="F5" s="1">
        <f t="array" aca="1" ref="F5" ca="1">_FV(B5,"Price")</f>
        <v>4333.7</v>
      </c>
      <c r="G5" s="1">
        <f t="shared" ca="1" si="1"/>
        <v>26002.199999999997</v>
      </c>
      <c r="H5" s="1">
        <f t="shared" ca="1" si="2"/>
        <v>-1322.4000000000051</v>
      </c>
      <c r="I5" s="1">
        <f t="array" aca="1" ref="I5" ca="1">_FV(B5,"Previous close",TRUE)</f>
        <v>4318.5</v>
      </c>
      <c r="J5" s="42">
        <f t="shared" ca="1" si="3"/>
        <v>3.5197406506888543E-3</v>
      </c>
      <c r="K5" s="1">
        <v>2454.48</v>
      </c>
      <c r="L5" s="1">
        <v>514.82000000000005</v>
      </c>
    </row>
    <row r="6" spans="1:12">
      <c r="A6" s="79" t="s">
        <v>682</v>
      </c>
      <c r="B6" s="79" t="e" vm="12">
        <v>#VALUE!</v>
      </c>
      <c r="C6" s="60">
        <v>4</v>
      </c>
      <c r="D6" s="62">
        <v>12829</v>
      </c>
      <c r="E6" s="1">
        <f t="shared" si="0"/>
        <v>51316</v>
      </c>
      <c r="F6" s="1">
        <f t="array" aca="1" ref="F6" ca="1">_FV(B6,"Price")</f>
        <v>15221</v>
      </c>
      <c r="G6" s="1">
        <f t="shared" ca="1" si="1"/>
        <v>60884</v>
      </c>
      <c r="H6" s="1">
        <f t="shared" ca="1" si="2"/>
        <v>9568</v>
      </c>
      <c r="I6" s="1">
        <f t="array" aca="1" ref="I6" ca="1">_FV(B6,"Previous close",TRUE)</f>
        <v>14551</v>
      </c>
      <c r="J6" s="42">
        <f t="shared" ca="1" si="3"/>
        <v>4.6044945364579752E-2</v>
      </c>
      <c r="K6" s="1">
        <v>2821.19</v>
      </c>
      <c r="L6" s="1">
        <v>275.91000000000003</v>
      </c>
    </row>
    <row r="7" spans="1:12">
      <c r="A7" s="60" t="s">
        <v>501</v>
      </c>
      <c r="B7" s="60" t="e" vm="36">
        <v>#VALUE!</v>
      </c>
      <c r="C7" s="60">
        <v>96</v>
      </c>
      <c r="D7" s="62">
        <v>2100.8000000000002</v>
      </c>
      <c r="E7" s="1">
        <f t="shared" si="0"/>
        <v>201676.80000000002</v>
      </c>
      <c r="F7" s="1">
        <f t="array" aca="1" ref="F7" ca="1">_FV(B7,"Price")</f>
        <v>1817.6</v>
      </c>
      <c r="G7" s="1">
        <f t="shared" ca="1" si="1"/>
        <v>174489.59999999998</v>
      </c>
      <c r="H7" s="1">
        <f t="shared" ca="1" si="2"/>
        <v>-27187.200000000041</v>
      </c>
      <c r="I7" s="1">
        <f t="array" aca="1" ref="I7" ca="1">_FV(B7,"Previous close",TRUE)</f>
        <v>1764.1</v>
      </c>
      <c r="J7" s="42">
        <f t="shared" ca="1" si="3"/>
        <v>3.0327078963777565E-2</v>
      </c>
      <c r="K7" s="1">
        <v>2237.6</v>
      </c>
      <c r="L7" s="1">
        <v>-363.5</v>
      </c>
    </row>
    <row r="8" spans="1:12">
      <c r="A8" s="79" t="s">
        <v>669</v>
      </c>
      <c r="B8" s="79" t="e" vm="7">
        <v>#VALUE!</v>
      </c>
      <c r="C8" s="60">
        <v>3</v>
      </c>
      <c r="D8" s="62">
        <v>10344</v>
      </c>
      <c r="E8" s="1">
        <f t="shared" si="0"/>
        <v>31032</v>
      </c>
      <c r="F8" s="1">
        <f t="array" aca="1" ref="F8" ca="1">_FV(B8,"Price")</f>
        <v>10063</v>
      </c>
      <c r="G8" s="1">
        <f t="shared" ca="1" si="1"/>
        <v>30189</v>
      </c>
      <c r="H8" s="1">
        <f t="shared" ca="1" si="2"/>
        <v>-843</v>
      </c>
      <c r="I8" s="1">
        <f t="array" aca="1" ref="I8" ca="1">_FV(B8,"Previous close",TRUE)</f>
        <v>10114</v>
      </c>
      <c r="J8" s="42">
        <f t="shared" ca="1" si="3"/>
        <v>-5.0425153252916747E-3</v>
      </c>
      <c r="K8" s="1">
        <v>289.54000000000002</v>
      </c>
      <c r="L8" s="1">
        <v>122.56</v>
      </c>
    </row>
    <row r="9" spans="1:12">
      <c r="A9" s="80" t="s">
        <v>332</v>
      </c>
      <c r="B9" s="80" t="e" vm="154">
        <v>#VALUE!</v>
      </c>
      <c r="C9" s="60">
        <v>30</v>
      </c>
      <c r="D9" s="62">
        <v>3359</v>
      </c>
      <c r="E9" s="1">
        <f t="shared" si="0"/>
        <v>100770</v>
      </c>
      <c r="F9" s="1">
        <f t="array" aca="1" ref="F9" ca="1">_FV(B9,"Price")</f>
        <v>4041.1</v>
      </c>
      <c r="G9" s="1">
        <f t="shared" ca="1" si="1"/>
        <v>121233</v>
      </c>
      <c r="H9" s="1">
        <f t="shared" ca="1" si="2"/>
        <v>20463</v>
      </c>
      <c r="I9" s="1">
        <f t="array" aca="1" ref="I9" ca="1">_FV(B9,"Previous close",TRUE)</f>
        <v>3888.3</v>
      </c>
      <c r="J9" s="42">
        <f t="shared" ca="1" si="3"/>
        <v>3.9297379317439429E-2</v>
      </c>
      <c r="K9" s="1">
        <v>1027.3900000000001</v>
      </c>
      <c r="L9" s="1">
        <v>329.61</v>
      </c>
    </row>
    <row r="10" spans="1:12">
      <c r="A10" s="79" t="s">
        <v>724</v>
      </c>
      <c r="B10" s="79" t="e" vm="28">
        <v>#VALUE!</v>
      </c>
      <c r="C10" s="60">
        <v>15</v>
      </c>
      <c r="D10" s="62">
        <v>1972.4</v>
      </c>
      <c r="E10" s="1">
        <f t="shared" si="0"/>
        <v>29586</v>
      </c>
      <c r="F10" s="1">
        <f t="array" aca="1" ref="F10" ca="1">_FV(B10,"Price")</f>
        <v>2407.8000000000002</v>
      </c>
      <c r="G10" s="1">
        <f t="shared" ca="1" si="1"/>
        <v>36117</v>
      </c>
      <c r="H10" s="1">
        <f t="shared" ca="1" si="2"/>
        <v>6531</v>
      </c>
      <c r="I10" s="1">
        <f t="array" aca="1" ref="I10" ca="1">_FV(B10,"Previous close",TRUE)</f>
        <v>2331</v>
      </c>
      <c r="J10" s="42">
        <f t="shared" ca="1" si="3"/>
        <v>3.2947232947233028E-2</v>
      </c>
      <c r="K10" s="1">
        <v>1355.04</v>
      </c>
      <c r="L10" s="1">
        <v>106.16</v>
      </c>
    </row>
    <row r="11" spans="1:12">
      <c r="A11" s="79" t="s">
        <v>655</v>
      </c>
      <c r="B11" s="79" t="e" vm="1">
        <v>#VALUE!</v>
      </c>
      <c r="C11" s="60">
        <v>27</v>
      </c>
      <c r="D11" s="62">
        <v>1101.3</v>
      </c>
      <c r="E11" s="1">
        <f t="shared" si="0"/>
        <v>29735.1</v>
      </c>
      <c r="F11" s="1">
        <f t="array" aca="1" ref="F11" ca="1">_FV(B11,"Price")</f>
        <v>1178.9000000000001</v>
      </c>
      <c r="G11" s="1">
        <f t="shared" ca="1" si="1"/>
        <v>31830.300000000003</v>
      </c>
      <c r="H11" s="1">
        <f t="shared" ca="1" si="2"/>
        <v>2095.2000000000044</v>
      </c>
      <c r="I11" s="1">
        <f t="array" aca="1" ref="I11" ca="1">_FV(B11,"Previous close",TRUE)</f>
        <v>1163.8</v>
      </c>
      <c r="J11" s="42">
        <f t="shared" ca="1" si="3"/>
        <v>1.2974737927479066E-2</v>
      </c>
      <c r="K11" s="1">
        <v>1586.05</v>
      </c>
      <c r="L11" s="1">
        <v>287.35000000000002</v>
      </c>
    </row>
    <row r="12" spans="1:12">
      <c r="A12" s="78" t="s">
        <v>123</v>
      </c>
      <c r="B12" s="78" t="e" vm="54">
        <v>#VALUE!</v>
      </c>
      <c r="C12" s="60">
        <v>49</v>
      </c>
      <c r="D12" s="62">
        <v>1033.1600000000001</v>
      </c>
      <c r="E12" s="1">
        <f t="shared" si="0"/>
        <v>50624.840000000004</v>
      </c>
      <c r="F12" s="1">
        <f t="array" aca="1" ref="F12" ca="1">_FV(B12,"Price")</f>
        <v>1129.3</v>
      </c>
      <c r="G12" s="1">
        <f t="shared" ca="1" si="1"/>
        <v>55335.7</v>
      </c>
      <c r="H12" s="1">
        <f t="shared" ca="1" si="2"/>
        <v>4710.8599999999933</v>
      </c>
      <c r="I12" s="1">
        <f t="array" aca="1" ref="I12" ca="1">_FV(B12,"Previous close",TRUE)</f>
        <v>1133.0999999999999</v>
      </c>
      <c r="J12" s="42">
        <f t="shared" ca="1" si="3"/>
        <v>-3.3536316300414393E-3</v>
      </c>
      <c r="K12" s="1">
        <v>3023.1</v>
      </c>
      <c r="L12" s="1">
        <v>1380.2</v>
      </c>
    </row>
    <row r="13" spans="1:12">
      <c r="A13" s="60" t="s">
        <v>685</v>
      </c>
      <c r="B13" s="60" t="e" vm="13">
        <v>#VALUE!</v>
      </c>
      <c r="C13" s="60">
        <v>6</v>
      </c>
      <c r="D13" s="62">
        <v>8958</v>
      </c>
      <c r="E13" s="1">
        <f t="shared" si="0"/>
        <v>53748</v>
      </c>
      <c r="F13" s="1">
        <f t="array" aca="1" ref="F13" ca="1">_FV(B13,"Price")</f>
        <v>8917.5</v>
      </c>
      <c r="G13" s="1">
        <f t="shared" ca="1" si="1"/>
        <v>53505</v>
      </c>
      <c r="H13" s="1">
        <f t="shared" ca="1" si="2"/>
        <v>-243</v>
      </c>
      <c r="I13" s="1">
        <f t="array" aca="1" ref="I13" ca="1">_FV(B13,"Previous close",TRUE)</f>
        <v>8792.5</v>
      </c>
      <c r="J13" s="42">
        <f t="shared" ca="1" si="3"/>
        <v>1.4216661927779357E-2</v>
      </c>
      <c r="K13" s="1">
        <v>929.84</v>
      </c>
      <c r="L13" s="1">
        <v>134.06</v>
      </c>
    </row>
    <row r="14" spans="1:12">
      <c r="A14" s="80" t="s">
        <v>126</v>
      </c>
      <c r="B14" s="80" t="e" vm="15">
        <v>#VALUE!</v>
      </c>
      <c r="C14" s="60">
        <v>685</v>
      </c>
      <c r="D14" s="62">
        <v>42.36</v>
      </c>
      <c r="E14" s="1">
        <f t="shared" si="0"/>
        <v>29016.6</v>
      </c>
      <c r="F14" s="1">
        <f t="array" aca="1" ref="F14" ca="1">_FV(B14,"Price")</f>
        <v>39.17</v>
      </c>
      <c r="G14" s="1">
        <f t="shared" ca="1" si="1"/>
        <v>26831.45</v>
      </c>
      <c r="H14" s="1">
        <f t="shared" ca="1" si="2"/>
        <v>-2185.1499999999978</v>
      </c>
      <c r="I14" s="1">
        <f t="array" aca="1" ref="I14" ca="1">_FV(B14,"Previous close",TRUE)</f>
        <v>37.03</v>
      </c>
      <c r="J14" s="42">
        <f t="shared" ca="1" si="3"/>
        <v>5.7790980286254401E-2</v>
      </c>
      <c r="K14" s="1">
        <v>720.73</v>
      </c>
      <c r="L14" s="1">
        <v>158.41999999999999</v>
      </c>
    </row>
    <row r="15" spans="1:12">
      <c r="A15" s="78" t="s">
        <v>394</v>
      </c>
      <c r="B15" s="78" t="e" vm="58">
        <v>#VALUE!</v>
      </c>
      <c r="C15" s="60">
        <v>1172</v>
      </c>
      <c r="D15" s="62">
        <v>256.22000000000003</v>
      </c>
      <c r="E15" s="1">
        <f t="shared" si="0"/>
        <v>300289.84000000003</v>
      </c>
      <c r="F15" s="1">
        <f t="array" aca="1" ref="F15" ca="1">_FV(B15,"Price")</f>
        <v>315.7</v>
      </c>
      <c r="G15" s="1">
        <f t="shared" ca="1" si="1"/>
        <v>370000.39999999997</v>
      </c>
      <c r="H15" s="1">
        <f t="shared" ca="1" si="2"/>
        <v>69710.559999999939</v>
      </c>
      <c r="I15" s="1">
        <f t="array" aca="1" ref="I15" ca="1">_FV(B15,"Previous close",TRUE)</f>
        <v>309.75</v>
      </c>
      <c r="J15" s="42">
        <f t="shared" ca="1" si="3"/>
        <v>1.9209039548022562E-2</v>
      </c>
      <c r="K15" s="1">
        <v>82.79</v>
      </c>
      <c r="L15" s="1">
        <v>45.05</v>
      </c>
    </row>
    <row r="16" spans="1:12">
      <c r="A16" s="60" t="s">
        <v>543</v>
      </c>
      <c r="B16" s="60" t="e" vm="31">
        <v>#VALUE!</v>
      </c>
      <c r="C16" s="60">
        <v>55</v>
      </c>
      <c r="D16" s="62">
        <v>4155.8500000000004</v>
      </c>
      <c r="E16" s="1">
        <f t="shared" si="0"/>
        <v>228571.75000000003</v>
      </c>
      <c r="F16" s="1">
        <f t="array" aca="1" ref="F16" ca="1">_FV(B16,"Price")</f>
        <v>4942.5</v>
      </c>
      <c r="G16" s="1">
        <f t="shared" ca="1" si="1"/>
        <v>271837.5</v>
      </c>
      <c r="H16" s="1">
        <f t="shared" ca="1" si="2"/>
        <v>43265.749999999971</v>
      </c>
      <c r="I16" s="1">
        <f t="array" aca="1" ref="I16" ca="1">_FV(B16,"Previous close",TRUE)</f>
        <v>4735</v>
      </c>
      <c r="J16" s="42">
        <f t="shared" ca="1" si="3"/>
        <v>4.3822597676874339E-2</v>
      </c>
      <c r="K16" s="1">
        <v>260.10000000000002</v>
      </c>
      <c r="L16" s="1">
        <v>30.1</v>
      </c>
    </row>
    <row r="17" spans="1:12">
      <c r="A17" s="60" t="s">
        <v>127</v>
      </c>
      <c r="B17" s="60" t="e" vm="2">
        <v>#VALUE!</v>
      </c>
      <c r="C17" s="60">
        <v>37</v>
      </c>
      <c r="D17" s="62">
        <v>865.69</v>
      </c>
      <c r="E17" s="1">
        <f t="shared" si="0"/>
        <v>32030.530000000002</v>
      </c>
      <c r="F17" s="1">
        <f t="array" aca="1" ref="F17" ca="1">_FV(B17,"Price")</f>
        <v>774.3</v>
      </c>
      <c r="G17" s="1">
        <f t="shared" ca="1" si="1"/>
        <v>28649.1</v>
      </c>
      <c r="H17" s="1">
        <f t="shared" ca="1" si="2"/>
        <v>-3381.4300000000039</v>
      </c>
      <c r="I17" s="1">
        <f t="array" aca="1" ref="I17" ca="1">_FV(B17,"Previous close",TRUE)</f>
        <v>746</v>
      </c>
      <c r="J17" s="42">
        <f t="shared" ca="1" si="3"/>
        <v>3.7935656836461065E-2</v>
      </c>
      <c r="K17" s="1">
        <v>124.88</v>
      </c>
      <c r="L17" s="1">
        <v>37.56</v>
      </c>
    </row>
    <row r="18" spans="1:12">
      <c r="A18" s="60" t="s">
        <v>127</v>
      </c>
      <c r="B18" s="60" t="e" vm="2">
        <v>#VALUE!</v>
      </c>
      <c r="C18" s="60">
        <v>37</v>
      </c>
      <c r="D18" s="62">
        <v>865.69</v>
      </c>
      <c r="E18" s="1">
        <f t="shared" si="0"/>
        <v>32030.530000000002</v>
      </c>
      <c r="F18" s="1">
        <f t="array" aca="1" ref="F18" ca="1">_FV(B18,"Price")</f>
        <v>774.3</v>
      </c>
      <c r="G18" s="1">
        <f t="shared" ca="1" si="1"/>
        <v>28649.1</v>
      </c>
      <c r="H18" s="1">
        <f t="shared" ca="1" si="2"/>
        <v>-3381.4300000000039</v>
      </c>
      <c r="I18" s="1">
        <f t="array" aca="1" ref="I18" ca="1">_FV(B18,"Previous close",TRUE)</f>
        <v>746</v>
      </c>
      <c r="J18" s="42">
        <f t="shared" ca="1" si="3"/>
        <v>3.7935656836461065E-2</v>
      </c>
      <c r="K18" s="1">
        <v>250.87</v>
      </c>
      <c r="L18" s="1">
        <v>34.53</v>
      </c>
    </row>
    <row r="19" spans="1:12">
      <c r="A19" s="60" t="s">
        <v>696</v>
      </c>
      <c r="B19" s="60" t="e" vm="16">
        <v>#VALUE!</v>
      </c>
      <c r="C19" s="60">
        <v>6</v>
      </c>
      <c r="D19" s="62">
        <v>5189</v>
      </c>
      <c r="E19" s="1">
        <f t="shared" si="0"/>
        <v>31134</v>
      </c>
      <c r="F19" s="1">
        <f t="array" aca="1" ref="F19" ca="1">_FV(B19,"Price")</f>
        <v>5369.5</v>
      </c>
      <c r="G19" s="1">
        <f t="shared" ca="1" si="1"/>
        <v>32217</v>
      </c>
      <c r="H19" s="1">
        <f t="shared" ca="1" si="2"/>
        <v>1083</v>
      </c>
      <c r="I19" s="1">
        <f t="array" aca="1" ref="I19" ca="1">_FV(B19,"Previous close",TRUE)</f>
        <v>5181.5</v>
      </c>
      <c r="J19" s="42">
        <f t="shared" ca="1" si="3"/>
        <v>3.628292965357522E-2</v>
      </c>
      <c r="K19" s="1">
        <v>3676.8</v>
      </c>
      <c r="L19" s="1">
        <v>1171.5</v>
      </c>
    </row>
    <row r="20" spans="1:12">
      <c r="A20" s="60" t="s">
        <v>699</v>
      </c>
      <c r="B20" s="60" t="e" vm="17">
        <v>#VALUE!</v>
      </c>
      <c r="C20" s="60">
        <v>43</v>
      </c>
      <c r="D20" s="62">
        <v>679.8</v>
      </c>
      <c r="E20" s="1">
        <f t="shared" si="0"/>
        <v>29231.399999999998</v>
      </c>
      <c r="F20" s="1">
        <f t="array" aca="1" ref="F20" ca="1">_FV(B20,"Price")</f>
        <v>673.6</v>
      </c>
      <c r="G20" s="1">
        <f t="shared" ca="1" si="1"/>
        <v>28964.799999999999</v>
      </c>
      <c r="H20" s="1">
        <f t="shared" ca="1" si="2"/>
        <v>-266.59999999999854</v>
      </c>
      <c r="I20" s="1">
        <f t="array" aca="1" ref="I20" ca="1">_FV(B20,"Previous close",TRUE)</f>
        <v>666.65</v>
      </c>
      <c r="J20" s="42">
        <f t="shared" ca="1" si="3"/>
        <v>1.0425260631515856E-2</v>
      </c>
      <c r="K20" s="1">
        <v>843.31</v>
      </c>
      <c r="L20" s="1">
        <v>260.49</v>
      </c>
    </row>
    <row r="21" spans="1:12">
      <c r="A21" s="78" t="s">
        <v>691</v>
      </c>
      <c r="B21" s="78" t="e" vm="14">
        <v>#VALUE!</v>
      </c>
      <c r="C21" s="60">
        <v>18</v>
      </c>
      <c r="D21" s="62">
        <v>1562.2</v>
      </c>
      <c r="E21" s="1">
        <f t="shared" si="0"/>
        <v>28119.600000000002</v>
      </c>
      <c r="F21" s="1">
        <f t="array" aca="1" ref="F21" ca="1">_FV(B21,"Price")</f>
        <v>1601.5</v>
      </c>
      <c r="G21" s="1">
        <f t="shared" ca="1" si="1"/>
        <v>28827</v>
      </c>
      <c r="H21" s="1">
        <f t="shared" ca="1" si="2"/>
        <v>707.39999999999782</v>
      </c>
      <c r="I21" s="1">
        <f t="array" aca="1" ref="I21" ca="1">_FV(B21,"Previous close",TRUE)</f>
        <v>1593.5</v>
      </c>
      <c r="J21" s="42">
        <f t="shared" ca="1" si="3"/>
        <v>5.0203953561342952E-3</v>
      </c>
      <c r="K21" s="1">
        <v>1192.95</v>
      </c>
      <c r="L21" s="1">
        <v>180.95</v>
      </c>
    </row>
    <row r="22" spans="1:12">
      <c r="A22" s="60" t="s">
        <v>124</v>
      </c>
      <c r="B22" s="60" t="e" vm="57">
        <v>#VALUE!</v>
      </c>
      <c r="C22" s="60">
        <v>16</v>
      </c>
      <c r="D22" s="62">
        <v>3127</v>
      </c>
      <c r="E22" s="1">
        <f t="shared" si="0"/>
        <v>50032</v>
      </c>
      <c r="F22" s="1">
        <f t="array" aca="1" ref="F22" ca="1">_FV(B22,"Price")</f>
        <v>3042.9</v>
      </c>
      <c r="G22" s="1">
        <f t="shared" ca="1" si="1"/>
        <v>48686.400000000001</v>
      </c>
      <c r="H22" s="1">
        <f t="shared" ca="1" si="2"/>
        <v>-1345.5999999999985</v>
      </c>
      <c r="I22" s="1">
        <f t="array" aca="1" ref="I22" ca="1">_FV(B22,"Previous close",TRUE)</f>
        <v>3000.9</v>
      </c>
      <c r="J22" s="42">
        <f t="shared" ca="1" si="3"/>
        <v>1.3995801259622112E-2</v>
      </c>
      <c r="K22" s="1">
        <v>2814.3</v>
      </c>
      <c r="L22" s="1">
        <v>293</v>
      </c>
    </row>
    <row r="23" spans="1:12">
      <c r="A23" s="80" t="s">
        <v>108</v>
      </c>
      <c r="B23" s="80" t="e" vm="25">
        <v>#VALUE!</v>
      </c>
      <c r="C23" s="60">
        <v>54</v>
      </c>
      <c r="D23" s="62">
        <v>544.58000000000004</v>
      </c>
      <c r="E23" s="1">
        <f t="shared" si="0"/>
        <v>29407.320000000003</v>
      </c>
      <c r="F23" s="1">
        <f t="array" aca="1" ref="F23" ca="1">_FV(B23,"Price")</f>
        <v>530.70000000000005</v>
      </c>
      <c r="G23" s="1">
        <f t="shared" ca="1" si="1"/>
        <v>28657.800000000003</v>
      </c>
      <c r="H23" s="1">
        <f t="shared" ca="1" si="2"/>
        <v>-749.52000000000044</v>
      </c>
      <c r="I23" s="1">
        <f t="array" aca="1" ref="I23" ca="1">_FV(B23,"Previous close",TRUE)</f>
        <v>520.15</v>
      </c>
      <c r="J23" s="42">
        <f t="shared" ca="1" si="3"/>
        <v>2.0282610785350513E-2</v>
      </c>
      <c r="K23" s="1">
        <v>76.040000000000006</v>
      </c>
      <c r="L23" s="1">
        <v>14.63</v>
      </c>
    </row>
    <row r="24" spans="1:12">
      <c r="A24" s="80" t="s">
        <v>108</v>
      </c>
      <c r="B24" s="80" t="e" vm="25">
        <v>#VALUE!</v>
      </c>
      <c r="C24" s="60">
        <v>54</v>
      </c>
      <c r="D24" s="62">
        <v>544.58000000000004</v>
      </c>
      <c r="E24" s="1">
        <f t="shared" si="0"/>
        <v>29407.320000000003</v>
      </c>
      <c r="F24" s="1">
        <f t="array" aca="1" ref="F24" ca="1">_FV(B24,"Price")</f>
        <v>530.70000000000005</v>
      </c>
      <c r="G24" s="1">
        <f t="shared" ca="1" si="1"/>
        <v>28657.800000000003</v>
      </c>
      <c r="H24" s="1">
        <f t="shared" ca="1" si="2"/>
        <v>-749.52000000000044</v>
      </c>
      <c r="I24" s="1">
        <f t="array" aca="1" ref="I24" ca="1">_FV(B24,"Previous close",TRUE)</f>
        <v>520.15</v>
      </c>
      <c r="J24" s="42">
        <f t="shared" ca="1" si="3"/>
        <v>2.0282610785350513E-2</v>
      </c>
      <c r="K24" s="1">
        <v>340.17</v>
      </c>
      <c r="L24" s="1">
        <v>44.43</v>
      </c>
    </row>
    <row r="25" spans="1:12">
      <c r="A25" s="80" t="s">
        <v>719</v>
      </c>
      <c r="B25" s="80" t="e" vm="26">
        <v>#VALUE!</v>
      </c>
      <c r="C25" s="60">
        <v>4</v>
      </c>
      <c r="D25" s="62">
        <v>7050</v>
      </c>
      <c r="E25" s="1">
        <f t="shared" si="0"/>
        <v>28200</v>
      </c>
      <c r="F25" s="1">
        <f t="array" aca="1" ref="F25" ca="1">_FV(B25,"Price")</f>
        <v>7303</v>
      </c>
      <c r="G25" s="1">
        <f t="shared" ca="1" si="1"/>
        <v>29212</v>
      </c>
      <c r="H25" s="1">
        <f t="shared" ca="1" si="2"/>
        <v>1012</v>
      </c>
      <c r="I25" s="1">
        <f t="array" aca="1" ref="I25" ca="1">_FV(B25,"Previous close",TRUE)</f>
        <v>7157</v>
      </c>
      <c r="J25" s="42">
        <f t="shared" ca="1" si="3"/>
        <v>2.0399608774626241E-2</v>
      </c>
      <c r="K25" s="1">
        <v>1280.3499999999999</v>
      </c>
      <c r="L25" s="1">
        <v>113.65</v>
      </c>
    </row>
    <row r="26" spans="1:12">
      <c r="A26" s="60" t="s">
        <v>197</v>
      </c>
      <c r="B26" s="60" t="e" vm="27">
        <v>#VALUE!</v>
      </c>
      <c r="C26" s="60">
        <v>11</v>
      </c>
      <c r="D26" s="62">
        <v>2660</v>
      </c>
      <c r="E26" s="1">
        <f t="shared" si="0"/>
        <v>29260</v>
      </c>
      <c r="F26" s="1">
        <f t="array" aca="1" ref="F26" ca="1">_FV(B26,"Price")</f>
        <v>3048.8</v>
      </c>
      <c r="G26" s="1">
        <f t="shared" ca="1" si="1"/>
        <v>33536.800000000003</v>
      </c>
      <c r="H26" s="1">
        <f t="shared" ca="1" si="2"/>
        <v>4276.8000000000029</v>
      </c>
      <c r="I26" s="1">
        <f t="array" aca="1" ref="I26" ca="1">_FV(B26,"Previous close",TRUE)</f>
        <v>2716.5</v>
      </c>
      <c r="J26" s="42">
        <f t="shared" ca="1" si="3"/>
        <v>0.12232652309957673</v>
      </c>
      <c r="K26" s="1">
        <v>8833.94</v>
      </c>
      <c r="L26" s="1">
        <v>779.56</v>
      </c>
    </row>
    <row r="27" spans="1:12">
      <c r="A27" s="60" t="s">
        <v>702</v>
      </c>
      <c r="B27" s="60" t="e" vm="18">
        <v>#VALUE!</v>
      </c>
      <c r="C27" s="60">
        <v>15</v>
      </c>
      <c r="D27" s="62">
        <v>1910.65</v>
      </c>
      <c r="E27" s="1">
        <f t="shared" si="0"/>
        <v>28659.75</v>
      </c>
      <c r="F27" s="1">
        <f t="array" aca="1" ref="F27" ca="1">_FV(B27,"Price")</f>
        <v>1893.9</v>
      </c>
      <c r="G27" s="1">
        <f t="shared" ca="1" si="1"/>
        <v>28408.5</v>
      </c>
      <c r="H27" s="1">
        <f t="shared" ca="1" si="2"/>
        <v>-251.25</v>
      </c>
      <c r="I27" s="1">
        <f t="array" aca="1" ref="I27" ca="1">_FV(B27,"Previous close",TRUE)</f>
        <v>1858.5</v>
      </c>
      <c r="J27" s="42">
        <f t="shared" ca="1" si="3"/>
        <v>1.9047619047619098E-2</v>
      </c>
      <c r="K27" s="1">
        <v>1218.48</v>
      </c>
      <c r="L27" s="1">
        <v>376.72</v>
      </c>
    </row>
    <row r="28" spans="1:12">
      <c r="A28" s="79" t="s">
        <v>679</v>
      </c>
      <c r="B28" s="79" t="e" vm="11">
        <v>#VALUE!</v>
      </c>
      <c r="C28" s="60">
        <v>3</v>
      </c>
      <c r="D28" s="62">
        <v>10301</v>
      </c>
      <c r="E28" s="1">
        <f t="shared" si="0"/>
        <v>30903</v>
      </c>
      <c r="F28" s="1">
        <f t="array" aca="1" ref="F28" ca="1">_FV(B28,"Price")</f>
        <v>9327.5</v>
      </c>
      <c r="G28" s="1">
        <f t="shared" ca="1" si="1"/>
        <v>27982.5</v>
      </c>
      <c r="H28" s="1">
        <f t="shared" ca="1" si="2"/>
        <v>-2920.5</v>
      </c>
      <c r="I28" s="1">
        <f t="array" aca="1" ref="I28" ca="1">_FV(B28,"Previous close",TRUE)</f>
        <v>9265.5</v>
      </c>
      <c r="J28" s="42">
        <f t="shared" ca="1" si="3"/>
        <v>6.6914899357832817E-3</v>
      </c>
      <c r="K28" s="1">
        <v>575.28</v>
      </c>
      <c r="L28" s="1">
        <v>51.42</v>
      </c>
    </row>
    <row r="29" spans="1:12">
      <c r="A29" s="60" t="s">
        <v>272</v>
      </c>
      <c r="B29" s="60" t="e" vm="19">
        <v>#VALUE!</v>
      </c>
      <c r="C29" s="60">
        <v>53</v>
      </c>
      <c r="D29" s="62">
        <v>7825.34</v>
      </c>
      <c r="E29" s="1">
        <f t="shared" si="0"/>
        <v>414743.02</v>
      </c>
      <c r="F29" s="1">
        <f t="array" aca="1" ref="F29" ca="1">_FV(B29,"Price")</f>
        <v>9554</v>
      </c>
      <c r="G29" s="1">
        <f t="shared" ca="1" si="1"/>
        <v>506362</v>
      </c>
      <c r="H29" s="1">
        <f t="shared" ca="1" si="2"/>
        <v>91618.979999999981</v>
      </c>
      <c r="I29" s="1">
        <f t="array" aca="1" ref="I29" ca="1">_FV(B29,"Previous close",TRUE)</f>
        <v>9372</v>
      </c>
      <c r="J29" s="42">
        <f t="shared" ca="1" si="3"/>
        <v>1.9419547588561674E-2</v>
      </c>
      <c r="K29" s="1">
        <v>11718.9</v>
      </c>
      <c r="L29" s="1">
        <v>6760.1</v>
      </c>
    </row>
    <row r="30" spans="1:12">
      <c r="A30" s="79" t="s">
        <v>660</v>
      </c>
      <c r="B30" s="79" t="e" vm="4">
        <v>#VALUE!</v>
      </c>
      <c r="C30" s="60">
        <v>1</v>
      </c>
      <c r="D30" s="62">
        <v>35105</v>
      </c>
      <c r="E30" s="1">
        <f t="shared" si="0"/>
        <v>35105</v>
      </c>
      <c r="F30" s="1">
        <f t="array" aca="1" ref="F30" ca="1">_FV(B30,"Price")</f>
        <v>34325</v>
      </c>
      <c r="G30" s="1">
        <f t="shared" ca="1" si="1"/>
        <v>34325</v>
      </c>
      <c r="H30" s="1">
        <f t="shared" ca="1" si="2"/>
        <v>-780</v>
      </c>
      <c r="I30" s="1">
        <f t="array" aca="1" ref="I30" ca="1">_FV(B30,"Previous close",TRUE)</f>
        <v>33250</v>
      </c>
      <c r="J30" s="42">
        <f t="shared" ca="1" si="3"/>
        <v>3.2330827067669175E-2</v>
      </c>
      <c r="K30" s="1">
        <v>1709.28</v>
      </c>
      <c r="L30" s="1">
        <v>131.52000000000001</v>
      </c>
    </row>
    <row r="31" spans="1:12">
      <c r="A31" s="4" t="s">
        <v>705</v>
      </c>
      <c r="B31" s="4" t="e" vm="20">
        <v>#VALUE!</v>
      </c>
      <c r="C31" s="4">
        <v>35</v>
      </c>
      <c r="D31" s="48">
        <v>838.6</v>
      </c>
      <c r="E31" s="1">
        <f t="shared" si="0"/>
        <v>29351</v>
      </c>
      <c r="F31" s="1">
        <f t="array" aca="1" ref="F31" ca="1">_FV(B31,"Price")</f>
        <v>917.2</v>
      </c>
      <c r="G31" s="1">
        <f t="shared" ca="1" si="1"/>
        <v>32102</v>
      </c>
      <c r="H31" s="1">
        <f t="shared" ca="1" si="2"/>
        <v>2751</v>
      </c>
      <c r="I31" s="1">
        <f t="array" aca="1" ref="I31" ca="1">_FV(B31,"Previous close",TRUE)</f>
        <v>877.9</v>
      </c>
      <c r="J31" s="42">
        <f t="shared" ca="1" si="3"/>
        <v>4.4765918669552422E-2</v>
      </c>
      <c r="K31" s="1">
        <v>603.5</v>
      </c>
      <c r="L31" s="1">
        <v>102.8</v>
      </c>
    </row>
    <row r="32" spans="1:12">
      <c r="A32" s="60" t="s">
        <v>708</v>
      </c>
      <c r="B32" s="60" t="e" vm="21">
        <v>#VALUE!</v>
      </c>
      <c r="C32" s="60">
        <v>21</v>
      </c>
      <c r="D32" s="60">
        <v>1330.9</v>
      </c>
      <c r="E32" s="68">
        <f t="shared" si="0"/>
        <v>27948.9</v>
      </c>
      <c r="F32" s="68">
        <f t="array" aca="1" ref="F32" ca="1">_FV(B32,"Price")</f>
        <v>1365</v>
      </c>
      <c r="G32" s="68">
        <f t="shared" ca="1" si="1"/>
        <v>28665</v>
      </c>
      <c r="H32" s="68">
        <f t="shared" ca="1" si="2"/>
        <v>716.09999999999854</v>
      </c>
      <c r="I32" s="68">
        <f t="array" aca="1" ref="I32" ca="1">_FV(B32,"Previous close",TRUE)</f>
        <v>1339.9</v>
      </c>
      <c r="J32" s="89">
        <f t="shared" ca="1" si="3"/>
        <v>1.8732741249346898E-2</v>
      </c>
    </row>
    <row r="33" spans="1:10">
      <c r="A33" s="60" t="s">
        <v>711</v>
      </c>
      <c r="B33" s="60" t="e" vm="22">
        <v>#VALUE!</v>
      </c>
      <c r="C33" s="60">
        <v>40</v>
      </c>
      <c r="D33" s="60">
        <v>729.68</v>
      </c>
      <c r="E33" s="68">
        <f t="shared" si="0"/>
        <v>29187.199999999997</v>
      </c>
      <c r="F33" s="68">
        <f t="array" aca="1" ref="F33" ca="1">_FV(B33,"Price")</f>
        <v>695.5</v>
      </c>
      <c r="G33" s="68">
        <f t="shared" ca="1" si="1"/>
        <v>27820</v>
      </c>
      <c r="H33" s="68">
        <f t="shared" ca="1" si="2"/>
        <v>-1367.1999999999971</v>
      </c>
      <c r="I33" s="68">
        <f t="array" aca="1" ref="I33" ca="1">_FV(B33,"Previous close",TRUE)</f>
        <v>668.35</v>
      </c>
      <c r="J33" s="89">
        <f t="shared" ca="1" si="3"/>
        <v>4.062242836836983E-2</v>
      </c>
    </row>
    <row r="34" spans="1:10">
      <c r="A34" s="60" t="s">
        <v>553</v>
      </c>
      <c r="B34" s="60" t="e" vm="24">
        <v>#VALUE!</v>
      </c>
      <c r="C34" s="60">
        <v>4</v>
      </c>
      <c r="D34" s="60">
        <v>15640</v>
      </c>
      <c r="E34" s="68">
        <f t="shared" si="0"/>
        <v>62560</v>
      </c>
      <c r="F34" s="68">
        <f t="array" aca="1" ref="F34" ca="1">_FV(B34,"Price")</f>
        <v>17143</v>
      </c>
      <c r="G34" s="68">
        <f t="shared" ca="1" si="1"/>
        <v>68572</v>
      </c>
      <c r="H34" s="68">
        <f t="shared" ca="1" si="2"/>
        <v>6012</v>
      </c>
      <c r="I34" s="68">
        <f t="array" aca="1" ref="I34" ca="1">_FV(B34,"Previous close",TRUE)</f>
        <v>17141</v>
      </c>
      <c r="J34" s="89">
        <f t="shared" ca="1" si="3"/>
        <v>1.1667930692491686E-4</v>
      </c>
    </row>
    <row r="35" spans="1:10">
      <c r="A35" s="60" t="s">
        <v>553</v>
      </c>
      <c r="B35" s="60" t="e" vm="24">
        <v>#VALUE!</v>
      </c>
      <c r="C35" s="60">
        <v>4</v>
      </c>
      <c r="D35" s="60">
        <v>15640</v>
      </c>
      <c r="E35" s="68">
        <f t="shared" ref="E35:E63" si="4">C35*D35</f>
        <v>62560</v>
      </c>
      <c r="F35" s="68">
        <f t="array" aca="1" ref="F35" ca="1">_FV(B35,"Price")</f>
        <v>17143</v>
      </c>
      <c r="G35" s="68">
        <f t="shared" ref="G35:G63" ca="1" si="5">C35*F35</f>
        <v>68572</v>
      </c>
      <c r="H35" s="68">
        <f t="shared" ref="H35:H63" ca="1" si="6">G35-E35</f>
        <v>6012</v>
      </c>
      <c r="I35" s="68">
        <f t="array" aca="1" ref="I35" ca="1">_FV(B35,"Previous close",TRUE)</f>
        <v>17141</v>
      </c>
      <c r="J35" s="89">
        <f t="shared" ref="J35:J63" ca="1" si="7">(F35-I35)/I35</f>
        <v>1.1667930692491686E-4</v>
      </c>
    </row>
    <row r="36" spans="1:10">
      <c r="A36" s="60" t="s">
        <v>663</v>
      </c>
      <c r="B36" s="60" t="e" vm="5">
        <v>#VALUE!</v>
      </c>
      <c r="C36" s="60">
        <v>26</v>
      </c>
      <c r="D36" s="60">
        <v>1152.9000000000001</v>
      </c>
      <c r="E36" s="68">
        <f t="shared" si="4"/>
        <v>29975.4</v>
      </c>
      <c r="F36" s="68">
        <f t="array" aca="1" ref="F36" ca="1">_FV(B36,"Price")</f>
        <v>1266.7</v>
      </c>
      <c r="G36" s="68">
        <f t="shared" ca="1" si="5"/>
        <v>32934.200000000004</v>
      </c>
      <c r="H36" s="68">
        <f t="shared" ca="1" si="6"/>
        <v>2958.8000000000029</v>
      </c>
      <c r="I36" s="68">
        <f t="array" aca="1" ref="I36" ca="1">_FV(B36,"Previous close",TRUE)</f>
        <v>1235.5999999999999</v>
      </c>
      <c r="J36" s="89">
        <f t="shared" ca="1" si="7"/>
        <v>2.5169957915183019E-2</v>
      </c>
    </row>
    <row r="37" spans="1:10">
      <c r="A37" s="60" t="s">
        <v>505</v>
      </c>
      <c r="B37" s="60" t="e" vm="30">
        <v>#VALUE!</v>
      </c>
      <c r="C37" s="60">
        <v>321</v>
      </c>
      <c r="D37" s="60">
        <v>950.19</v>
      </c>
      <c r="E37" s="68">
        <f t="shared" si="4"/>
        <v>305010.99</v>
      </c>
      <c r="F37" s="68">
        <f t="array" aca="1" ref="F37" ca="1">_FV(B37,"Price")</f>
        <v>1192.8</v>
      </c>
      <c r="G37" s="68">
        <f t="shared" ca="1" si="5"/>
        <v>382888.8</v>
      </c>
      <c r="H37" s="68">
        <f t="shared" ca="1" si="6"/>
        <v>77877.81</v>
      </c>
      <c r="I37" s="68">
        <f t="array" aca="1" ref="I37" ca="1">_FV(B37,"Previous close",TRUE)</f>
        <v>1126</v>
      </c>
      <c r="J37" s="89">
        <f t="shared" ca="1" si="7"/>
        <v>5.9325044404973319E-2</v>
      </c>
    </row>
    <row r="38" spans="1:10">
      <c r="A38" s="60" t="s">
        <v>714</v>
      </c>
      <c r="B38" s="60" t="e" vm="23">
        <v>#VALUE!</v>
      </c>
      <c r="C38" s="60">
        <v>8</v>
      </c>
      <c r="D38" s="60">
        <v>3520.1</v>
      </c>
      <c r="E38" s="68">
        <f t="shared" si="4"/>
        <v>28160.799999999999</v>
      </c>
      <c r="F38" s="68">
        <f t="array" aca="1" ref="F38" ca="1">_FV(B38,"Price")</f>
        <v>3530.2</v>
      </c>
      <c r="G38" s="68">
        <f t="shared" ca="1" si="5"/>
        <v>28241.599999999999</v>
      </c>
      <c r="H38" s="68">
        <f t="shared" ca="1" si="6"/>
        <v>80.799999999999272</v>
      </c>
      <c r="I38" s="68">
        <f t="array" aca="1" ref="I38" ca="1">_FV(B38,"Previous close",TRUE)</f>
        <v>3511.5</v>
      </c>
      <c r="J38" s="89">
        <f t="shared" ca="1" si="7"/>
        <v>5.3253595329630695E-3</v>
      </c>
    </row>
    <row r="39" spans="1:10">
      <c r="A39" s="60" t="s">
        <v>672</v>
      </c>
      <c r="B39" s="60" t="e" vm="8">
        <v>#VALUE!</v>
      </c>
      <c r="C39" s="60">
        <v>43</v>
      </c>
      <c r="D39" s="60">
        <v>663.75</v>
      </c>
      <c r="E39" s="68">
        <f t="shared" si="4"/>
        <v>28541.25</v>
      </c>
      <c r="F39" s="68">
        <f t="array" aca="1" ref="F39" ca="1">_FV(B39,"Price")</f>
        <v>640.25</v>
      </c>
      <c r="G39" s="68">
        <f t="shared" ca="1" si="5"/>
        <v>27530.75</v>
      </c>
      <c r="H39" s="68">
        <f t="shared" ca="1" si="6"/>
        <v>-1010.5</v>
      </c>
      <c r="I39" s="68">
        <f t="array" aca="1" ref="I39" ca="1">_FV(B39,"Previous close",TRUE)</f>
        <v>635.5</v>
      </c>
      <c r="J39" s="89">
        <f t="shared" ca="1" si="7"/>
        <v>7.4744295830055079E-3</v>
      </c>
    </row>
    <row r="40" spans="1:10">
      <c r="A40" s="60" t="s">
        <v>125</v>
      </c>
      <c r="B40" s="60" t="e" vm="29">
        <v>#VALUE!</v>
      </c>
      <c r="C40" s="60">
        <v>114</v>
      </c>
      <c r="D40" s="60">
        <v>690.34</v>
      </c>
      <c r="E40" s="68">
        <f t="shared" si="4"/>
        <v>78698.760000000009</v>
      </c>
      <c r="F40" s="68">
        <f t="array" aca="1" ref="F40" ca="1">_FV(B40,"Price")</f>
        <v>671.2</v>
      </c>
      <c r="G40" s="68">
        <f t="shared" ca="1" si="5"/>
        <v>76516.800000000003</v>
      </c>
      <c r="H40" s="68">
        <f t="shared" ca="1" si="6"/>
        <v>-2181.9600000000064</v>
      </c>
      <c r="I40" s="68">
        <f t="array" aca="1" ref="I40" ca="1">_FV(B40,"Previous close",TRUE)</f>
        <v>640.70000000000005</v>
      </c>
      <c r="J40" s="89">
        <f t="shared" ca="1" si="7"/>
        <v>4.760418292492586E-2</v>
      </c>
    </row>
    <row r="41" spans="1:10">
      <c r="A41" s="60" t="s">
        <v>666</v>
      </c>
      <c r="B41" s="60" t="e" vm="6">
        <v>#VALUE!</v>
      </c>
      <c r="C41" s="60">
        <v>55</v>
      </c>
      <c r="D41" s="60">
        <v>533.75</v>
      </c>
      <c r="E41" s="68">
        <f t="shared" si="4"/>
        <v>29356.25</v>
      </c>
      <c r="F41" s="68">
        <f t="array" aca="1" ref="F41" ca="1">_FV(B41,"Price")</f>
        <v>522.20000000000005</v>
      </c>
      <c r="G41" s="68">
        <f t="shared" ca="1" si="5"/>
        <v>28721.000000000004</v>
      </c>
      <c r="H41" s="68">
        <f t="shared" ca="1" si="6"/>
        <v>-635.24999999999636</v>
      </c>
      <c r="I41" s="68">
        <f t="array" aca="1" ref="I41" ca="1">_FV(B41,"Previous close",TRUE)</f>
        <v>519.9</v>
      </c>
      <c r="J41" s="89">
        <f t="shared" ca="1" si="7"/>
        <v>4.4239276783998235E-3</v>
      </c>
    </row>
    <row r="42" spans="1:10">
      <c r="A42" s="60" t="s">
        <v>176</v>
      </c>
      <c r="B42" s="60" t="e" vm="221">
        <v>#VALUE!</v>
      </c>
      <c r="C42" s="60">
        <v>36</v>
      </c>
      <c r="D42" s="60">
        <v>2834.43</v>
      </c>
      <c r="E42" s="68">
        <f t="shared" si="4"/>
        <v>102039.48</v>
      </c>
      <c r="F42" s="68">
        <f t="array" aca="1" ref="F42" ca="1">_FV(B42,"Price")</f>
        <v>2921.6</v>
      </c>
      <c r="G42" s="68">
        <f t="shared" ca="1" si="5"/>
        <v>105177.59999999999</v>
      </c>
      <c r="H42" s="68">
        <f t="shared" ca="1" si="6"/>
        <v>3138.1199999999953</v>
      </c>
      <c r="I42" s="68">
        <f t="array" aca="1" ref="I42" ca="1">_FV(B42,"Previous close",TRUE)</f>
        <v>2908.8</v>
      </c>
      <c r="J42" s="89">
        <f t="shared" ca="1" si="7"/>
        <v>4.4004400440043065E-3</v>
      </c>
    </row>
    <row r="43" spans="1:10">
      <c r="A43" s="60" t="s">
        <v>118</v>
      </c>
      <c r="B43" s="60" t="e" vm="170">
        <v>#VALUE!</v>
      </c>
      <c r="C43" s="60">
        <v>14</v>
      </c>
      <c r="D43" s="60">
        <v>3134.66</v>
      </c>
      <c r="E43" s="68">
        <f t="shared" si="4"/>
        <v>43885.24</v>
      </c>
      <c r="F43" s="68">
        <f t="array" aca="1" ref="F43" ca="1">_FV(B43,"Price")</f>
        <v>3131</v>
      </c>
      <c r="G43" s="68">
        <f t="shared" ca="1" si="5"/>
        <v>43834</v>
      </c>
      <c r="H43" s="68">
        <f t="shared" ca="1" si="6"/>
        <v>-51.239999999997963</v>
      </c>
      <c r="I43" s="68">
        <f t="array" aca="1" ref="I43" ca="1">_FV(B43,"Previous close",TRUE)</f>
        <v>3143.4</v>
      </c>
      <c r="J43" s="89">
        <f t="shared" ca="1" si="7"/>
        <v>-3.9447731755424351E-3</v>
      </c>
    </row>
    <row r="44" spans="1:10">
      <c r="A44" s="60" t="s">
        <v>180</v>
      </c>
      <c r="B44" s="60" t="e" vm="163">
        <v>#VALUE!</v>
      </c>
      <c r="C44" s="60">
        <v>556</v>
      </c>
      <c r="D44" s="60">
        <v>360.41</v>
      </c>
      <c r="E44" s="68">
        <f t="shared" si="4"/>
        <v>200387.96000000002</v>
      </c>
      <c r="F44" s="68">
        <f t="array" aca="1" ref="F44" ca="1">_FV(B44,"Price")</f>
        <v>409.4</v>
      </c>
      <c r="G44" s="68">
        <f t="shared" ca="1" si="5"/>
        <v>227626.4</v>
      </c>
      <c r="H44" s="68">
        <f t="shared" ca="1" si="6"/>
        <v>27238.439999999973</v>
      </c>
      <c r="I44" s="68">
        <f t="array" aca="1" ref="I44" ca="1">_FV(B44,"Previous close",TRUE)</f>
        <v>381.75</v>
      </c>
      <c r="J44" s="89">
        <f t="shared" ca="1" si="7"/>
        <v>7.2429600523903015E-2</v>
      </c>
    </row>
    <row r="45" spans="1:10">
      <c r="A45" s="60" t="s">
        <v>173</v>
      </c>
      <c r="B45" s="60" t="e" vm="216">
        <v>#VALUE!</v>
      </c>
      <c r="C45" s="60">
        <v>80</v>
      </c>
      <c r="D45" s="60">
        <v>1259.46</v>
      </c>
      <c r="E45" s="68">
        <f t="shared" si="4"/>
        <v>100756.8</v>
      </c>
      <c r="F45" s="68">
        <f t="array" aca="1" ref="F45" ca="1">_FV(B45,"Price")</f>
        <v>1443.8</v>
      </c>
      <c r="G45" s="68">
        <f t="shared" ca="1" si="5"/>
        <v>115504</v>
      </c>
      <c r="H45" s="68">
        <f t="shared" ca="1" si="6"/>
        <v>14747.199999999997</v>
      </c>
      <c r="I45" s="68">
        <f t="array" aca="1" ref="I45" ca="1">_FV(B45,"Previous close",TRUE)</f>
        <v>1396.3</v>
      </c>
      <c r="J45" s="89">
        <f t="shared" ca="1" si="7"/>
        <v>3.4018477404569217E-2</v>
      </c>
    </row>
    <row r="46" spans="1:10">
      <c r="A46" s="60" t="s">
        <v>120</v>
      </c>
      <c r="B46" s="60" t="e" vm="165">
        <v>#VALUE!</v>
      </c>
      <c r="C46" s="60">
        <v>33</v>
      </c>
      <c r="D46" s="60">
        <v>1505.6</v>
      </c>
      <c r="E46" s="68">
        <f t="shared" si="4"/>
        <v>49684.799999999996</v>
      </c>
      <c r="F46" s="68">
        <f t="array" aca="1" ref="F46" ca="1">_FV(B46,"Price")</f>
        <v>1472.8</v>
      </c>
      <c r="G46" s="68">
        <f t="shared" ca="1" si="5"/>
        <v>48602.400000000001</v>
      </c>
      <c r="H46" s="68">
        <f t="shared" ca="1" si="6"/>
        <v>-1082.3999999999942</v>
      </c>
      <c r="I46" s="68">
        <f t="array" aca="1" ref="I46" ca="1">_FV(B46,"Previous close",TRUE)</f>
        <v>1464.1</v>
      </c>
      <c r="J46" s="89">
        <f t="shared" ca="1" si="7"/>
        <v>5.9422170616761465E-3</v>
      </c>
    </row>
    <row r="47" spans="1:10">
      <c r="A47" s="60" t="s">
        <v>182</v>
      </c>
      <c r="B47" s="60" t="e" vm="73">
        <v>#VALUE!</v>
      </c>
      <c r="C47" s="60">
        <v>56</v>
      </c>
      <c r="D47" s="60">
        <v>1762.28</v>
      </c>
      <c r="E47" s="68">
        <f t="shared" si="4"/>
        <v>98687.679999999993</v>
      </c>
      <c r="F47" s="68">
        <f t="array" aca="1" ref="F47" ca="1">_FV(B47,"Price")</f>
        <v>2133</v>
      </c>
      <c r="G47" s="68">
        <f t="shared" ca="1" si="5"/>
        <v>119448</v>
      </c>
      <c r="H47" s="68">
        <f t="shared" ca="1" si="6"/>
        <v>20760.320000000007</v>
      </c>
      <c r="I47" s="68">
        <f t="array" aca="1" ref="I47" ca="1">_FV(B47,"Previous close",TRUE)</f>
        <v>2054</v>
      </c>
      <c r="J47" s="89">
        <f t="shared" ca="1" si="7"/>
        <v>3.8461538461538464E-2</v>
      </c>
    </row>
    <row r="48" spans="1:10">
      <c r="A48" s="60" t="s">
        <v>169</v>
      </c>
      <c r="B48" s="60" t="e" vm="214">
        <v>#VALUE!</v>
      </c>
      <c r="C48" s="60">
        <v>230</v>
      </c>
      <c r="D48" s="60">
        <v>864.34</v>
      </c>
      <c r="E48" s="68">
        <f t="shared" si="4"/>
        <v>198798.2</v>
      </c>
      <c r="F48" s="68">
        <f t="array" aca="1" ref="F48" ca="1">_FV(B48,"Price")</f>
        <v>914.45</v>
      </c>
      <c r="G48" s="68">
        <f t="shared" ca="1" si="5"/>
        <v>210323.5</v>
      </c>
      <c r="H48" s="68">
        <f t="shared" ca="1" si="6"/>
        <v>11525.299999999988</v>
      </c>
      <c r="I48" s="68">
        <f t="array" aca="1" ref="I48" ca="1">_FV(B48,"Previous close",TRUE)</f>
        <v>901.35</v>
      </c>
      <c r="J48" s="89">
        <f t="shared" ca="1" si="7"/>
        <v>1.4533754923170824E-2</v>
      </c>
    </row>
    <row r="49" spans="1:10">
      <c r="A49" s="60" t="s">
        <v>105</v>
      </c>
      <c r="B49" s="60" t="e" vm="187">
        <v>#VALUE!</v>
      </c>
      <c r="C49" s="60">
        <v>1825</v>
      </c>
      <c r="D49" s="60">
        <v>97.74</v>
      </c>
      <c r="E49" s="68">
        <f t="shared" si="4"/>
        <v>178375.5</v>
      </c>
      <c r="F49" s="68">
        <f t="array" aca="1" ref="F49" ca="1">_FV(B49,"Price")</f>
        <v>159.97</v>
      </c>
      <c r="G49" s="68">
        <f t="shared" ca="1" si="5"/>
        <v>291945.25</v>
      </c>
      <c r="H49" s="68">
        <f t="shared" ca="1" si="6"/>
        <v>113569.75</v>
      </c>
      <c r="I49" s="68">
        <f t="array" aca="1" ref="I49" ca="1">_FV(B49,"Previous close",TRUE)</f>
        <v>155.18</v>
      </c>
      <c r="J49" s="89">
        <f t="shared" ca="1" si="7"/>
        <v>3.0867379816986673E-2</v>
      </c>
    </row>
    <row r="50" spans="1:10">
      <c r="A50" s="60" t="s">
        <v>217</v>
      </c>
      <c r="B50" s="60" t="e" vm="272">
        <v>#VALUE!</v>
      </c>
      <c r="C50" s="60">
        <v>129</v>
      </c>
      <c r="D50" s="60">
        <v>389.65</v>
      </c>
      <c r="E50" s="68">
        <f t="shared" si="4"/>
        <v>50264.85</v>
      </c>
      <c r="F50" s="68">
        <f t="array" aca="1" ref="F50" ca="1">_FV(B50,"Price")</f>
        <v>391.95</v>
      </c>
      <c r="G50" s="68">
        <f t="shared" ca="1" si="5"/>
        <v>50561.549999999996</v>
      </c>
      <c r="H50" s="68">
        <f t="shared" ca="1" si="6"/>
        <v>296.69999999999709</v>
      </c>
      <c r="I50" s="68">
        <f t="array" aca="1" ref="I50" ca="1">_FV(B50,"Previous close",TRUE)</f>
        <v>385.65</v>
      </c>
      <c r="J50" s="89">
        <f t="shared" ca="1" si="7"/>
        <v>1.633605600933492E-2</v>
      </c>
    </row>
    <row r="51" spans="1:10">
      <c r="A51" s="60" t="s">
        <v>117</v>
      </c>
      <c r="B51" s="60" t="e" vm="352">
        <v>#VALUE!</v>
      </c>
      <c r="C51" s="60">
        <v>362</v>
      </c>
      <c r="D51" s="60">
        <v>138.75</v>
      </c>
      <c r="E51" s="68">
        <f t="shared" si="4"/>
        <v>50227.5</v>
      </c>
      <c r="F51" s="68">
        <f t="array" aca="1" ref="F51" ca="1">_FV(B51,"Price")</f>
        <v>157.83000000000001</v>
      </c>
      <c r="G51" s="68">
        <f t="shared" ca="1" si="5"/>
        <v>57134.460000000006</v>
      </c>
      <c r="H51" s="68">
        <f t="shared" ca="1" si="6"/>
        <v>6906.9600000000064</v>
      </c>
      <c r="I51" s="68">
        <f t="array" aca="1" ref="I51" ca="1">_FV(B51,"Previous close",TRUE)</f>
        <v>155.34</v>
      </c>
      <c r="J51" s="89">
        <f t="shared" ca="1" si="7"/>
        <v>1.6029354963306354E-2</v>
      </c>
    </row>
    <row r="52" spans="1:10">
      <c r="A52" s="60" t="s">
        <v>145</v>
      </c>
      <c r="B52" s="60" t="e" vm="353">
        <v>#VALUE!</v>
      </c>
      <c r="C52" s="60">
        <v>276</v>
      </c>
      <c r="D52" s="60">
        <v>278.74</v>
      </c>
      <c r="E52" s="68">
        <f t="shared" si="4"/>
        <v>76932.240000000005</v>
      </c>
      <c r="F52" s="68">
        <f t="array" aca="1" ref="F52" ca="1">_FV(B52,"Price")</f>
        <v>277.14999999999998</v>
      </c>
      <c r="G52" s="68">
        <f t="shared" ca="1" si="5"/>
        <v>76493.399999999994</v>
      </c>
      <c r="H52" s="68">
        <f t="shared" ca="1" si="6"/>
        <v>-438.84000000001106</v>
      </c>
      <c r="I52" s="68">
        <f t="array" aca="1" ref="I52" ca="1">_FV(B52,"Previous close",TRUE)</f>
        <v>277.89999999999998</v>
      </c>
      <c r="J52" s="89">
        <f t="shared" ca="1" si="7"/>
        <v>-2.6988125224901047E-3</v>
      </c>
    </row>
    <row r="53" spans="1:10">
      <c r="A53" s="60" t="s">
        <v>187</v>
      </c>
      <c r="B53" s="60" t="e" vm="354">
        <v>#VALUE!</v>
      </c>
      <c r="C53" s="60">
        <v>340</v>
      </c>
      <c r="D53" s="60">
        <v>902.46</v>
      </c>
      <c r="E53" s="68">
        <f t="shared" si="4"/>
        <v>306836.40000000002</v>
      </c>
      <c r="F53" s="68">
        <f t="array" aca="1" ref="F53" ca="1">_FV(B53,"Price")</f>
        <v>1021.6</v>
      </c>
      <c r="G53" s="68">
        <f t="shared" ca="1" si="5"/>
        <v>347344</v>
      </c>
      <c r="H53" s="68">
        <f t="shared" ca="1" si="6"/>
        <v>40507.599999999977</v>
      </c>
      <c r="I53" s="68">
        <f t="array" aca="1" ref="I53" ca="1">_FV(B53,"Previous close",TRUE)</f>
        <v>1024.3</v>
      </c>
      <c r="J53" s="89">
        <f t="shared" ca="1" si="7"/>
        <v>-2.6359465000487473E-3</v>
      </c>
    </row>
    <row r="54" spans="1:10">
      <c r="A54" s="60" t="s">
        <v>150</v>
      </c>
      <c r="B54" s="60" t="e" vm="188">
        <v>#VALUE!</v>
      </c>
      <c r="C54" s="60">
        <v>75</v>
      </c>
      <c r="D54" s="60">
        <v>1350.41</v>
      </c>
      <c r="E54" s="68">
        <f t="shared" si="4"/>
        <v>101280.75</v>
      </c>
      <c r="F54" s="68">
        <f t="array" aca="1" ref="F54" ca="1">_FV(B54,"Price")</f>
        <v>1394.3</v>
      </c>
      <c r="G54" s="68">
        <f t="shared" ca="1" si="5"/>
        <v>104572.5</v>
      </c>
      <c r="H54" s="68">
        <f t="shared" ca="1" si="6"/>
        <v>3291.75</v>
      </c>
      <c r="I54" s="68">
        <f t="array" aca="1" ref="I54" ca="1">_FV(B54,"Previous close",TRUE)</f>
        <v>1390.8</v>
      </c>
      <c r="J54" s="89">
        <f t="shared" ca="1" si="7"/>
        <v>2.5165372447512224E-3</v>
      </c>
    </row>
    <row r="55" spans="1:10">
      <c r="A55" s="60" t="s">
        <v>226</v>
      </c>
      <c r="B55" s="60" t="e" vm="263">
        <v>#VALUE!</v>
      </c>
      <c r="C55" s="60">
        <v>11</v>
      </c>
      <c r="D55" s="60">
        <v>4599.12</v>
      </c>
      <c r="E55" s="68">
        <f t="shared" si="4"/>
        <v>50590.32</v>
      </c>
      <c r="F55" s="68">
        <f t="array" aca="1" ref="F55" ca="1">_FV(B55,"Price")</f>
        <v>4587.3999999999996</v>
      </c>
      <c r="G55" s="68">
        <f t="shared" ca="1" si="5"/>
        <v>50461.399999999994</v>
      </c>
      <c r="H55" s="68">
        <f t="shared" ca="1" si="6"/>
        <v>-128.92000000000553</v>
      </c>
      <c r="I55" s="68">
        <f t="array" aca="1" ref="I55" ca="1">_FV(B55,"Previous close",TRUE)</f>
        <v>4191.3999999999996</v>
      </c>
      <c r="J55" s="89">
        <f t="shared" ca="1" si="7"/>
        <v>9.447917163716181E-2</v>
      </c>
    </row>
    <row r="56" spans="1:10">
      <c r="A56" s="60" t="s">
        <v>236</v>
      </c>
      <c r="B56" s="60" t="e" vm="208">
        <v>#VALUE!</v>
      </c>
      <c r="C56" s="60">
        <v>133</v>
      </c>
      <c r="D56" s="60">
        <v>377.97</v>
      </c>
      <c r="E56" s="68">
        <f t="shared" si="4"/>
        <v>50270.01</v>
      </c>
      <c r="F56" s="68">
        <f t="array" aca="1" ref="F56" ca="1">_FV(B56,"Price")</f>
        <v>425.85</v>
      </c>
      <c r="G56" s="68">
        <f t="shared" ca="1" si="5"/>
        <v>56638.05</v>
      </c>
      <c r="H56" s="68">
        <f t="shared" ca="1" si="6"/>
        <v>6368.0400000000009</v>
      </c>
      <c r="I56" s="68">
        <f t="array" aca="1" ref="I56" ca="1">_FV(B56,"Previous close",TRUE)</f>
        <v>435.7</v>
      </c>
      <c r="J56" s="89">
        <f t="shared" ca="1" si="7"/>
        <v>-2.2607298599954018E-2</v>
      </c>
    </row>
    <row r="57" spans="1:10">
      <c r="A57" s="60" t="s">
        <v>119</v>
      </c>
      <c r="B57" s="60" t="e" vm="262">
        <v>#VALUE!</v>
      </c>
      <c r="C57" s="60">
        <v>42</v>
      </c>
      <c r="D57" s="60">
        <v>1353.87</v>
      </c>
      <c r="E57" s="68">
        <f t="shared" si="4"/>
        <v>56862.539999999994</v>
      </c>
      <c r="F57" s="68">
        <f t="array" aca="1" ref="F57" ca="1">_FV(B57,"Price")</f>
        <v>1583.5</v>
      </c>
      <c r="G57" s="68">
        <f t="shared" ca="1" si="5"/>
        <v>66507</v>
      </c>
      <c r="H57" s="68">
        <f t="shared" ca="1" si="6"/>
        <v>9644.4600000000064</v>
      </c>
      <c r="I57" s="68">
        <f t="array" aca="1" ref="I57" ca="1">_FV(B57,"Previous close",TRUE)</f>
        <v>1588.5</v>
      </c>
      <c r="J57" s="89">
        <f t="shared" ca="1" si="7"/>
        <v>-3.1476235442241107E-3</v>
      </c>
    </row>
    <row r="58" spans="1:10">
      <c r="A58" s="60" t="s">
        <v>121</v>
      </c>
      <c r="B58" s="60" t="e" vm="172">
        <v>#VALUE!</v>
      </c>
      <c r="C58" s="60">
        <v>40</v>
      </c>
      <c r="D58" s="60">
        <v>639.20000000000005</v>
      </c>
      <c r="E58" s="68">
        <f t="shared" si="4"/>
        <v>25568</v>
      </c>
      <c r="F58" s="68">
        <f t="array" aca="1" ref="F58" ca="1">_FV(B58,"Price")</f>
        <v>703.55</v>
      </c>
      <c r="G58" s="68">
        <f t="shared" ca="1" si="5"/>
        <v>28142</v>
      </c>
      <c r="H58" s="68">
        <f t="shared" ca="1" si="6"/>
        <v>2574</v>
      </c>
      <c r="I58" s="68">
        <f t="array" aca="1" ref="I58" ca="1">_FV(B58,"Previous close",TRUE)</f>
        <v>680.35</v>
      </c>
      <c r="J58" s="89">
        <f t="shared" ca="1" si="7"/>
        <v>3.4100095539060675E-2</v>
      </c>
    </row>
    <row r="59" spans="1:10">
      <c r="A59" s="60" t="s">
        <v>228</v>
      </c>
      <c r="B59" s="60" t="e" vm="275">
        <v>#VALUE!</v>
      </c>
      <c r="C59" s="60">
        <v>92</v>
      </c>
      <c r="D59" s="60">
        <v>547</v>
      </c>
      <c r="E59" s="68">
        <f t="shared" si="4"/>
        <v>50324</v>
      </c>
      <c r="F59" s="68">
        <f t="array" aca="1" ref="F59" ca="1">_FV(B59,"Price")</f>
        <v>544.65</v>
      </c>
      <c r="G59" s="68">
        <f t="shared" ca="1" si="5"/>
        <v>50107.799999999996</v>
      </c>
      <c r="H59" s="68">
        <f t="shared" ca="1" si="6"/>
        <v>-216.20000000000437</v>
      </c>
      <c r="I59" s="68">
        <f t="array" aca="1" ref="I59" ca="1">_FV(B59,"Previous close",TRUE)</f>
        <v>520.79999999999995</v>
      </c>
      <c r="J59" s="89">
        <f t="shared" ca="1" si="7"/>
        <v>4.5794930875576081E-2</v>
      </c>
    </row>
    <row r="60" spans="1:10">
      <c r="A60" s="60" t="s">
        <v>153</v>
      </c>
      <c r="B60" s="60" t="e" vm="35">
        <v>#VALUE!</v>
      </c>
      <c r="C60" s="60">
        <v>26</v>
      </c>
      <c r="D60" s="60">
        <v>1899.2</v>
      </c>
      <c r="E60" s="68">
        <f t="shared" si="4"/>
        <v>49379.200000000004</v>
      </c>
      <c r="F60" s="68">
        <f t="array" aca="1" ref="F60" ca="1">_FV(B60,"Price")</f>
        <v>1807.7</v>
      </c>
      <c r="G60" s="68">
        <f t="shared" ca="1" si="5"/>
        <v>47000.200000000004</v>
      </c>
      <c r="H60" s="68">
        <f t="shared" ca="1" si="6"/>
        <v>-2379</v>
      </c>
      <c r="I60" s="68">
        <f t="array" aca="1" ref="I60" ca="1">_FV(B60,"Previous close",TRUE)</f>
        <v>1794.2</v>
      </c>
      <c r="J60" s="89">
        <f t="shared" ca="1" si="7"/>
        <v>7.5242447887637941E-3</v>
      </c>
    </row>
    <row r="61" spans="1:10">
      <c r="A61" s="60" t="s">
        <v>178</v>
      </c>
      <c r="B61" s="60" t="e" vm="307">
        <v>#VALUE!</v>
      </c>
      <c r="C61" s="60">
        <v>145</v>
      </c>
      <c r="D61" s="60">
        <v>691.04</v>
      </c>
      <c r="E61" s="68">
        <f t="shared" si="4"/>
        <v>100200.79999999999</v>
      </c>
      <c r="F61" s="68">
        <f t="array" aca="1" ref="F61" ca="1">_FV(B61,"Price")</f>
        <v>761</v>
      </c>
      <c r="G61" s="68">
        <f t="shared" ca="1" si="5"/>
        <v>110345</v>
      </c>
      <c r="H61" s="68">
        <f t="shared" ca="1" si="6"/>
        <v>10144.200000000012</v>
      </c>
      <c r="I61" s="68">
        <f t="array" aca="1" ref="I61" ca="1">_FV(B61,"Previous close",TRUE)</f>
        <v>731.45</v>
      </c>
      <c r="J61" s="89">
        <f t="shared" ca="1" si="7"/>
        <v>4.039920705448076E-2</v>
      </c>
    </row>
    <row r="62" spans="1:10">
      <c r="A62" s="60" t="s">
        <v>207</v>
      </c>
      <c r="B62" s="60" t="e" vm="246">
        <v>#VALUE!</v>
      </c>
      <c r="C62" s="60">
        <v>11</v>
      </c>
      <c r="D62" s="60">
        <v>4962.78</v>
      </c>
      <c r="E62" s="68">
        <f t="shared" si="4"/>
        <v>54590.579999999994</v>
      </c>
      <c r="F62" s="68">
        <f t="array" aca="1" ref="F62" ca="1">_FV(B62,"Price")</f>
        <v>4726.3</v>
      </c>
      <c r="G62" s="68">
        <f t="shared" ca="1" si="5"/>
        <v>51989.3</v>
      </c>
      <c r="H62" s="68">
        <f t="shared" ca="1" si="6"/>
        <v>-2601.2799999999916</v>
      </c>
      <c r="I62" s="68">
        <f t="array" aca="1" ref="I62" ca="1">_FV(B62,"Previous close",TRUE)</f>
        <v>4571.3</v>
      </c>
      <c r="J62" s="89">
        <f t="shared" ca="1" si="7"/>
        <v>3.3907203640102378E-2</v>
      </c>
    </row>
    <row r="63" spans="1:10">
      <c r="A63" s="60" t="s">
        <v>648</v>
      </c>
      <c r="B63" s="60" t="e" vm="168">
        <v>#VALUE!</v>
      </c>
      <c r="C63" s="60">
        <v>46</v>
      </c>
      <c r="D63" s="60">
        <v>1092.4000000000001</v>
      </c>
      <c r="E63" s="68">
        <f t="shared" si="4"/>
        <v>50250.400000000001</v>
      </c>
      <c r="F63" s="68">
        <f t="array" aca="1" ref="F63" ca="1">_FV(B63,"Price")</f>
        <v>1104.7</v>
      </c>
      <c r="G63" s="68">
        <f t="shared" ca="1" si="5"/>
        <v>50816.200000000004</v>
      </c>
      <c r="H63" s="68">
        <f t="shared" ca="1" si="6"/>
        <v>565.80000000000291</v>
      </c>
      <c r="I63" s="68">
        <f t="array" aca="1" ref="I63" ca="1">_FV(B63,"Previous close",TRUE)</f>
        <v>1105.9000000000001</v>
      </c>
      <c r="J63" s="89">
        <f t="shared" ca="1" si="7"/>
        <v>-1.0850890677276837E-3</v>
      </c>
    </row>
    <row r="64" spans="1:10">
      <c r="A64" s="49" t="s">
        <v>741</v>
      </c>
      <c r="B64" t="e" vm="181">
        <v>#VALUE!</v>
      </c>
      <c r="F64" s="68">
        <f t="array" aca="1" ref="F64" ca="1">_FV(B64,"Price")</f>
        <v>1793.8</v>
      </c>
      <c r="I64" s="68">
        <f t="array" aca="1" ref="I64" ca="1">_FV(B64,"Previous close",TRUE)</f>
        <v>1715.1</v>
      </c>
    </row>
    <row r="65" spans="1:9">
      <c r="A65" t="s">
        <v>254</v>
      </c>
      <c r="B65" t="e" vm="218">
        <v>#VALUE!</v>
      </c>
      <c r="F65" s="68">
        <f t="array" aca="1" ref="F65" ca="1">_FV(B65,"Price")</f>
        <v>680.5</v>
      </c>
      <c r="I65" s="68">
        <f t="array" aca="1" ref="I65" ca="1">_FV(B65,"Previous close",TRUE)</f>
        <v>680.05</v>
      </c>
    </row>
    <row r="66" spans="1:9">
      <c r="A66" t="s">
        <v>745</v>
      </c>
      <c r="B66" t="e" vm="3">
        <v>#VALUE!</v>
      </c>
      <c r="F66" s="68">
        <f t="array" aca="1" ref="F66" ca="1">_FV(B66,"Price")</f>
        <v>17198</v>
      </c>
      <c r="I66" s="68">
        <f t="array" aca="1" ref="I66" ca="1">_FV(B66,"Previous close",TRUE)</f>
        <v>16973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6"/>
  <sheetViews>
    <sheetView workbookViewId="0">
      <selection activeCell="B22" sqref="B22:B36"/>
    </sheetView>
  </sheetViews>
  <sheetFormatPr defaultRowHeight="15"/>
  <cols>
    <col min="1" max="1" width="36.5703125" bestFit="1" customWidth="1"/>
    <col min="2" max="2" width="19" customWidth="1"/>
    <col min="3" max="3" width="22.5703125" customWidth="1"/>
    <col min="4" max="4" width="11.85546875" bestFit="1" customWidth="1"/>
    <col min="5" max="5" width="12.85546875" bestFit="1" customWidth="1"/>
    <col min="6" max="6" width="12.5703125" bestFit="1" customWidth="1"/>
    <col min="7" max="7" width="7.28515625" bestFit="1" customWidth="1"/>
    <col min="8" max="9" width="12.5703125" bestFit="1" customWidth="1"/>
    <col min="10" max="10" width="3.85546875" bestFit="1" customWidth="1"/>
  </cols>
  <sheetData>
    <row r="1" spans="1:10">
      <c r="A1" s="58" t="s">
        <v>1099</v>
      </c>
      <c r="B1" t="s">
        <v>1100</v>
      </c>
      <c r="C1" t="s">
        <v>811</v>
      </c>
      <c r="D1" t="s">
        <v>1101</v>
      </c>
      <c r="E1" t="s">
        <v>82</v>
      </c>
      <c r="F1" t="s">
        <v>813</v>
      </c>
      <c r="G1" t="s">
        <v>1102</v>
      </c>
      <c r="H1" t="s">
        <v>53</v>
      </c>
    </row>
    <row r="2" spans="1:10">
      <c r="A2" s="58">
        <v>1</v>
      </c>
      <c r="B2" t="s">
        <v>655</v>
      </c>
      <c r="C2" t="s">
        <v>1103</v>
      </c>
      <c r="D2" t="s">
        <v>1104</v>
      </c>
      <c r="E2" t="s">
        <v>158</v>
      </c>
      <c r="F2" t="s">
        <v>158</v>
      </c>
      <c r="G2" t="s">
        <v>1105</v>
      </c>
    </row>
    <row r="3" spans="1:10">
      <c r="A3" s="58">
        <v>2</v>
      </c>
      <c r="B3" t="s">
        <v>745</v>
      </c>
      <c r="C3" t="s">
        <v>1106</v>
      </c>
      <c r="D3" t="s">
        <v>1107</v>
      </c>
      <c r="E3" t="s">
        <v>1108</v>
      </c>
      <c r="F3" t="s">
        <v>1109</v>
      </c>
      <c r="G3" t="s">
        <v>1105</v>
      </c>
    </row>
    <row r="4" spans="1:10">
      <c r="A4" s="58">
        <v>3</v>
      </c>
      <c r="B4" t="s">
        <v>660</v>
      </c>
      <c r="C4" t="s">
        <v>1110</v>
      </c>
      <c r="D4" t="s">
        <v>1111</v>
      </c>
      <c r="E4" t="s">
        <v>1112</v>
      </c>
      <c r="F4" t="s">
        <v>1113</v>
      </c>
      <c r="G4" t="s">
        <v>1114</v>
      </c>
      <c r="H4" t="s">
        <v>1115</v>
      </c>
      <c r="I4" t="s">
        <v>1116</v>
      </c>
      <c r="J4" t="s">
        <v>1117</v>
      </c>
    </row>
    <row r="5" spans="1:10">
      <c r="A5" s="58">
        <v>4</v>
      </c>
      <c r="B5" t="s">
        <v>666</v>
      </c>
      <c r="C5" t="s">
        <v>1118</v>
      </c>
      <c r="D5" t="s">
        <v>1119</v>
      </c>
      <c r="E5" t="s">
        <v>158</v>
      </c>
      <c r="F5" t="s">
        <v>158</v>
      </c>
      <c r="G5" t="s">
        <v>1120</v>
      </c>
    </row>
    <row r="6" spans="1:10">
      <c r="A6" s="58">
        <v>5</v>
      </c>
      <c r="B6" t="s">
        <v>669</v>
      </c>
      <c r="C6" t="s">
        <v>1121</v>
      </c>
      <c r="D6" t="s">
        <v>1122</v>
      </c>
      <c r="E6" t="s">
        <v>1104</v>
      </c>
      <c r="F6" t="s">
        <v>1122</v>
      </c>
      <c r="G6" t="s">
        <v>1114</v>
      </c>
      <c r="H6" t="s">
        <v>1123</v>
      </c>
      <c r="I6" t="s">
        <v>158</v>
      </c>
      <c r="J6" t="s">
        <v>1120</v>
      </c>
    </row>
    <row r="7" spans="1:10">
      <c r="A7" s="58">
        <v>6</v>
      </c>
      <c r="B7" t="s">
        <v>675</v>
      </c>
      <c r="C7" t="s">
        <v>1124</v>
      </c>
      <c r="D7" t="s">
        <v>1125</v>
      </c>
      <c r="E7" t="s">
        <v>1126</v>
      </c>
      <c r="F7" t="s">
        <v>1127</v>
      </c>
      <c r="G7" t="s">
        <v>1128</v>
      </c>
      <c r="H7" t="s">
        <v>1116</v>
      </c>
      <c r="I7" t="s">
        <v>1105</v>
      </c>
    </row>
    <row r="8" spans="1:10">
      <c r="A8" s="58">
        <v>7</v>
      </c>
      <c r="B8" t="s">
        <v>595</v>
      </c>
      <c r="C8" t="s">
        <v>1129</v>
      </c>
      <c r="D8" t="s">
        <v>1130</v>
      </c>
      <c r="E8" t="s">
        <v>1108</v>
      </c>
      <c r="F8" t="s">
        <v>1109</v>
      </c>
      <c r="G8" t="s">
        <v>1105</v>
      </c>
    </row>
    <row r="9" spans="1:10">
      <c r="A9" s="58">
        <v>8</v>
      </c>
      <c r="B9" t="s">
        <v>679</v>
      </c>
      <c r="C9" t="s">
        <v>1131</v>
      </c>
      <c r="D9" t="s">
        <v>1132</v>
      </c>
      <c r="E9" t="s">
        <v>1133</v>
      </c>
      <c r="F9" t="s">
        <v>1134</v>
      </c>
      <c r="G9" t="s">
        <v>1114</v>
      </c>
      <c r="H9" t="s">
        <v>1135</v>
      </c>
      <c r="I9" t="s">
        <v>821</v>
      </c>
      <c r="J9" t="s">
        <v>1117</v>
      </c>
    </row>
    <row r="10" spans="1:10">
      <c r="A10" s="58">
        <v>9</v>
      </c>
      <c r="B10" t="s">
        <v>126</v>
      </c>
      <c r="C10" t="s">
        <v>1136</v>
      </c>
      <c r="D10" t="s">
        <v>1130</v>
      </c>
      <c r="E10" t="s">
        <v>1109</v>
      </c>
      <c r="F10" t="s">
        <v>1109</v>
      </c>
      <c r="G10" t="s">
        <v>1105</v>
      </c>
    </row>
    <row r="11" spans="1:10">
      <c r="A11" s="58">
        <v>10</v>
      </c>
      <c r="B11" t="s">
        <v>696</v>
      </c>
      <c r="C11" t="s">
        <v>696</v>
      </c>
      <c r="D11" t="s">
        <v>1137</v>
      </c>
      <c r="E11" t="s">
        <v>1113</v>
      </c>
      <c r="F11" t="s">
        <v>1114</v>
      </c>
      <c r="G11" t="s">
        <v>1115</v>
      </c>
      <c r="H11" t="s">
        <v>158</v>
      </c>
      <c r="I11" t="s">
        <v>1117</v>
      </c>
    </row>
    <row r="12" spans="1:10">
      <c r="A12" s="58">
        <v>11</v>
      </c>
      <c r="B12" t="s">
        <v>699</v>
      </c>
      <c r="C12" t="s">
        <v>1138</v>
      </c>
      <c r="D12" t="s">
        <v>1139</v>
      </c>
      <c r="E12" t="s">
        <v>1140</v>
      </c>
      <c r="F12" t="s">
        <v>1109</v>
      </c>
      <c r="G12" t="s">
        <v>1105</v>
      </c>
    </row>
    <row r="13" spans="1:10">
      <c r="A13" s="58">
        <v>12</v>
      </c>
      <c r="B13" t="s">
        <v>108</v>
      </c>
      <c r="C13" t="s">
        <v>1141</v>
      </c>
      <c r="D13" t="s">
        <v>1108</v>
      </c>
      <c r="E13" t="s">
        <v>1108</v>
      </c>
      <c r="F13" t="s">
        <v>1109</v>
      </c>
      <c r="G13" t="s">
        <v>1105</v>
      </c>
    </row>
    <row r="14" spans="1:10">
      <c r="A14" s="58">
        <v>13</v>
      </c>
      <c r="B14" t="s">
        <v>505</v>
      </c>
      <c r="C14" t="s">
        <v>1142</v>
      </c>
      <c r="D14" t="s">
        <v>1113</v>
      </c>
      <c r="E14" t="s">
        <v>1143</v>
      </c>
      <c r="F14" t="s">
        <v>1113</v>
      </c>
      <c r="G14" t="s">
        <v>1114</v>
      </c>
      <c r="H14" t="s">
        <v>1115</v>
      </c>
      <c r="I14" t="s">
        <v>1116</v>
      </c>
      <c r="J14" t="s">
        <v>1105</v>
      </c>
    </row>
    <row r="15" spans="1:10">
      <c r="A15" s="58">
        <v>14</v>
      </c>
      <c r="B15" t="s">
        <v>543</v>
      </c>
      <c r="C15" t="s">
        <v>1144</v>
      </c>
      <c r="D15" t="s">
        <v>1145</v>
      </c>
      <c r="E15" t="s">
        <v>1146</v>
      </c>
      <c r="F15" t="s">
        <v>1113</v>
      </c>
      <c r="G15" t="s">
        <v>1114</v>
      </c>
      <c r="H15" t="s">
        <v>1115</v>
      </c>
      <c r="I15" t="s">
        <v>1116</v>
      </c>
      <c r="J15" t="s">
        <v>1117</v>
      </c>
    </row>
    <row r="21" spans="1:6">
      <c r="A21" s="58" t="s">
        <v>1099</v>
      </c>
      <c r="B21" t="s">
        <v>1100</v>
      </c>
      <c r="C21" t="s">
        <v>812</v>
      </c>
      <c r="D21" t="s">
        <v>82</v>
      </c>
      <c r="E21" t="s">
        <v>813</v>
      </c>
      <c r="F21" t="s">
        <v>1147</v>
      </c>
    </row>
    <row r="22" spans="1:6">
      <c r="A22" s="58">
        <v>15</v>
      </c>
      <c r="B22" t="s">
        <v>127</v>
      </c>
      <c r="C22" t="s">
        <v>1148</v>
      </c>
      <c r="D22" t="s">
        <v>1149</v>
      </c>
      <c r="E22" t="s">
        <v>1116</v>
      </c>
      <c r="F22" t="s">
        <v>1105</v>
      </c>
    </row>
    <row r="23" spans="1:6">
      <c r="A23" s="58">
        <v>16</v>
      </c>
      <c r="B23" t="s">
        <v>663</v>
      </c>
      <c r="C23" t="s">
        <v>1150</v>
      </c>
      <c r="D23" t="s">
        <v>1151</v>
      </c>
      <c r="E23" t="s">
        <v>1116</v>
      </c>
      <c r="F23" t="s">
        <v>1105</v>
      </c>
    </row>
    <row r="24" spans="1:6">
      <c r="A24" s="58">
        <v>17</v>
      </c>
      <c r="B24" t="s">
        <v>672</v>
      </c>
      <c r="C24" t="s">
        <v>1152</v>
      </c>
      <c r="D24" t="s">
        <v>1153</v>
      </c>
      <c r="E24" t="s">
        <v>821</v>
      </c>
      <c r="F24" t="s">
        <v>1105</v>
      </c>
    </row>
    <row r="25" spans="1:6">
      <c r="A25" s="58">
        <v>18</v>
      </c>
      <c r="B25" t="s">
        <v>682</v>
      </c>
      <c r="C25" t="s">
        <v>1154</v>
      </c>
      <c r="D25" t="s">
        <v>1155</v>
      </c>
      <c r="E25" t="s">
        <v>1116</v>
      </c>
      <c r="F25" t="s">
        <v>1117</v>
      </c>
    </row>
    <row r="26" spans="1:6">
      <c r="A26" s="58">
        <v>19</v>
      </c>
      <c r="B26" t="s">
        <v>685</v>
      </c>
      <c r="C26" t="s">
        <v>1156</v>
      </c>
      <c r="D26" t="s">
        <v>1157</v>
      </c>
      <c r="E26" t="s">
        <v>1116</v>
      </c>
      <c r="F26" t="s">
        <v>1105</v>
      </c>
    </row>
    <row r="27" spans="1:6">
      <c r="A27" s="58">
        <v>20</v>
      </c>
      <c r="B27" t="s">
        <v>691</v>
      </c>
      <c r="C27" t="s">
        <v>1158</v>
      </c>
      <c r="D27" t="s">
        <v>1108</v>
      </c>
      <c r="E27" t="s">
        <v>1109</v>
      </c>
      <c r="F27" t="s">
        <v>1105</v>
      </c>
    </row>
    <row r="28" spans="1:6">
      <c r="A28" s="58">
        <v>21</v>
      </c>
      <c r="B28" t="s">
        <v>702</v>
      </c>
      <c r="C28" t="s">
        <v>1159</v>
      </c>
      <c r="D28" t="s">
        <v>1108</v>
      </c>
      <c r="E28" t="s">
        <v>1109</v>
      </c>
      <c r="F28" t="s">
        <v>1117</v>
      </c>
    </row>
    <row r="29" spans="1:6">
      <c r="A29" s="58">
        <v>22</v>
      </c>
      <c r="B29" t="s">
        <v>272</v>
      </c>
      <c r="C29" t="s">
        <v>1160</v>
      </c>
      <c r="D29" t="s">
        <v>1155</v>
      </c>
      <c r="E29" t="s">
        <v>158</v>
      </c>
      <c r="F29" t="s">
        <v>1120</v>
      </c>
    </row>
    <row r="30" spans="1:6">
      <c r="A30" s="58">
        <v>23</v>
      </c>
      <c r="B30" t="s">
        <v>705</v>
      </c>
      <c r="C30" t="s">
        <v>1161</v>
      </c>
      <c r="D30" t="s">
        <v>1162</v>
      </c>
      <c r="E30" t="s">
        <v>1116</v>
      </c>
      <c r="F30" t="s">
        <v>1105</v>
      </c>
    </row>
    <row r="31" spans="1:6">
      <c r="A31" s="58">
        <v>24</v>
      </c>
      <c r="B31" t="s">
        <v>708</v>
      </c>
      <c r="C31" t="s">
        <v>1163</v>
      </c>
      <c r="D31" t="s">
        <v>1108</v>
      </c>
      <c r="E31" t="s">
        <v>1109</v>
      </c>
      <c r="F31" t="s">
        <v>1105</v>
      </c>
    </row>
    <row r="32" spans="1:6">
      <c r="A32" s="58">
        <v>25</v>
      </c>
      <c r="B32" t="s">
        <v>711</v>
      </c>
      <c r="C32" t="s">
        <v>1164</v>
      </c>
      <c r="D32" t="s">
        <v>1151</v>
      </c>
      <c r="E32" t="s">
        <v>1116</v>
      </c>
      <c r="F32" t="s">
        <v>1105</v>
      </c>
    </row>
    <row r="33" spans="1:6">
      <c r="A33" s="58">
        <v>26</v>
      </c>
      <c r="B33" t="s">
        <v>714</v>
      </c>
      <c r="C33" t="s">
        <v>1165</v>
      </c>
      <c r="D33" t="s">
        <v>1116</v>
      </c>
      <c r="E33" t="s">
        <v>1116</v>
      </c>
      <c r="F33" t="s">
        <v>1105</v>
      </c>
    </row>
    <row r="34" spans="1:6">
      <c r="A34" s="58">
        <v>27</v>
      </c>
      <c r="B34" t="s">
        <v>553</v>
      </c>
      <c r="C34" t="s">
        <v>1166</v>
      </c>
      <c r="D34" t="s">
        <v>1167</v>
      </c>
      <c r="E34" t="s">
        <v>1116</v>
      </c>
      <c r="F34" t="s">
        <v>1120</v>
      </c>
    </row>
    <row r="35" spans="1:6">
      <c r="A35" s="58">
        <v>28</v>
      </c>
      <c r="B35" t="s">
        <v>719</v>
      </c>
      <c r="C35" t="s">
        <v>1168</v>
      </c>
      <c r="D35" t="s">
        <v>1109</v>
      </c>
      <c r="E35" t="s">
        <v>1109</v>
      </c>
      <c r="F35" t="s">
        <v>1105</v>
      </c>
    </row>
    <row r="36" spans="1:6">
      <c r="A36" s="58">
        <v>29</v>
      </c>
      <c r="B36" t="s">
        <v>197</v>
      </c>
      <c r="C36" t="s">
        <v>1169</v>
      </c>
      <c r="D36" t="s">
        <v>1108</v>
      </c>
      <c r="E36" t="s">
        <v>1109</v>
      </c>
      <c r="F36" t="s">
        <v>1105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1170</v>
      </c>
      <c r="B1" s="10" t="s">
        <v>1171</v>
      </c>
      <c r="C1" s="10" t="s">
        <v>1172</v>
      </c>
      <c r="D1" s="11" t="s">
        <v>1173</v>
      </c>
    </row>
    <row r="2" spans="1:14">
      <c r="A2" s="6">
        <v>1</v>
      </c>
      <c r="B2" s="60" t="s">
        <v>1174</v>
      </c>
      <c r="C2" s="60" t="s">
        <v>1175</v>
      </c>
      <c r="D2" s="2" t="s">
        <v>1176</v>
      </c>
    </row>
    <row r="3" spans="1:14" ht="30" customHeight="1">
      <c r="A3" s="6">
        <v>2</v>
      </c>
      <c r="B3" s="90" t="s">
        <v>1177</v>
      </c>
      <c r="C3" s="60" t="s">
        <v>1175</v>
      </c>
      <c r="D3" s="2" t="s">
        <v>1178</v>
      </c>
      <c r="N3">
        <v>900000</v>
      </c>
    </row>
    <row r="4" spans="1:14" ht="30" customHeight="1">
      <c r="A4" s="6">
        <v>3</v>
      </c>
      <c r="B4" s="90" t="s">
        <v>1179</v>
      </c>
      <c r="C4" s="60" t="s">
        <v>1180</v>
      </c>
      <c r="D4" s="2" t="s">
        <v>1178</v>
      </c>
    </row>
    <row r="5" spans="1:14" ht="30" customHeight="1">
      <c r="A5" s="6">
        <v>4</v>
      </c>
      <c r="B5" s="90" t="s">
        <v>1181</v>
      </c>
      <c r="C5" s="60" t="s">
        <v>1175</v>
      </c>
      <c r="D5" s="2" t="s">
        <v>1178</v>
      </c>
    </row>
    <row r="6" spans="1:14" ht="30" customHeight="1">
      <c r="A6" s="6">
        <v>5</v>
      </c>
      <c r="B6" s="90" t="s">
        <v>1182</v>
      </c>
      <c r="C6" s="60" t="s">
        <v>1180</v>
      </c>
      <c r="D6" s="2" t="s">
        <v>1178</v>
      </c>
    </row>
    <row r="7" spans="1:14" ht="30" customHeight="1">
      <c r="A7" s="6">
        <v>6</v>
      </c>
      <c r="B7" s="90" t="s">
        <v>1183</v>
      </c>
      <c r="C7" s="60" t="s">
        <v>1175</v>
      </c>
      <c r="D7" s="2" t="s">
        <v>1178</v>
      </c>
    </row>
    <row r="8" spans="1:14">
      <c r="A8" s="6">
        <v>7</v>
      </c>
      <c r="B8" s="60" t="s">
        <v>1184</v>
      </c>
      <c r="C8" s="60" t="s">
        <v>1175</v>
      </c>
      <c r="D8" s="2" t="s">
        <v>1176</v>
      </c>
    </row>
    <row r="9" spans="1:14">
      <c r="A9" s="6">
        <v>8</v>
      </c>
      <c r="B9" s="60" t="s">
        <v>1185</v>
      </c>
      <c r="C9" s="60" t="s">
        <v>1175</v>
      </c>
      <c r="D9" s="2" t="s">
        <v>1176</v>
      </c>
    </row>
    <row r="10" spans="1:14">
      <c r="A10" s="6">
        <v>9</v>
      </c>
      <c r="B10" s="60" t="s">
        <v>1186</v>
      </c>
      <c r="C10" s="60" t="s">
        <v>1175</v>
      </c>
      <c r="D10" s="2" t="s">
        <v>1178</v>
      </c>
    </row>
    <row r="11" spans="1:14">
      <c r="A11" s="6">
        <v>10</v>
      </c>
      <c r="B11" s="60" t="s">
        <v>1187</v>
      </c>
      <c r="C11" s="60" t="s">
        <v>1175</v>
      </c>
      <c r="D11" s="2" t="s">
        <v>1178</v>
      </c>
    </row>
    <row r="12" spans="1:14">
      <c r="A12" s="6">
        <v>11</v>
      </c>
      <c r="B12" s="60" t="s">
        <v>1188</v>
      </c>
      <c r="C12" s="60" t="s">
        <v>1175</v>
      </c>
      <c r="D12" s="2" t="s">
        <v>1176</v>
      </c>
    </row>
    <row r="13" spans="1:14" ht="45" customHeight="1">
      <c r="A13" s="7">
        <v>12</v>
      </c>
      <c r="B13" s="3" t="s">
        <v>1189</v>
      </c>
      <c r="C13" s="4" t="s">
        <v>1175</v>
      </c>
      <c r="D13" s="5" t="s">
        <v>1178</v>
      </c>
    </row>
    <row r="14" spans="1:14" ht="30" customHeight="1">
      <c r="A14" s="63">
        <v>13</v>
      </c>
      <c r="B14" s="90" t="s">
        <v>1190</v>
      </c>
      <c r="C14" s="60" t="s">
        <v>1175</v>
      </c>
      <c r="D14" s="60" t="s">
        <v>1178</v>
      </c>
    </row>
    <row r="15" spans="1:14" ht="30" customHeight="1">
      <c r="A15" s="63">
        <v>14</v>
      </c>
      <c r="B15" s="90" t="s">
        <v>1191</v>
      </c>
      <c r="C15" s="60" t="s">
        <v>1175</v>
      </c>
      <c r="D15" s="60" t="s">
        <v>1176</v>
      </c>
    </row>
    <row r="16" spans="1:14" ht="30" customHeight="1">
      <c r="A16" s="63">
        <v>15</v>
      </c>
      <c r="B16" s="90" t="s">
        <v>1192</v>
      </c>
      <c r="C16" s="60" t="s">
        <v>1180</v>
      </c>
      <c r="D16" s="60" t="s">
        <v>1176</v>
      </c>
    </row>
    <row r="17" spans="1:4" ht="45" customHeight="1">
      <c r="A17" s="63">
        <v>16</v>
      </c>
      <c r="B17" s="90" t="s">
        <v>1193</v>
      </c>
      <c r="C17" s="60" t="s">
        <v>1180</v>
      </c>
      <c r="D17" s="60" t="s">
        <v>1178</v>
      </c>
    </row>
    <row r="18" spans="1:4">
      <c r="A18" s="63">
        <v>17</v>
      </c>
      <c r="B18" s="60"/>
      <c r="C18" s="60"/>
      <c r="D18" s="60"/>
    </row>
    <row r="19" spans="1:4">
      <c r="A19" s="63">
        <v>18</v>
      </c>
      <c r="B19" s="60"/>
      <c r="C19" s="60"/>
      <c r="D19" s="60"/>
    </row>
    <row r="20" spans="1:4">
      <c r="A20" s="63">
        <v>19</v>
      </c>
      <c r="B20" s="60"/>
      <c r="C20" s="60"/>
      <c r="D20" s="60"/>
    </row>
    <row r="21" spans="1:4">
      <c r="A21" s="63">
        <v>20</v>
      </c>
      <c r="B21" s="60"/>
      <c r="C21" s="60"/>
      <c r="D21" s="60"/>
    </row>
    <row r="22" spans="1:4">
      <c r="A22" s="63">
        <v>21</v>
      </c>
      <c r="B22" s="60"/>
      <c r="C22" s="60"/>
      <c r="D22" s="60"/>
    </row>
    <row r="23" spans="1:4">
      <c r="A23" s="63">
        <v>22</v>
      </c>
      <c r="B23" s="60"/>
      <c r="C23" s="60"/>
      <c r="D23" s="60"/>
    </row>
    <row r="24" spans="1:4">
      <c r="A24" s="63">
        <v>23</v>
      </c>
      <c r="B24" s="60"/>
      <c r="C24" s="60"/>
      <c r="D24" s="60"/>
    </row>
    <row r="25" spans="1:4">
      <c r="A25" s="63">
        <v>24</v>
      </c>
      <c r="B25" s="60"/>
      <c r="C25" s="60"/>
      <c r="D25" s="60"/>
    </row>
    <row r="26" spans="1:4">
      <c r="A26" s="63">
        <v>25</v>
      </c>
      <c r="B26" s="60"/>
      <c r="C26" s="60"/>
      <c r="D26" s="60"/>
    </row>
    <row r="27" spans="1:4">
      <c r="A27" s="63"/>
      <c r="B27" s="60"/>
      <c r="C27" s="60"/>
      <c r="D27" s="60"/>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Sheet2</vt:lpstr>
      <vt:lpstr>Todo </vt:lpstr>
      <vt:lpstr>SAT_WATCH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2026-06-14T11:50:18Z</dcterms:modified>
  <cp:category/>
  <cp:contentStatus/>
</cp:coreProperties>
</file>